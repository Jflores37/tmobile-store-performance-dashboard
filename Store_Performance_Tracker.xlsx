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F3B96FC9-D844-465F-922E-9ED9249CD547}" xr6:coauthVersionLast="47" xr6:coauthVersionMax="47" xr10:uidLastSave="{00000000-0000-0000-0000-000000000000}"/>
  <bookViews>
    <workbookView xWindow="30765" yWindow="855" windowWidth="21600" windowHeight="14835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36" l="1"/>
  <c r="X16" i="36"/>
  <c r="W16" i="36"/>
  <c r="V16" i="36"/>
  <c r="U16" i="36"/>
  <c r="T16" i="36"/>
  <c r="S16" i="36"/>
  <c r="R16" i="36"/>
  <c r="Q16" i="36"/>
  <c r="P15" i="36"/>
  <c r="P14" i="36"/>
  <c r="P13" i="36"/>
  <c r="P12" i="36"/>
  <c r="P11" i="36"/>
  <c r="P10" i="36"/>
  <c r="P9" i="36"/>
  <c r="P8" i="36"/>
  <c r="P7" i="36"/>
  <c r="P6" i="36"/>
  <c r="P5" i="36"/>
  <c r="P4" i="36"/>
  <c r="Q18" i="35"/>
  <c r="X16" i="35"/>
  <c r="W16" i="35"/>
  <c r="V16" i="35"/>
  <c r="U16" i="35"/>
  <c r="T16" i="35"/>
  <c r="S16" i="35"/>
  <c r="D33" i="3" s="1"/>
  <c r="R16" i="35"/>
  <c r="C33" i="3" s="1"/>
  <c r="Q16" i="35"/>
  <c r="B33" i="3" s="1"/>
  <c r="P15" i="35"/>
  <c r="P14" i="35"/>
  <c r="P13" i="35"/>
  <c r="P12" i="35"/>
  <c r="P11" i="35"/>
  <c r="P10" i="35"/>
  <c r="P9" i="35"/>
  <c r="P8" i="35"/>
  <c r="P7" i="35"/>
  <c r="P6" i="35"/>
  <c r="P5" i="35"/>
  <c r="P4" i="35"/>
  <c r="Q18" i="34"/>
  <c r="X16" i="34"/>
  <c r="I32" i="3" s="1"/>
  <c r="W16" i="34"/>
  <c r="H32" i="3" s="1"/>
  <c r="V16" i="34"/>
  <c r="G32" i="3" s="1"/>
  <c r="U16" i="34"/>
  <c r="F32" i="3" s="1"/>
  <c r="T16" i="34"/>
  <c r="E32" i="3" s="1"/>
  <c r="S16" i="34"/>
  <c r="D32" i="3" s="1"/>
  <c r="R16" i="34"/>
  <c r="C32" i="3" s="1"/>
  <c r="Q16" i="34"/>
  <c r="B32" i="3" s="1"/>
  <c r="P15" i="34"/>
  <c r="P14" i="34"/>
  <c r="P13" i="34"/>
  <c r="P12" i="34"/>
  <c r="P11" i="34"/>
  <c r="P10" i="34"/>
  <c r="P9" i="34"/>
  <c r="P8" i="34"/>
  <c r="P7" i="34"/>
  <c r="P6" i="34"/>
  <c r="P5" i="34"/>
  <c r="P4" i="34"/>
  <c r="Q18" i="33"/>
  <c r="X16" i="33"/>
  <c r="W16" i="33"/>
  <c r="V16" i="33"/>
  <c r="U16" i="33"/>
  <c r="F31" i="3" s="1"/>
  <c r="T16" i="33"/>
  <c r="E31" i="3" s="1"/>
  <c r="S16" i="33"/>
  <c r="D31" i="3" s="1"/>
  <c r="R16" i="33"/>
  <c r="C31" i="3" s="1"/>
  <c r="Q16" i="33"/>
  <c r="B31" i="3" s="1"/>
  <c r="P15" i="33"/>
  <c r="P14" i="33"/>
  <c r="P13" i="33"/>
  <c r="P12" i="33"/>
  <c r="P11" i="33"/>
  <c r="P10" i="33"/>
  <c r="P9" i="33"/>
  <c r="P8" i="33"/>
  <c r="P7" i="33"/>
  <c r="P6" i="33"/>
  <c r="P5" i="33"/>
  <c r="P4" i="33"/>
  <c r="Q18" i="32"/>
  <c r="X16" i="32"/>
  <c r="I30" i="3" s="1"/>
  <c r="W16" i="32"/>
  <c r="H30" i="3" s="1"/>
  <c r="V16" i="32"/>
  <c r="G30" i="3" s="1"/>
  <c r="U16" i="32"/>
  <c r="F30" i="3" s="1"/>
  <c r="T16" i="32"/>
  <c r="E30" i="3" s="1"/>
  <c r="S16" i="32"/>
  <c r="D30" i="3" s="1"/>
  <c r="R16" i="32"/>
  <c r="C30" i="3" s="1"/>
  <c r="Q16" i="32"/>
  <c r="B30" i="3" s="1"/>
  <c r="P15" i="32"/>
  <c r="P14" i="32"/>
  <c r="P13" i="32"/>
  <c r="P12" i="32"/>
  <c r="U11" i="32"/>
  <c r="P11" i="32"/>
  <c r="P10" i="32"/>
  <c r="P9" i="32"/>
  <c r="P8" i="32"/>
  <c r="P7" i="32"/>
  <c r="P6" i="32"/>
  <c r="P5" i="32"/>
  <c r="P4" i="32"/>
  <c r="Q18" i="31"/>
  <c r="X16" i="31"/>
  <c r="I29" i="3" s="1"/>
  <c r="W16" i="31"/>
  <c r="H29" i="3" s="1"/>
  <c r="V16" i="31"/>
  <c r="U16" i="31"/>
  <c r="T16" i="31"/>
  <c r="S16" i="31"/>
  <c r="R16" i="31"/>
  <c r="Q16" i="31"/>
  <c r="P15" i="31"/>
  <c r="P14" i="31"/>
  <c r="P13" i="31"/>
  <c r="P12" i="31"/>
  <c r="P11" i="31"/>
  <c r="P10" i="31"/>
  <c r="P9" i="31"/>
  <c r="P8" i="31"/>
  <c r="P7" i="31"/>
  <c r="P6" i="31"/>
  <c r="P5" i="31"/>
  <c r="P4" i="31"/>
  <c r="Q18" i="30"/>
  <c r="X16" i="30"/>
  <c r="W16" i="30"/>
  <c r="V16" i="30"/>
  <c r="U16" i="30"/>
  <c r="T16" i="30"/>
  <c r="S16" i="30"/>
  <c r="R16" i="30"/>
  <c r="Q16" i="30"/>
  <c r="P15" i="30"/>
  <c r="P14" i="30"/>
  <c r="P13" i="30"/>
  <c r="P12" i="30"/>
  <c r="P11" i="30"/>
  <c r="P10" i="30"/>
  <c r="P9" i="30"/>
  <c r="P8" i="30"/>
  <c r="P7" i="30"/>
  <c r="P6" i="30"/>
  <c r="P5" i="30"/>
  <c r="P4" i="30"/>
  <c r="Q18" i="29"/>
  <c r="X16" i="29"/>
  <c r="W16" i="29"/>
  <c r="V16" i="29"/>
  <c r="U16" i="29"/>
  <c r="F27" i="3" s="1"/>
  <c r="T16" i="29"/>
  <c r="E27" i="3" s="1"/>
  <c r="S16" i="29"/>
  <c r="D27" i="3" s="1"/>
  <c r="R16" i="29"/>
  <c r="C27" i="3" s="1"/>
  <c r="Q16" i="29"/>
  <c r="B27" i="3" s="1"/>
  <c r="P15" i="29"/>
  <c r="P14" i="29"/>
  <c r="P13" i="29"/>
  <c r="P12" i="29"/>
  <c r="P11" i="29"/>
  <c r="P10" i="29"/>
  <c r="P9" i="29"/>
  <c r="P8" i="29"/>
  <c r="P7" i="29"/>
  <c r="P6" i="29"/>
  <c r="P5" i="29"/>
  <c r="P4" i="29"/>
  <c r="Q18" i="28"/>
  <c r="X16" i="28"/>
  <c r="W16" i="28"/>
  <c r="V16" i="28"/>
  <c r="U16" i="28"/>
  <c r="T16" i="28"/>
  <c r="S16" i="28"/>
  <c r="R16" i="28"/>
  <c r="Q16" i="28"/>
  <c r="P15" i="28"/>
  <c r="P14" i="28"/>
  <c r="P13" i="28"/>
  <c r="P12" i="28"/>
  <c r="P11" i="28"/>
  <c r="P10" i="28"/>
  <c r="P9" i="28"/>
  <c r="P8" i="28"/>
  <c r="P7" i="28"/>
  <c r="P6" i="28"/>
  <c r="P5" i="28"/>
  <c r="P4" i="28"/>
  <c r="Q18" i="27"/>
  <c r="X16" i="27"/>
  <c r="W16" i="27"/>
  <c r="V16" i="27"/>
  <c r="U16" i="27"/>
  <c r="T16" i="27"/>
  <c r="S16" i="27"/>
  <c r="R16" i="27"/>
  <c r="Q16" i="27"/>
  <c r="P15" i="27"/>
  <c r="P14" i="27"/>
  <c r="P13" i="27"/>
  <c r="P12" i="27"/>
  <c r="P11" i="27"/>
  <c r="P10" i="27"/>
  <c r="P9" i="27"/>
  <c r="P8" i="27"/>
  <c r="P7" i="27"/>
  <c r="P6" i="27"/>
  <c r="P5" i="27"/>
  <c r="P4" i="27"/>
  <c r="Q18" i="26"/>
  <c r="X16" i="26"/>
  <c r="W16" i="26"/>
  <c r="V16" i="26"/>
  <c r="U16" i="26"/>
  <c r="T16" i="26"/>
  <c r="S16" i="26"/>
  <c r="R16" i="26"/>
  <c r="Q16" i="26"/>
  <c r="P15" i="26"/>
  <c r="P14" i="26"/>
  <c r="P13" i="26"/>
  <c r="P12" i="26"/>
  <c r="P11" i="26"/>
  <c r="P10" i="26"/>
  <c r="P9" i="26"/>
  <c r="P8" i="26"/>
  <c r="P7" i="26"/>
  <c r="P6" i="26"/>
  <c r="P5" i="26"/>
  <c r="P4" i="26"/>
  <c r="Q18" i="25"/>
  <c r="X16" i="25"/>
  <c r="W16" i="25"/>
  <c r="V16" i="25"/>
  <c r="U16" i="25"/>
  <c r="T16" i="25"/>
  <c r="S16" i="25"/>
  <c r="R16" i="25"/>
  <c r="Q16" i="25"/>
  <c r="P15" i="25"/>
  <c r="P14" i="25"/>
  <c r="P13" i="25"/>
  <c r="P12" i="25"/>
  <c r="P11" i="25"/>
  <c r="P10" i="25"/>
  <c r="P9" i="25"/>
  <c r="P8" i="25"/>
  <c r="P7" i="25"/>
  <c r="P6" i="25"/>
  <c r="P5" i="25"/>
  <c r="P4" i="25"/>
  <c r="Q18" i="24"/>
  <c r="X16" i="24"/>
  <c r="I22" i="3" s="1"/>
  <c r="W16" i="24"/>
  <c r="V16" i="24"/>
  <c r="U16" i="24"/>
  <c r="T16" i="24"/>
  <c r="S16" i="24"/>
  <c r="R16" i="24"/>
  <c r="Q16" i="24"/>
  <c r="P15" i="24"/>
  <c r="P14" i="24"/>
  <c r="P13" i="24"/>
  <c r="P12" i="24"/>
  <c r="P11" i="24"/>
  <c r="P10" i="24"/>
  <c r="P9" i="24"/>
  <c r="P8" i="24"/>
  <c r="P7" i="24"/>
  <c r="T7" i="24" s="1"/>
  <c r="P6" i="24"/>
  <c r="P5" i="24"/>
  <c r="P4" i="24"/>
  <c r="Q18" i="23"/>
  <c r="X16" i="23"/>
  <c r="I21" i="3" s="1"/>
  <c r="W16" i="23"/>
  <c r="V16" i="23"/>
  <c r="G21" i="3" s="1"/>
  <c r="U16" i="23"/>
  <c r="T16" i="23"/>
  <c r="S16" i="23"/>
  <c r="D21" i="3" s="1"/>
  <c r="R16" i="23"/>
  <c r="Q16" i="23"/>
  <c r="P15" i="23"/>
  <c r="P14" i="23"/>
  <c r="R14" i="23" s="1"/>
  <c r="P13" i="23"/>
  <c r="P12" i="23"/>
  <c r="P11" i="23"/>
  <c r="P10" i="23"/>
  <c r="P9" i="23"/>
  <c r="P8" i="23"/>
  <c r="P7" i="23"/>
  <c r="P6" i="23"/>
  <c r="P5" i="23"/>
  <c r="P4" i="23"/>
  <c r="Q18" i="22"/>
  <c r="X16" i="22"/>
  <c r="W16" i="22"/>
  <c r="V16" i="22"/>
  <c r="U16" i="22"/>
  <c r="T16" i="22"/>
  <c r="S16" i="22"/>
  <c r="R16" i="22"/>
  <c r="Q16" i="22"/>
  <c r="P15" i="22"/>
  <c r="P14" i="22"/>
  <c r="P13" i="22"/>
  <c r="P12" i="22"/>
  <c r="P11" i="22"/>
  <c r="P10" i="22"/>
  <c r="P9" i="22"/>
  <c r="P8" i="22"/>
  <c r="P7" i="22"/>
  <c r="P6" i="22"/>
  <c r="P5" i="22"/>
  <c r="P4" i="22"/>
  <c r="V4" i="22" s="1"/>
  <c r="Q18" i="21"/>
  <c r="X16" i="21"/>
  <c r="I19" i="3" s="1"/>
  <c r="W16" i="21"/>
  <c r="H19" i="3" s="1"/>
  <c r="V16" i="21"/>
  <c r="G19" i="3" s="1"/>
  <c r="U16" i="21"/>
  <c r="F19" i="3" s="1"/>
  <c r="T16" i="21"/>
  <c r="E19" i="3" s="1"/>
  <c r="S16" i="21"/>
  <c r="D19" i="3" s="1"/>
  <c r="R16" i="21"/>
  <c r="C19" i="3" s="1"/>
  <c r="Q16" i="21"/>
  <c r="B19" i="3" s="1"/>
  <c r="P15" i="21"/>
  <c r="P14" i="21"/>
  <c r="P13" i="21"/>
  <c r="P12" i="21"/>
  <c r="P11" i="21"/>
  <c r="P10" i="21"/>
  <c r="P9" i="21"/>
  <c r="P8" i="21"/>
  <c r="P7" i="21"/>
  <c r="P6" i="21"/>
  <c r="P5" i="21"/>
  <c r="P4" i="21"/>
  <c r="Q18" i="20"/>
  <c r="X16" i="20"/>
  <c r="I18" i="3" s="1"/>
  <c r="W16" i="20"/>
  <c r="H18" i="3" s="1"/>
  <c r="V16" i="20"/>
  <c r="G18" i="3" s="1"/>
  <c r="U16" i="20"/>
  <c r="F18" i="3" s="1"/>
  <c r="T16" i="20"/>
  <c r="E18" i="3" s="1"/>
  <c r="S16" i="20"/>
  <c r="D18" i="3" s="1"/>
  <c r="R16" i="20"/>
  <c r="C18" i="3" s="1"/>
  <c r="Q16" i="20"/>
  <c r="B18" i="3" s="1"/>
  <c r="P15" i="20"/>
  <c r="P14" i="20"/>
  <c r="P13" i="20"/>
  <c r="P12" i="20"/>
  <c r="P11" i="20"/>
  <c r="P10" i="20"/>
  <c r="P9" i="20"/>
  <c r="P8" i="20"/>
  <c r="P7" i="20"/>
  <c r="P6" i="20"/>
  <c r="P5" i="20"/>
  <c r="P4" i="20"/>
  <c r="Q18" i="19"/>
  <c r="X16" i="19"/>
  <c r="I17" i="3" s="1"/>
  <c r="W16" i="19"/>
  <c r="H17" i="3" s="1"/>
  <c r="V16" i="19"/>
  <c r="G17" i="3" s="1"/>
  <c r="U16" i="19"/>
  <c r="F17" i="3" s="1"/>
  <c r="T16" i="19"/>
  <c r="E17" i="3" s="1"/>
  <c r="S16" i="19"/>
  <c r="D17" i="3" s="1"/>
  <c r="R16" i="19"/>
  <c r="C17" i="3" s="1"/>
  <c r="Q16" i="19"/>
  <c r="B17" i="3" s="1"/>
  <c r="P15" i="19"/>
  <c r="P14" i="19"/>
  <c r="P13" i="19"/>
  <c r="P12" i="19"/>
  <c r="P11" i="19"/>
  <c r="P10" i="19"/>
  <c r="P9" i="19"/>
  <c r="P8" i="19"/>
  <c r="P7" i="19"/>
  <c r="P6" i="19"/>
  <c r="P5" i="19"/>
  <c r="P4" i="19"/>
  <c r="Q18" i="18"/>
  <c r="X16" i="18"/>
  <c r="W16" i="18"/>
  <c r="V16" i="18"/>
  <c r="U16" i="18"/>
  <c r="T16" i="18"/>
  <c r="S16" i="18"/>
  <c r="R16" i="18"/>
  <c r="Q16" i="18"/>
  <c r="P15" i="18"/>
  <c r="P14" i="18"/>
  <c r="P13" i="18"/>
  <c r="P12" i="18"/>
  <c r="P11" i="18"/>
  <c r="P10" i="18"/>
  <c r="P9" i="18"/>
  <c r="P8" i="18"/>
  <c r="P7" i="18"/>
  <c r="P6" i="18"/>
  <c r="P5" i="18"/>
  <c r="P4" i="18"/>
  <c r="Q18" i="17"/>
  <c r="X16" i="17"/>
  <c r="W16" i="17"/>
  <c r="V16" i="17"/>
  <c r="U16" i="17"/>
  <c r="T16" i="17"/>
  <c r="S16" i="17"/>
  <c r="R16" i="17"/>
  <c r="Q16" i="17"/>
  <c r="P15" i="17"/>
  <c r="P14" i="17"/>
  <c r="P13" i="17"/>
  <c r="P12" i="17"/>
  <c r="P11" i="17"/>
  <c r="P10" i="17"/>
  <c r="P9" i="17"/>
  <c r="P8" i="17"/>
  <c r="P7" i="17"/>
  <c r="P6" i="17"/>
  <c r="P5" i="17"/>
  <c r="X4" i="17"/>
  <c r="P4" i="17"/>
  <c r="Q18" i="16"/>
  <c r="X16" i="16"/>
  <c r="I14" i="3" s="1"/>
  <c r="W16" i="16"/>
  <c r="H14" i="3" s="1"/>
  <c r="V16" i="16"/>
  <c r="G14" i="3" s="1"/>
  <c r="U16" i="16"/>
  <c r="F14" i="3" s="1"/>
  <c r="T16" i="16"/>
  <c r="E14" i="3" s="1"/>
  <c r="S16" i="16"/>
  <c r="D14" i="3" s="1"/>
  <c r="R16" i="16"/>
  <c r="C14" i="3" s="1"/>
  <c r="Q16" i="16"/>
  <c r="B14" i="3" s="1"/>
  <c r="P15" i="16"/>
  <c r="P14" i="16"/>
  <c r="P13" i="16"/>
  <c r="P12" i="16"/>
  <c r="P11" i="16"/>
  <c r="P10" i="16"/>
  <c r="P9" i="16"/>
  <c r="P8" i="16"/>
  <c r="P7" i="16"/>
  <c r="P6" i="16"/>
  <c r="P5" i="16"/>
  <c r="P4" i="16"/>
  <c r="Q18" i="15"/>
  <c r="X16" i="15"/>
  <c r="I13" i="3" s="1"/>
  <c r="W16" i="15"/>
  <c r="H13" i="3" s="1"/>
  <c r="V16" i="15"/>
  <c r="G13" i="3" s="1"/>
  <c r="U16" i="15"/>
  <c r="F13" i="3" s="1"/>
  <c r="T16" i="15"/>
  <c r="E13" i="3" s="1"/>
  <c r="S16" i="15"/>
  <c r="D13" i="3" s="1"/>
  <c r="R16" i="15"/>
  <c r="C13" i="3" s="1"/>
  <c r="Q16" i="15"/>
  <c r="B13" i="3" s="1"/>
  <c r="P15" i="15"/>
  <c r="P14" i="15"/>
  <c r="P13" i="15"/>
  <c r="P12" i="15"/>
  <c r="P11" i="15"/>
  <c r="P10" i="15"/>
  <c r="P9" i="15"/>
  <c r="P8" i="15"/>
  <c r="P7" i="15"/>
  <c r="P6" i="15"/>
  <c r="P5" i="15"/>
  <c r="P4" i="15"/>
  <c r="Q18" i="14"/>
  <c r="X16" i="14"/>
  <c r="I12" i="3" s="1"/>
  <c r="W16" i="14"/>
  <c r="H12" i="3" s="1"/>
  <c r="V16" i="14"/>
  <c r="G12" i="3" s="1"/>
  <c r="U16" i="14"/>
  <c r="F12" i="3" s="1"/>
  <c r="T16" i="14"/>
  <c r="E12" i="3" s="1"/>
  <c r="S16" i="14"/>
  <c r="D12" i="3" s="1"/>
  <c r="R16" i="14"/>
  <c r="C12" i="3" s="1"/>
  <c r="Q16" i="14"/>
  <c r="B12" i="3" s="1"/>
  <c r="P15" i="14"/>
  <c r="P14" i="14"/>
  <c r="X14" i="14" s="1"/>
  <c r="P13" i="14"/>
  <c r="P12" i="14"/>
  <c r="P11" i="14"/>
  <c r="P10" i="14"/>
  <c r="P9" i="14"/>
  <c r="P8" i="14"/>
  <c r="P7" i="14"/>
  <c r="P6" i="14"/>
  <c r="P5" i="14"/>
  <c r="P4" i="14"/>
  <c r="Q18" i="13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B11" i="3" s="1"/>
  <c r="P15" i="13"/>
  <c r="P14" i="13"/>
  <c r="P13" i="13"/>
  <c r="P12" i="13"/>
  <c r="P11" i="13"/>
  <c r="P10" i="13"/>
  <c r="P9" i="13"/>
  <c r="P8" i="13"/>
  <c r="P7" i="13"/>
  <c r="P6" i="13"/>
  <c r="P5" i="13"/>
  <c r="P4" i="13"/>
  <c r="Q18" i="12"/>
  <c r="X16" i="12"/>
  <c r="I10" i="3" s="1"/>
  <c r="W16" i="12"/>
  <c r="H10" i="3" s="1"/>
  <c r="V16" i="12"/>
  <c r="G10" i="3" s="1"/>
  <c r="U16" i="12"/>
  <c r="F10" i="3" s="1"/>
  <c r="T16" i="12"/>
  <c r="E10" i="3" s="1"/>
  <c r="S16" i="12"/>
  <c r="D10" i="3" s="1"/>
  <c r="R16" i="12"/>
  <c r="C10" i="3" s="1"/>
  <c r="Q16" i="12"/>
  <c r="B10" i="3" s="1"/>
  <c r="P15" i="12"/>
  <c r="P14" i="12"/>
  <c r="P13" i="12"/>
  <c r="P12" i="12"/>
  <c r="P11" i="12"/>
  <c r="P10" i="12"/>
  <c r="P9" i="12"/>
  <c r="P8" i="12"/>
  <c r="P7" i="12"/>
  <c r="P6" i="12"/>
  <c r="P5" i="12"/>
  <c r="P4" i="12"/>
  <c r="Q18" i="11"/>
  <c r="X16" i="11"/>
  <c r="I9" i="3" s="1"/>
  <c r="W16" i="11"/>
  <c r="H9" i="3" s="1"/>
  <c r="V16" i="11"/>
  <c r="G9" i="3" s="1"/>
  <c r="U16" i="11"/>
  <c r="T16" i="11"/>
  <c r="S16" i="11"/>
  <c r="R16" i="11"/>
  <c r="Q16" i="11"/>
  <c r="P15" i="11"/>
  <c r="P14" i="11"/>
  <c r="P13" i="11"/>
  <c r="P12" i="11"/>
  <c r="S12" i="11" s="1"/>
  <c r="P11" i="11"/>
  <c r="P10" i="11"/>
  <c r="P9" i="11"/>
  <c r="P8" i="11"/>
  <c r="P7" i="11"/>
  <c r="P6" i="11"/>
  <c r="P5" i="11"/>
  <c r="P4" i="11"/>
  <c r="Q18" i="10"/>
  <c r="X16" i="10"/>
  <c r="I8" i="3" s="1"/>
  <c r="W16" i="10"/>
  <c r="H8" i="3" s="1"/>
  <c r="V16" i="10"/>
  <c r="G8" i="3" s="1"/>
  <c r="U16" i="10"/>
  <c r="F8" i="3" s="1"/>
  <c r="T16" i="10"/>
  <c r="E8" i="3" s="1"/>
  <c r="S16" i="10"/>
  <c r="D8" i="3" s="1"/>
  <c r="R16" i="10"/>
  <c r="C8" i="3" s="1"/>
  <c r="Q16" i="10"/>
  <c r="B8" i="3" s="1"/>
  <c r="P15" i="10"/>
  <c r="P14" i="10"/>
  <c r="P13" i="10"/>
  <c r="P12" i="10"/>
  <c r="P11" i="10"/>
  <c r="P10" i="10"/>
  <c r="P9" i="10"/>
  <c r="P8" i="10"/>
  <c r="P7" i="10"/>
  <c r="P6" i="10"/>
  <c r="P5" i="10"/>
  <c r="P4" i="10"/>
  <c r="Q18" i="9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B7" i="3" s="1"/>
  <c r="P15" i="9"/>
  <c r="P14" i="9"/>
  <c r="P13" i="9"/>
  <c r="P12" i="9"/>
  <c r="P11" i="9"/>
  <c r="P10" i="9"/>
  <c r="P9" i="9"/>
  <c r="P8" i="9"/>
  <c r="W8" i="9" s="1"/>
  <c r="P7" i="9"/>
  <c r="P6" i="9"/>
  <c r="P5" i="9"/>
  <c r="P4" i="9"/>
  <c r="Q18" i="8"/>
  <c r="X16" i="8"/>
  <c r="W16" i="8"/>
  <c r="V16" i="8"/>
  <c r="U16" i="8"/>
  <c r="T16" i="8"/>
  <c r="S16" i="8"/>
  <c r="R16" i="8"/>
  <c r="Q16" i="8"/>
  <c r="P15" i="8"/>
  <c r="T15" i="8" s="1"/>
  <c r="P14" i="8"/>
  <c r="P13" i="8"/>
  <c r="P12" i="8"/>
  <c r="P11" i="8"/>
  <c r="P10" i="8"/>
  <c r="P9" i="8"/>
  <c r="P8" i="8"/>
  <c r="P7" i="8"/>
  <c r="P6" i="8"/>
  <c r="P5" i="8"/>
  <c r="P4" i="8"/>
  <c r="Q18" i="7"/>
  <c r="X16" i="7"/>
  <c r="I5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P15" i="7"/>
  <c r="P14" i="7"/>
  <c r="P13" i="7"/>
  <c r="P12" i="7"/>
  <c r="P11" i="7"/>
  <c r="P10" i="7"/>
  <c r="P9" i="7"/>
  <c r="P8" i="7"/>
  <c r="P7" i="7"/>
  <c r="P6" i="7"/>
  <c r="P5" i="7"/>
  <c r="P4" i="7"/>
  <c r="Q18" i="6"/>
  <c r="X16" i="6"/>
  <c r="I4" i="3" s="1"/>
  <c r="W16" i="6"/>
  <c r="H4" i="3" s="1"/>
  <c r="V16" i="6"/>
  <c r="G4" i="3" s="1"/>
  <c r="U16" i="6"/>
  <c r="F4" i="3" s="1"/>
  <c r="T16" i="6"/>
  <c r="E4" i="3" s="1"/>
  <c r="S16" i="6"/>
  <c r="D4" i="3" s="1"/>
  <c r="R16" i="6"/>
  <c r="C4" i="3" s="1"/>
  <c r="Q16" i="6"/>
  <c r="U2" i="1" s="1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I31" i="3"/>
  <c r="H31" i="3"/>
  <c r="G31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H22" i="3"/>
  <c r="G22" i="3"/>
  <c r="F22" i="3"/>
  <c r="E22" i="3"/>
  <c r="D22" i="3"/>
  <c r="C22" i="3"/>
  <c r="B22" i="3"/>
  <c r="H21" i="3"/>
  <c r="F21" i="3"/>
  <c r="E21" i="3"/>
  <c r="C21" i="3"/>
  <c r="B21" i="3"/>
  <c r="I20" i="3"/>
  <c r="H20" i="3"/>
  <c r="G20" i="3"/>
  <c r="F20" i="3"/>
  <c r="E20" i="3"/>
  <c r="D20" i="3"/>
  <c r="C20" i="3"/>
  <c r="B20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F9" i="3"/>
  <c r="E9" i="3"/>
  <c r="D9" i="3"/>
  <c r="C9" i="3"/>
  <c r="B9" i="3"/>
  <c r="H15" i="2"/>
  <c r="H14" i="2"/>
  <c r="H13" i="2"/>
  <c r="H12" i="2"/>
  <c r="H11" i="2"/>
  <c r="H10" i="2"/>
  <c r="H9" i="2"/>
  <c r="H8" i="2"/>
  <c r="H7" i="2"/>
  <c r="H6" i="2"/>
  <c r="H5" i="2"/>
  <c r="H4" i="2"/>
  <c r="Q14" i="34" l="1"/>
  <c r="S14" i="34"/>
  <c r="X14" i="34"/>
  <c r="V14" i="34"/>
  <c r="U14" i="34"/>
  <c r="W14" i="34"/>
  <c r="T14" i="34"/>
  <c r="R14" i="34"/>
  <c r="W11" i="32"/>
  <c r="V11" i="32"/>
  <c r="X11" i="32"/>
  <c r="T11" i="32"/>
  <c r="U8" i="30"/>
  <c r="V8" i="30"/>
  <c r="W8" i="30"/>
  <c r="X8" i="30"/>
  <c r="W5" i="28"/>
  <c r="X5" i="28"/>
  <c r="S13" i="23"/>
  <c r="X13" i="23"/>
  <c r="W13" i="23"/>
  <c r="V13" i="23"/>
  <c r="U13" i="23"/>
  <c r="T13" i="23"/>
  <c r="R13" i="23"/>
  <c r="Q13" i="23"/>
  <c r="X10" i="21"/>
  <c r="W10" i="21"/>
  <c r="V10" i="21"/>
  <c r="U10" i="21"/>
  <c r="T10" i="21"/>
  <c r="S10" i="21"/>
  <c r="W7" i="19"/>
  <c r="V7" i="19"/>
  <c r="U7" i="19"/>
  <c r="T7" i="19"/>
  <c r="X7" i="19"/>
  <c r="V4" i="17"/>
  <c r="W4" i="17"/>
  <c r="Q9" i="10"/>
  <c r="X9" i="10"/>
  <c r="W9" i="10"/>
  <c r="U9" i="10"/>
  <c r="T9" i="10"/>
  <c r="V9" i="10"/>
  <c r="S9" i="10"/>
  <c r="R9" i="10"/>
  <c r="U6" i="8"/>
  <c r="T6" i="8"/>
  <c r="V6" i="8"/>
  <c r="X6" i="8"/>
  <c r="W6" i="8"/>
  <c r="X15" i="36"/>
  <c r="W15" i="36"/>
  <c r="V15" i="36"/>
  <c r="U15" i="36"/>
  <c r="T15" i="36"/>
  <c r="S15" i="36"/>
  <c r="R15" i="36"/>
  <c r="Q15" i="36"/>
  <c r="X14" i="36"/>
  <c r="W14" i="36"/>
  <c r="V14" i="36"/>
  <c r="U14" i="36"/>
  <c r="T14" i="36"/>
  <c r="S14" i="36"/>
  <c r="R14" i="36"/>
  <c r="Q14" i="36"/>
  <c r="X13" i="36"/>
  <c r="W13" i="36"/>
  <c r="V13" i="36"/>
  <c r="U13" i="36"/>
  <c r="T13" i="36"/>
  <c r="S13" i="36"/>
  <c r="R13" i="36"/>
  <c r="Q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X10" i="36"/>
  <c r="W10" i="36"/>
  <c r="V10" i="36"/>
  <c r="U10" i="36"/>
  <c r="T10" i="36"/>
  <c r="S10" i="36"/>
  <c r="R10" i="36"/>
  <c r="Q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S5" i="36"/>
  <c r="R5" i="36"/>
  <c r="Q5" i="36"/>
  <c r="X4" i="36"/>
  <c r="W4" i="36"/>
  <c r="V4" i="36"/>
  <c r="U4" i="36"/>
  <c r="T4" i="36"/>
  <c r="S4" i="36"/>
  <c r="R4" i="36"/>
  <c r="Q4" i="36"/>
  <c r="X15" i="35"/>
  <c r="W15" i="35"/>
  <c r="V15" i="35"/>
  <c r="U15" i="35"/>
  <c r="T15" i="35"/>
  <c r="S15" i="35"/>
  <c r="R15" i="35"/>
  <c r="Q15" i="35"/>
  <c r="X14" i="35"/>
  <c r="W14" i="35"/>
  <c r="V14" i="35"/>
  <c r="U14" i="35"/>
  <c r="T14" i="35"/>
  <c r="S14" i="35"/>
  <c r="R14" i="35"/>
  <c r="Q14" i="35"/>
  <c r="X13" i="35"/>
  <c r="W13" i="35"/>
  <c r="V13" i="35"/>
  <c r="U13" i="35"/>
  <c r="T13" i="35"/>
  <c r="S13" i="35"/>
  <c r="R13" i="35"/>
  <c r="Q13" i="35"/>
  <c r="X12" i="35"/>
  <c r="W12" i="35"/>
  <c r="V12" i="35"/>
  <c r="U12" i="35"/>
  <c r="T12" i="35"/>
  <c r="S12" i="35"/>
  <c r="R12" i="35"/>
  <c r="Q12" i="35"/>
  <c r="X11" i="35"/>
  <c r="W11" i="35"/>
  <c r="V11" i="35"/>
  <c r="U11" i="35"/>
  <c r="T11" i="35"/>
  <c r="S11" i="35"/>
  <c r="R11" i="35"/>
  <c r="Q11" i="35"/>
  <c r="X10" i="35"/>
  <c r="W10" i="35"/>
  <c r="V10" i="35"/>
  <c r="U10" i="35"/>
  <c r="T10" i="35"/>
  <c r="S10" i="35"/>
  <c r="R10" i="35"/>
  <c r="Q10" i="35"/>
  <c r="X9" i="35"/>
  <c r="W9" i="35"/>
  <c r="V9" i="35"/>
  <c r="U9" i="35"/>
  <c r="T9" i="35"/>
  <c r="S9" i="35"/>
  <c r="R9" i="35"/>
  <c r="Q9" i="35"/>
  <c r="X8" i="35"/>
  <c r="W8" i="35"/>
  <c r="V8" i="35"/>
  <c r="U8" i="35"/>
  <c r="T8" i="35"/>
  <c r="S8" i="35"/>
  <c r="R8" i="35"/>
  <c r="Q8" i="35"/>
  <c r="X7" i="35"/>
  <c r="W7" i="35"/>
  <c r="V7" i="35"/>
  <c r="U7" i="35"/>
  <c r="T7" i="35"/>
  <c r="S7" i="35"/>
  <c r="R7" i="35"/>
  <c r="Q7" i="35"/>
  <c r="X6" i="35"/>
  <c r="W6" i="35"/>
  <c r="V6" i="35"/>
  <c r="U6" i="35"/>
  <c r="T6" i="35"/>
  <c r="S6" i="35"/>
  <c r="R6" i="35"/>
  <c r="Q6" i="35"/>
  <c r="X5" i="35"/>
  <c r="W5" i="35"/>
  <c r="V5" i="35"/>
  <c r="U5" i="35"/>
  <c r="T5" i="35"/>
  <c r="S5" i="35"/>
  <c r="R5" i="35"/>
  <c r="Q5" i="35"/>
  <c r="X4" i="35"/>
  <c r="W4" i="35"/>
  <c r="V4" i="35"/>
  <c r="U4" i="35"/>
  <c r="T4" i="35"/>
  <c r="S4" i="35"/>
  <c r="R4" i="35"/>
  <c r="Q4" i="35"/>
  <c r="X15" i="34"/>
  <c r="W15" i="34"/>
  <c r="V15" i="34"/>
  <c r="U15" i="34"/>
  <c r="T15" i="34"/>
  <c r="S15" i="34"/>
  <c r="R15" i="34"/>
  <c r="Q15" i="34"/>
  <c r="V13" i="34"/>
  <c r="U13" i="34"/>
  <c r="T13" i="34"/>
  <c r="S13" i="34"/>
  <c r="R13" i="34"/>
  <c r="Q13" i="34"/>
  <c r="X13" i="34"/>
  <c r="W13" i="34"/>
  <c r="Q12" i="34"/>
  <c r="R12" i="34"/>
  <c r="S12" i="34"/>
  <c r="T12" i="34"/>
  <c r="U12" i="34"/>
  <c r="W12" i="34"/>
  <c r="X12" i="34"/>
  <c r="V12" i="34"/>
  <c r="U11" i="34"/>
  <c r="W11" i="34"/>
  <c r="Q11" i="34"/>
  <c r="R11" i="34"/>
  <c r="S11" i="34"/>
  <c r="X11" i="34"/>
  <c r="T11" i="34"/>
  <c r="V11" i="34"/>
  <c r="R10" i="34"/>
  <c r="Q10" i="34"/>
  <c r="S10" i="34"/>
  <c r="T10" i="34"/>
  <c r="U10" i="34"/>
  <c r="V10" i="34"/>
  <c r="W10" i="34"/>
  <c r="X10" i="34"/>
  <c r="X9" i="34"/>
  <c r="Q9" i="34"/>
  <c r="R9" i="34"/>
  <c r="S9" i="34"/>
  <c r="T9" i="34"/>
  <c r="V9" i="34"/>
  <c r="W9" i="34"/>
  <c r="U9" i="34"/>
  <c r="V8" i="34"/>
  <c r="U8" i="34"/>
  <c r="X8" i="34"/>
  <c r="W8" i="34"/>
  <c r="T8" i="34"/>
  <c r="S8" i="34"/>
  <c r="R8" i="34"/>
  <c r="Q8" i="34"/>
  <c r="Q7" i="34"/>
  <c r="R7" i="34"/>
  <c r="S7" i="34"/>
  <c r="U7" i="34"/>
  <c r="T7" i="34"/>
  <c r="X7" i="34"/>
  <c r="W7" i="34"/>
  <c r="V7" i="34"/>
  <c r="S6" i="34"/>
  <c r="R6" i="34"/>
  <c r="Q6" i="34"/>
  <c r="V6" i="34"/>
  <c r="X6" i="34"/>
  <c r="W6" i="34"/>
  <c r="U6" i="34"/>
  <c r="T6" i="34"/>
  <c r="Q5" i="34"/>
  <c r="R5" i="34"/>
  <c r="T5" i="34"/>
  <c r="S5" i="34"/>
  <c r="U5" i="34"/>
  <c r="V5" i="34"/>
  <c r="W5" i="34"/>
  <c r="X5" i="34"/>
  <c r="X4" i="34"/>
  <c r="Q4" i="34"/>
  <c r="R4" i="34"/>
  <c r="S4" i="34"/>
  <c r="T4" i="34"/>
  <c r="U4" i="34"/>
  <c r="V4" i="34"/>
  <c r="W4" i="34"/>
  <c r="X15" i="33"/>
  <c r="W15" i="33"/>
  <c r="V15" i="33"/>
  <c r="U15" i="33"/>
  <c r="T15" i="33"/>
  <c r="R15" i="33"/>
  <c r="Q15" i="33"/>
  <c r="S15" i="33"/>
  <c r="X14" i="33"/>
  <c r="Q14" i="33"/>
  <c r="R14" i="33"/>
  <c r="S14" i="33"/>
  <c r="T14" i="33"/>
  <c r="U14" i="33"/>
  <c r="V14" i="33"/>
  <c r="W14" i="33"/>
  <c r="U13" i="33"/>
  <c r="T13" i="33"/>
  <c r="S13" i="33"/>
  <c r="R13" i="33"/>
  <c r="W13" i="33"/>
  <c r="Q13" i="33"/>
  <c r="X13" i="33"/>
  <c r="V13" i="33"/>
  <c r="U12" i="33"/>
  <c r="Q12" i="33"/>
  <c r="R12" i="33"/>
  <c r="S12" i="33"/>
  <c r="T12" i="33"/>
  <c r="V12" i="33"/>
  <c r="W12" i="33"/>
  <c r="X12" i="33"/>
  <c r="S11" i="33"/>
  <c r="Q11" i="33"/>
  <c r="R11" i="33"/>
  <c r="T11" i="33"/>
  <c r="U11" i="33"/>
  <c r="V11" i="33"/>
  <c r="W11" i="33"/>
  <c r="X11" i="33"/>
  <c r="Q10" i="33"/>
  <c r="X10" i="33"/>
  <c r="W10" i="33"/>
  <c r="V10" i="33"/>
  <c r="U10" i="33"/>
  <c r="T10" i="33"/>
  <c r="S10" i="33"/>
  <c r="R10" i="33"/>
  <c r="R9" i="33"/>
  <c r="Q9" i="33"/>
  <c r="X9" i="33"/>
  <c r="W9" i="33"/>
  <c r="V9" i="33"/>
  <c r="U9" i="33"/>
  <c r="T9" i="33"/>
  <c r="S9" i="33"/>
  <c r="S8" i="33"/>
  <c r="R8" i="33"/>
  <c r="U8" i="33"/>
  <c r="W8" i="33"/>
  <c r="X8" i="33"/>
  <c r="T8" i="33"/>
  <c r="Q8" i="33"/>
  <c r="V8" i="33"/>
  <c r="W7" i="33"/>
  <c r="V7" i="33"/>
  <c r="U7" i="33"/>
  <c r="T7" i="33"/>
  <c r="S7" i="33"/>
  <c r="R7" i="33"/>
  <c r="Q7" i="33"/>
  <c r="X7" i="33"/>
  <c r="X6" i="33"/>
  <c r="Q6" i="33"/>
  <c r="W6" i="33"/>
  <c r="V6" i="33"/>
  <c r="U6" i="33"/>
  <c r="T6" i="33"/>
  <c r="S6" i="33"/>
  <c r="R6" i="33"/>
  <c r="X5" i="33"/>
  <c r="W5" i="33"/>
  <c r="V5" i="33"/>
  <c r="U5" i="33"/>
  <c r="T5" i="33"/>
  <c r="S5" i="33"/>
  <c r="R5" i="33"/>
  <c r="Q5" i="33"/>
  <c r="X4" i="33"/>
  <c r="W4" i="33"/>
  <c r="R4" i="33"/>
  <c r="V4" i="33"/>
  <c r="T4" i="33"/>
  <c r="S4" i="33"/>
  <c r="Q4" i="33"/>
  <c r="U4" i="33"/>
  <c r="R15" i="32"/>
  <c r="X15" i="32"/>
  <c r="Q15" i="32"/>
  <c r="W15" i="32"/>
  <c r="V15" i="32"/>
  <c r="U15" i="32"/>
  <c r="T15" i="32"/>
  <c r="S15" i="32"/>
  <c r="V14" i="32"/>
  <c r="W14" i="32"/>
  <c r="X14" i="32"/>
  <c r="T14" i="32"/>
  <c r="S14" i="32"/>
  <c r="R14" i="32"/>
  <c r="Q14" i="32"/>
  <c r="U14" i="32"/>
  <c r="U13" i="32"/>
  <c r="T13" i="32"/>
  <c r="S13" i="32"/>
  <c r="W13" i="32"/>
  <c r="Q13" i="32"/>
  <c r="X13" i="32"/>
  <c r="V13" i="32"/>
  <c r="R13" i="32"/>
  <c r="T12" i="32"/>
  <c r="U12" i="32"/>
  <c r="V12" i="32"/>
  <c r="W12" i="32"/>
  <c r="X12" i="32"/>
  <c r="Q12" i="32"/>
  <c r="R12" i="32"/>
  <c r="S12" i="32"/>
  <c r="Q11" i="32"/>
  <c r="S11" i="32"/>
  <c r="R11" i="32"/>
  <c r="R10" i="32"/>
  <c r="Q10" i="32"/>
  <c r="X10" i="32"/>
  <c r="W10" i="32"/>
  <c r="V10" i="32"/>
  <c r="U10" i="32"/>
  <c r="T10" i="32"/>
  <c r="S10" i="32"/>
  <c r="X9" i="32"/>
  <c r="W9" i="32"/>
  <c r="V9" i="32"/>
  <c r="T9" i="32"/>
  <c r="S9" i="32"/>
  <c r="R9" i="32"/>
  <c r="Q9" i="32"/>
  <c r="U9" i="32"/>
  <c r="S8" i="32"/>
  <c r="X8" i="32"/>
  <c r="W8" i="32"/>
  <c r="V8" i="32"/>
  <c r="U8" i="32"/>
  <c r="T8" i="32"/>
  <c r="Q8" i="32"/>
  <c r="R8" i="32"/>
  <c r="S7" i="32"/>
  <c r="R7" i="32"/>
  <c r="Q7" i="32"/>
  <c r="X7" i="32"/>
  <c r="W7" i="32"/>
  <c r="V7" i="32"/>
  <c r="U7" i="32"/>
  <c r="T7" i="32"/>
  <c r="V6" i="32"/>
  <c r="U6" i="32"/>
  <c r="T6" i="32"/>
  <c r="S6" i="32"/>
  <c r="R6" i="32"/>
  <c r="X6" i="32"/>
  <c r="Q6" i="32"/>
  <c r="W6" i="32"/>
  <c r="Q5" i="32"/>
  <c r="S5" i="32"/>
  <c r="T5" i="32"/>
  <c r="U5" i="32"/>
  <c r="W5" i="32"/>
  <c r="X5" i="32"/>
  <c r="V5" i="32"/>
  <c r="R5" i="32"/>
  <c r="X4" i="32"/>
  <c r="W4" i="32"/>
  <c r="V4" i="32"/>
  <c r="U4" i="32"/>
  <c r="T4" i="32"/>
  <c r="S4" i="32"/>
  <c r="R4" i="32"/>
  <c r="Q4" i="32"/>
  <c r="X15" i="31"/>
  <c r="W15" i="31"/>
  <c r="V15" i="31"/>
  <c r="Q15" i="31"/>
  <c r="R15" i="31"/>
  <c r="S15" i="31"/>
  <c r="T15" i="31"/>
  <c r="U15" i="31"/>
  <c r="S14" i="31"/>
  <c r="Q14" i="31"/>
  <c r="R14" i="31"/>
  <c r="T14" i="31"/>
  <c r="U14" i="31"/>
  <c r="V14" i="31"/>
  <c r="W14" i="31"/>
  <c r="X14" i="31"/>
  <c r="U13" i="31"/>
  <c r="T13" i="31"/>
  <c r="Q13" i="31"/>
  <c r="R13" i="31"/>
  <c r="S13" i="31"/>
  <c r="W13" i="31"/>
  <c r="X13" i="31"/>
  <c r="V13" i="31"/>
  <c r="W12" i="31"/>
  <c r="V12" i="31"/>
  <c r="T12" i="31"/>
  <c r="X12" i="31"/>
  <c r="U12" i="31"/>
  <c r="Q12" i="31"/>
  <c r="R12" i="31"/>
  <c r="S12" i="31"/>
  <c r="W11" i="31"/>
  <c r="Q11" i="31"/>
  <c r="R11" i="31"/>
  <c r="S11" i="31"/>
  <c r="T11" i="31"/>
  <c r="U11" i="31"/>
  <c r="V11" i="31"/>
  <c r="X11" i="31"/>
  <c r="S10" i="31"/>
  <c r="X10" i="31"/>
  <c r="W10" i="31"/>
  <c r="V10" i="31"/>
  <c r="U10" i="31"/>
  <c r="R10" i="31"/>
  <c r="Q10" i="31"/>
  <c r="T10" i="31"/>
  <c r="X9" i="31"/>
  <c r="W9" i="31"/>
  <c r="V9" i="31"/>
  <c r="U9" i="31"/>
  <c r="T9" i="31"/>
  <c r="S9" i="31"/>
  <c r="R9" i="31"/>
  <c r="Q9" i="31"/>
  <c r="X8" i="31"/>
  <c r="V8" i="31"/>
  <c r="U8" i="31"/>
  <c r="S8" i="31"/>
  <c r="Q8" i="31"/>
  <c r="R8" i="31"/>
  <c r="T8" i="31"/>
  <c r="W8" i="31"/>
  <c r="T7" i="31"/>
  <c r="S7" i="31"/>
  <c r="R7" i="31"/>
  <c r="Q7" i="31"/>
  <c r="X7" i="31"/>
  <c r="W7" i="31"/>
  <c r="V7" i="31"/>
  <c r="U7" i="31"/>
  <c r="Q6" i="31"/>
  <c r="X6" i="31"/>
  <c r="W6" i="31"/>
  <c r="V6" i="31"/>
  <c r="U6" i="31"/>
  <c r="T6" i="31"/>
  <c r="S6" i="31"/>
  <c r="R6" i="31"/>
  <c r="W5" i="31"/>
  <c r="V5" i="31"/>
  <c r="U5" i="31"/>
  <c r="T5" i="31"/>
  <c r="S5" i="31"/>
  <c r="R5" i="31"/>
  <c r="X5" i="31"/>
  <c r="Q5" i="31"/>
  <c r="Q4" i="31"/>
  <c r="U4" i="31"/>
  <c r="T4" i="31"/>
  <c r="X4" i="31"/>
  <c r="W4" i="31"/>
  <c r="S4" i="31"/>
  <c r="R4" i="31"/>
  <c r="V4" i="31"/>
  <c r="S15" i="30"/>
  <c r="Q15" i="30"/>
  <c r="W15" i="30"/>
  <c r="R15" i="30"/>
  <c r="U15" i="30"/>
  <c r="X15" i="30"/>
  <c r="V15" i="30"/>
  <c r="T15" i="30"/>
  <c r="T14" i="30"/>
  <c r="S14" i="30"/>
  <c r="R14" i="30"/>
  <c r="X14" i="30"/>
  <c r="W14" i="30"/>
  <c r="V14" i="30"/>
  <c r="Q14" i="30"/>
  <c r="U14" i="30"/>
  <c r="V13" i="30"/>
  <c r="Q13" i="30"/>
  <c r="R13" i="30"/>
  <c r="S13" i="30"/>
  <c r="T13" i="30"/>
  <c r="W13" i="30"/>
  <c r="X13" i="30"/>
  <c r="U13" i="30"/>
  <c r="R12" i="30"/>
  <c r="Q12" i="30"/>
  <c r="V12" i="30"/>
  <c r="T12" i="30"/>
  <c r="U12" i="30"/>
  <c r="W12" i="30"/>
  <c r="X12" i="30"/>
  <c r="S12" i="30"/>
  <c r="T11" i="30"/>
  <c r="S11" i="30"/>
  <c r="R11" i="30"/>
  <c r="U11" i="30"/>
  <c r="V11" i="30"/>
  <c r="W11" i="30"/>
  <c r="X11" i="30"/>
  <c r="Q11" i="30"/>
  <c r="R10" i="30"/>
  <c r="S10" i="30"/>
  <c r="U10" i="30"/>
  <c r="Q10" i="30"/>
  <c r="X10" i="30"/>
  <c r="T10" i="30"/>
  <c r="V10" i="30"/>
  <c r="W10" i="30"/>
  <c r="W9" i="30"/>
  <c r="U9" i="30"/>
  <c r="T9" i="30"/>
  <c r="S9" i="30"/>
  <c r="R9" i="30"/>
  <c r="Q9" i="30"/>
  <c r="V9" i="30"/>
  <c r="X9" i="30"/>
  <c r="S8" i="30"/>
  <c r="R8" i="30"/>
  <c r="Q8" i="30"/>
  <c r="T8" i="30"/>
  <c r="R7" i="30"/>
  <c r="T7" i="30"/>
  <c r="Q7" i="30"/>
  <c r="U7" i="30"/>
  <c r="X7" i="30"/>
  <c r="W7" i="30"/>
  <c r="S7" i="30"/>
  <c r="V7" i="30"/>
  <c r="Q6" i="30"/>
  <c r="U6" i="30"/>
  <c r="V6" i="30"/>
  <c r="W6" i="30"/>
  <c r="X6" i="30"/>
  <c r="R6" i="30"/>
  <c r="S6" i="30"/>
  <c r="T6" i="30"/>
  <c r="Q5" i="30"/>
  <c r="R5" i="30"/>
  <c r="W5" i="30"/>
  <c r="U5" i="30"/>
  <c r="X5" i="30"/>
  <c r="V5" i="30"/>
  <c r="T5" i="30"/>
  <c r="S5" i="30"/>
  <c r="R4" i="30"/>
  <c r="Q4" i="30"/>
  <c r="T4" i="30"/>
  <c r="S4" i="30"/>
  <c r="U4" i="30"/>
  <c r="V4" i="30"/>
  <c r="W4" i="30"/>
  <c r="X4" i="30"/>
  <c r="R15" i="29"/>
  <c r="S15" i="29"/>
  <c r="T15" i="29"/>
  <c r="U15" i="29"/>
  <c r="V15" i="29"/>
  <c r="W15" i="29"/>
  <c r="X15" i="29"/>
  <c r="Q15" i="29"/>
  <c r="Q14" i="29"/>
  <c r="R14" i="29"/>
  <c r="S14" i="29"/>
  <c r="T14" i="29"/>
  <c r="U14" i="29"/>
  <c r="V14" i="29"/>
  <c r="W14" i="29"/>
  <c r="X14" i="29"/>
  <c r="W13" i="29"/>
  <c r="Q13" i="29"/>
  <c r="R13" i="29"/>
  <c r="S13" i="29"/>
  <c r="T13" i="29"/>
  <c r="U13" i="29"/>
  <c r="V13" i="29"/>
  <c r="X13" i="29"/>
  <c r="T12" i="29"/>
  <c r="S12" i="29"/>
  <c r="R12" i="29"/>
  <c r="Q12" i="29"/>
  <c r="U12" i="29"/>
  <c r="V12" i="29"/>
  <c r="W12" i="29"/>
  <c r="X12" i="29"/>
  <c r="V11" i="29"/>
  <c r="X11" i="29"/>
  <c r="T11" i="29"/>
  <c r="S11" i="29"/>
  <c r="R11" i="29"/>
  <c r="U11" i="29"/>
  <c r="Q11" i="29"/>
  <c r="W11" i="29"/>
  <c r="V10" i="29"/>
  <c r="X10" i="29"/>
  <c r="W10" i="29"/>
  <c r="U10" i="29"/>
  <c r="T10" i="29"/>
  <c r="S10" i="29"/>
  <c r="R10" i="29"/>
  <c r="Q10" i="29"/>
  <c r="T9" i="29"/>
  <c r="S9" i="29"/>
  <c r="R9" i="29"/>
  <c r="Q9" i="29"/>
  <c r="X9" i="29"/>
  <c r="W9" i="29"/>
  <c r="V9" i="29"/>
  <c r="U9" i="29"/>
  <c r="Q8" i="29"/>
  <c r="V8" i="29"/>
  <c r="X8" i="29"/>
  <c r="W8" i="29"/>
  <c r="T8" i="29"/>
  <c r="S8" i="29"/>
  <c r="R8" i="29"/>
  <c r="U8" i="29"/>
  <c r="Q7" i="29"/>
  <c r="X7" i="29"/>
  <c r="W7" i="29"/>
  <c r="U7" i="29"/>
  <c r="R7" i="29"/>
  <c r="V7" i="29"/>
  <c r="T7" i="29"/>
  <c r="S7" i="29"/>
  <c r="X6" i="29"/>
  <c r="W6" i="29"/>
  <c r="Q6" i="29"/>
  <c r="S6" i="29"/>
  <c r="R6" i="29"/>
  <c r="T6" i="29"/>
  <c r="U6" i="29"/>
  <c r="V6" i="29"/>
  <c r="X5" i="29"/>
  <c r="W5" i="29"/>
  <c r="Q5" i="29"/>
  <c r="R5" i="29"/>
  <c r="S5" i="29"/>
  <c r="T5" i="29"/>
  <c r="U5" i="29"/>
  <c r="V5" i="29"/>
  <c r="Q4" i="29"/>
  <c r="R4" i="29"/>
  <c r="T4" i="29"/>
  <c r="U4" i="29"/>
  <c r="V4" i="29"/>
  <c r="W4" i="29"/>
  <c r="X4" i="29"/>
  <c r="S4" i="29"/>
  <c r="X15" i="28"/>
  <c r="U15" i="28"/>
  <c r="Q15" i="28"/>
  <c r="R15" i="28"/>
  <c r="S15" i="28"/>
  <c r="T15" i="28"/>
  <c r="V15" i="28"/>
  <c r="W15" i="28"/>
  <c r="Q14" i="28"/>
  <c r="X14" i="28"/>
  <c r="W14" i="28"/>
  <c r="V14" i="28"/>
  <c r="U14" i="28"/>
  <c r="T14" i="28"/>
  <c r="R14" i="28"/>
  <c r="S14" i="28"/>
  <c r="Q13" i="28"/>
  <c r="S13" i="28"/>
  <c r="R13" i="28"/>
  <c r="T13" i="28"/>
  <c r="U13" i="28"/>
  <c r="V13" i="28"/>
  <c r="W13" i="28"/>
  <c r="X13" i="28"/>
  <c r="V12" i="28"/>
  <c r="W12" i="28"/>
  <c r="X12" i="28"/>
  <c r="U12" i="28"/>
  <c r="T12" i="28"/>
  <c r="S12" i="28"/>
  <c r="R12" i="28"/>
  <c r="Q12" i="28"/>
  <c r="Q11" i="28"/>
  <c r="R11" i="28"/>
  <c r="S11" i="28"/>
  <c r="W11" i="28"/>
  <c r="T11" i="28"/>
  <c r="U11" i="28"/>
  <c r="V11" i="28"/>
  <c r="X11" i="28"/>
  <c r="R10" i="28"/>
  <c r="U10" i="28"/>
  <c r="X10" i="28"/>
  <c r="W10" i="28"/>
  <c r="Q10" i="28"/>
  <c r="S10" i="28"/>
  <c r="T10" i="28"/>
  <c r="V10" i="28"/>
  <c r="S9" i="28"/>
  <c r="Q9" i="28"/>
  <c r="X9" i="28"/>
  <c r="W9" i="28"/>
  <c r="V9" i="28"/>
  <c r="U9" i="28"/>
  <c r="T9" i="28"/>
  <c r="R9" i="28"/>
  <c r="X8" i="28"/>
  <c r="W8" i="28"/>
  <c r="V8" i="28"/>
  <c r="U8" i="28"/>
  <c r="T8" i="28"/>
  <c r="S8" i="28"/>
  <c r="R8" i="28"/>
  <c r="Q8" i="28"/>
  <c r="X7" i="28"/>
  <c r="W7" i="28"/>
  <c r="V7" i="28"/>
  <c r="U7" i="28"/>
  <c r="T7" i="28"/>
  <c r="S7" i="28"/>
  <c r="R7" i="28"/>
  <c r="Q7" i="28"/>
  <c r="V6" i="28"/>
  <c r="X6" i="28"/>
  <c r="W6" i="28"/>
  <c r="U6" i="28"/>
  <c r="T6" i="28"/>
  <c r="S6" i="28"/>
  <c r="R6" i="28"/>
  <c r="Q6" i="28"/>
  <c r="V5" i="28"/>
  <c r="U5" i="28"/>
  <c r="T5" i="28"/>
  <c r="S5" i="28"/>
  <c r="Q5" i="28"/>
  <c r="R5" i="28"/>
  <c r="R4" i="28"/>
  <c r="Q4" i="28"/>
  <c r="X4" i="28"/>
  <c r="W4" i="28"/>
  <c r="V4" i="28"/>
  <c r="U4" i="28"/>
  <c r="T4" i="28"/>
  <c r="S4" i="28"/>
  <c r="R15" i="27"/>
  <c r="T15" i="27"/>
  <c r="U15" i="27"/>
  <c r="V15" i="27"/>
  <c r="W15" i="27"/>
  <c r="X15" i="27"/>
  <c r="S15" i="27"/>
  <c r="Q15" i="27"/>
  <c r="Q14" i="27"/>
  <c r="S14" i="27"/>
  <c r="U14" i="27"/>
  <c r="X14" i="27"/>
  <c r="W14" i="27"/>
  <c r="V14" i="27"/>
  <c r="T14" i="27"/>
  <c r="R14" i="27"/>
  <c r="V13" i="27"/>
  <c r="X13" i="27"/>
  <c r="U13" i="27"/>
  <c r="T13" i="27"/>
  <c r="S13" i="27"/>
  <c r="R13" i="27"/>
  <c r="Q13" i="27"/>
  <c r="W13" i="27"/>
  <c r="T12" i="27"/>
  <c r="R12" i="27"/>
  <c r="V12" i="27"/>
  <c r="X12" i="27"/>
  <c r="Q12" i="27"/>
  <c r="S12" i="27"/>
  <c r="U12" i="27"/>
  <c r="W12" i="27"/>
  <c r="S11" i="27"/>
  <c r="U11" i="27"/>
  <c r="V11" i="27"/>
  <c r="T11" i="27"/>
  <c r="R11" i="27"/>
  <c r="Q11" i="27"/>
  <c r="W11" i="27"/>
  <c r="X11" i="27"/>
  <c r="U10" i="27"/>
  <c r="W10" i="27"/>
  <c r="R10" i="27"/>
  <c r="X10" i="27"/>
  <c r="V10" i="27"/>
  <c r="T10" i="27"/>
  <c r="S10" i="27"/>
  <c r="Q10" i="27"/>
  <c r="T9" i="27"/>
  <c r="W9" i="27"/>
  <c r="R9" i="27"/>
  <c r="X9" i="27"/>
  <c r="U9" i="27"/>
  <c r="V9" i="27"/>
  <c r="S9" i="27"/>
  <c r="Q9" i="27"/>
  <c r="U8" i="27"/>
  <c r="T8" i="27"/>
  <c r="R8" i="27"/>
  <c r="S8" i="27"/>
  <c r="W8" i="27"/>
  <c r="X8" i="27"/>
  <c r="Q8" i="27"/>
  <c r="V8" i="27"/>
  <c r="T7" i="27"/>
  <c r="R7" i="27"/>
  <c r="V7" i="27"/>
  <c r="S7" i="27"/>
  <c r="U7" i="27"/>
  <c r="W7" i="27"/>
  <c r="X7" i="27"/>
  <c r="Q7" i="27"/>
  <c r="T6" i="27"/>
  <c r="Q6" i="27"/>
  <c r="R6" i="27"/>
  <c r="S6" i="27"/>
  <c r="X6" i="27"/>
  <c r="W6" i="27"/>
  <c r="V6" i="27"/>
  <c r="U6" i="27"/>
  <c r="X5" i="27"/>
  <c r="R5" i="27"/>
  <c r="U5" i="27"/>
  <c r="W5" i="27"/>
  <c r="S5" i="27"/>
  <c r="T5" i="27"/>
  <c r="V5" i="27"/>
  <c r="Q5" i="27"/>
  <c r="V4" i="27"/>
  <c r="W4" i="27"/>
  <c r="Q4" i="27"/>
  <c r="S4" i="27"/>
  <c r="U4" i="27"/>
  <c r="T4" i="27"/>
  <c r="R4" i="27"/>
  <c r="X4" i="27"/>
  <c r="W15" i="26"/>
  <c r="T15" i="26"/>
  <c r="U15" i="26"/>
  <c r="R15" i="26"/>
  <c r="X15" i="26"/>
  <c r="Q15" i="26"/>
  <c r="S15" i="26"/>
  <c r="V15" i="26"/>
  <c r="R14" i="26"/>
  <c r="S14" i="26"/>
  <c r="U14" i="26"/>
  <c r="X14" i="26"/>
  <c r="W14" i="26"/>
  <c r="V14" i="26"/>
  <c r="T14" i="26"/>
  <c r="Q14" i="26"/>
  <c r="S13" i="26"/>
  <c r="Q13" i="26"/>
  <c r="U13" i="26"/>
  <c r="X13" i="26"/>
  <c r="W13" i="26"/>
  <c r="V13" i="26"/>
  <c r="T13" i="26"/>
  <c r="R13" i="26"/>
  <c r="X12" i="26"/>
  <c r="W12" i="26"/>
  <c r="U12" i="26"/>
  <c r="S12" i="26"/>
  <c r="R12" i="26"/>
  <c r="V12" i="26"/>
  <c r="T12" i="26"/>
  <c r="Q12" i="26"/>
  <c r="Q11" i="26"/>
  <c r="R11" i="26"/>
  <c r="X11" i="26"/>
  <c r="W11" i="26"/>
  <c r="V11" i="26"/>
  <c r="U11" i="26"/>
  <c r="T11" i="26"/>
  <c r="S11" i="26"/>
  <c r="X10" i="26"/>
  <c r="S10" i="26"/>
  <c r="W10" i="26"/>
  <c r="U10" i="26"/>
  <c r="R10" i="26"/>
  <c r="V10" i="26"/>
  <c r="T10" i="26"/>
  <c r="Q10" i="26"/>
  <c r="T9" i="26"/>
  <c r="V9" i="26"/>
  <c r="W9" i="26"/>
  <c r="X9" i="26"/>
  <c r="R9" i="26"/>
  <c r="Q9" i="26"/>
  <c r="S9" i="26"/>
  <c r="U9" i="26"/>
  <c r="R8" i="26"/>
  <c r="U8" i="26"/>
  <c r="S8" i="26"/>
  <c r="Q8" i="26"/>
  <c r="T8" i="26"/>
  <c r="V8" i="26"/>
  <c r="W8" i="26"/>
  <c r="X8" i="26"/>
  <c r="U7" i="26"/>
  <c r="R7" i="26"/>
  <c r="S7" i="26"/>
  <c r="X7" i="26"/>
  <c r="W7" i="26"/>
  <c r="V7" i="26"/>
  <c r="T7" i="26"/>
  <c r="Q7" i="26"/>
  <c r="Q6" i="26"/>
  <c r="R6" i="26"/>
  <c r="T6" i="26"/>
  <c r="V6" i="26"/>
  <c r="X6" i="26"/>
  <c r="W6" i="26"/>
  <c r="U6" i="26"/>
  <c r="S6" i="26"/>
  <c r="V5" i="26"/>
  <c r="W5" i="26"/>
  <c r="X5" i="26"/>
  <c r="R5" i="26"/>
  <c r="T5" i="26"/>
  <c r="U5" i="26"/>
  <c r="S5" i="26"/>
  <c r="Q5" i="26"/>
  <c r="Q4" i="26"/>
  <c r="R4" i="26"/>
  <c r="X4" i="26"/>
  <c r="W4" i="26"/>
  <c r="V4" i="26"/>
  <c r="U4" i="26"/>
  <c r="T4" i="26"/>
  <c r="S4" i="26"/>
  <c r="Q15" i="25"/>
  <c r="T15" i="25"/>
  <c r="U15" i="25"/>
  <c r="V15" i="25"/>
  <c r="W15" i="25"/>
  <c r="S15" i="25"/>
  <c r="X15" i="25"/>
  <c r="R15" i="25"/>
  <c r="W14" i="25"/>
  <c r="U14" i="25"/>
  <c r="T14" i="25"/>
  <c r="S14" i="25"/>
  <c r="R14" i="25"/>
  <c r="Q14" i="25"/>
  <c r="V14" i="25"/>
  <c r="X14" i="25"/>
  <c r="W13" i="25"/>
  <c r="U13" i="25"/>
  <c r="X13" i="25"/>
  <c r="V13" i="25"/>
  <c r="R13" i="25"/>
  <c r="Q13" i="25"/>
  <c r="S13" i="25"/>
  <c r="T13" i="25"/>
  <c r="W12" i="25"/>
  <c r="X12" i="25"/>
  <c r="V12" i="25"/>
  <c r="U12" i="25"/>
  <c r="T12" i="25"/>
  <c r="S12" i="25"/>
  <c r="R12" i="25"/>
  <c r="Q12" i="25"/>
  <c r="Q11" i="25"/>
  <c r="W11" i="25"/>
  <c r="X11" i="25"/>
  <c r="V11" i="25"/>
  <c r="U11" i="25"/>
  <c r="T11" i="25"/>
  <c r="S11" i="25"/>
  <c r="R11" i="25"/>
  <c r="T10" i="25"/>
  <c r="S10" i="25"/>
  <c r="R10" i="25"/>
  <c r="Q10" i="25"/>
  <c r="V10" i="25"/>
  <c r="X10" i="25"/>
  <c r="W10" i="25"/>
  <c r="U10" i="25"/>
  <c r="V9" i="25"/>
  <c r="W9" i="25"/>
  <c r="X9" i="25"/>
  <c r="R9" i="25"/>
  <c r="U9" i="25"/>
  <c r="T9" i="25"/>
  <c r="S9" i="25"/>
  <c r="Q9" i="25"/>
  <c r="U8" i="25"/>
  <c r="T8" i="25"/>
  <c r="S8" i="25"/>
  <c r="X8" i="25"/>
  <c r="W8" i="25"/>
  <c r="V8" i="25"/>
  <c r="R8" i="25"/>
  <c r="Q8" i="25"/>
  <c r="T7" i="25"/>
  <c r="Q7" i="25"/>
  <c r="R7" i="25"/>
  <c r="S7" i="25"/>
  <c r="X7" i="25"/>
  <c r="W7" i="25"/>
  <c r="V7" i="25"/>
  <c r="U7" i="25"/>
  <c r="R6" i="25"/>
  <c r="Q6" i="25"/>
  <c r="T6" i="25"/>
  <c r="U6" i="25"/>
  <c r="V6" i="25"/>
  <c r="W6" i="25"/>
  <c r="X6" i="25"/>
  <c r="S6" i="25"/>
  <c r="X5" i="25"/>
  <c r="U5" i="25"/>
  <c r="V5" i="25"/>
  <c r="W5" i="25"/>
  <c r="T5" i="25"/>
  <c r="S5" i="25"/>
  <c r="R5" i="25"/>
  <c r="Q5" i="25"/>
  <c r="Q4" i="25"/>
  <c r="X4" i="25"/>
  <c r="W4" i="25"/>
  <c r="V4" i="25"/>
  <c r="U4" i="25"/>
  <c r="T4" i="25"/>
  <c r="S4" i="25"/>
  <c r="R4" i="25"/>
  <c r="W15" i="24"/>
  <c r="Q15" i="24"/>
  <c r="T15" i="24"/>
  <c r="V15" i="24"/>
  <c r="X15" i="24"/>
  <c r="S15" i="24"/>
  <c r="R15" i="24"/>
  <c r="U15" i="24"/>
  <c r="V14" i="24"/>
  <c r="W14" i="24"/>
  <c r="T14" i="24"/>
  <c r="U14" i="24"/>
  <c r="R14" i="24"/>
  <c r="Q14" i="24"/>
  <c r="X14" i="24"/>
  <c r="S14" i="24"/>
  <c r="T13" i="24"/>
  <c r="Q13" i="24"/>
  <c r="X13" i="24"/>
  <c r="W13" i="24"/>
  <c r="V13" i="24"/>
  <c r="U13" i="24"/>
  <c r="S13" i="24"/>
  <c r="R13" i="24"/>
  <c r="W12" i="24"/>
  <c r="V12" i="24"/>
  <c r="T12" i="24"/>
  <c r="S12" i="24"/>
  <c r="Q12" i="24"/>
  <c r="U12" i="24"/>
  <c r="R12" i="24"/>
  <c r="X12" i="24"/>
  <c r="S11" i="24"/>
  <c r="Q11" i="24"/>
  <c r="X11" i="24"/>
  <c r="R11" i="24"/>
  <c r="T11" i="24"/>
  <c r="V11" i="24"/>
  <c r="W11" i="24"/>
  <c r="U11" i="24"/>
  <c r="X10" i="24"/>
  <c r="W10" i="24"/>
  <c r="U10" i="24"/>
  <c r="T10" i="24"/>
  <c r="R10" i="24"/>
  <c r="Q10" i="24"/>
  <c r="S10" i="24"/>
  <c r="V10" i="24"/>
  <c r="U9" i="24"/>
  <c r="Q9" i="24"/>
  <c r="T9" i="24"/>
  <c r="R9" i="24"/>
  <c r="V9" i="24"/>
  <c r="W9" i="24"/>
  <c r="X9" i="24"/>
  <c r="S9" i="24"/>
  <c r="T8" i="24"/>
  <c r="R8" i="24"/>
  <c r="W8" i="24"/>
  <c r="Q8" i="24"/>
  <c r="S8" i="24"/>
  <c r="U8" i="24"/>
  <c r="X8" i="24"/>
  <c r="V8" i="24"/>
  <c r="R7" i="24"/>
  <c r="S7" i="24"/>
  <c r="W7" i="24"/>
  <c r="X7" i="24"/>
  <c r="V7" i="24"/>
  <c r="U7" i="24"/>
  <c r="Q7" i="24"/>
  <c r="S6" i="24"/>
  <c r="T6" i="24"/>
  <c r="U6" i="24"/>
  <c r="W6" i="24"/>
  <c r="V6" i="24"/>
  <c r="R6" i="24"/>
  <c r="Q6" i="24"/>
  <c r="X6" i="24"/>
  <c r="V5" i="24"/>
  <c r="X5" i="24"/>
  <c r="Q5" i="24"/>
  <c r="R5" i="24"/>
  <c r="S5" i="24"/>
  <c r="W5" i="24"/>
  <c r="U5" i="24"/>
  <c r="T5" i="24"/>
  <c r="U4" i="24"/>
  <c r="T4" i="24"/>
  <c r="V4" i="24"/>
  <c r="R4" i="24"/>
  <c r="S4" i="24"/>
  <c r="W4" i="24"/>
  <c r="Q4" i="24"/>
  <c r="X4" i="24"/>
  <c r="S15" i="23"/>
  <c r="U15" i="23"/>
  <c r="V15" i="23"/>
  <c r="X15" i="23"/>
  <c r="T15" i="23"/>
  <c r="W15" i="23"/>
  <c r="Q15" i="23"/>
  <c r="R15" i="23"/>
  <c r="Q14" i="23"/>
  <c r="U14" i="23"/>
  <c r="X14" i="23"/>
  <c r="T14" i="23"/>
  <c r="S14" i="23"/>
  <c r="W14" i="23"/>
  <c r="V14" i="23"/>
  <c r="U12" i="23"/>
  <c r="T12" i="23"/>
  <c r="S12" i="23"/>
  <c r="R12" i="23"/>
  <c r="Q12" i="23"/>
  <c r="X12" i="23"/>
  <c r="W12" i="23"/>
  <c r="V12" i="23"/>
  <c r="R11" i="23"/>
  <c r="Q11" i="23"/>
  <c r="V11" i="23"/>
  <c r="X11" i="23"/>
  <c r="W11" i="23"/>
  <c r="U11" i="23"/>
  <c r="T11" i="23"/>
  <c r="S11" i="23"/>
  <c r="T10" i="23"/>
  <c r="X10" i="23"/>
  <c r="W10" i="23"/>
  <c r="S10" i="23"/>
  <c r="V10" i="23"/>
  <c r="U10" i="23"/>
  <c r="Q10" i="23"/>
  <c r="R10" i="23"/>
  <c r="X9" i="23"/>
  <c r="W9" i="23"/>
  <c r="V9" i="23"/>
  <c r="U9" i="23"/>
  <c r="T9" i="23"/>
  <c r="S9" i="23"/>
  <c r="Q9" i="23"/>
  <c r="R9" i="23"/>
  <c r="X8" i="23"/>
  <c r="Q8" i="23"/>
  <c r="R8" i="23"/>
  <c r="S8" i="23"/>
  <c r="T8" i="23"/>
  <c r="U8" i="23"/>
  <c r="V8" i="23"/>
  <c r="W8" i="23"/>
  <c r="S7" i="23"/>
  <c r="T7" i="23"/>
  <c r="U7" i="23"/>
  <c r="V7" i="23"/>
  <c r="W7" i="23"/>
  <c r="X7" i="23"/>
  <c r="Q7" i="23"/>
  <c r="R7" i="23"/>
  <c r="U6" i="23"/>
  <c r="T6" i="23"/>
  <c r="X6" i="23"/>
  <c r="W6" i="23"/>
  <c r="S6" i="23"/>
  <c r="R6" i="23"/>
  <c r="Q6" i="23"/>
  <c r="V6" i="23"/>
  <c r="V5" i="23"/>
  <c r="U5" i="23"/>
  <c r="T5" i="23"/>
  <c r="S5" i="23"/>
  <c r="R5" i="23"/>
  <c r="Q5" i="23"/>
  <c r="X5" i="23"/>
  <c r="W5" i="23"/>
  <c r="X4" i="23"/>
  <c r="W4" i="23"/>
  <c r="V4" i="23"/>
  <c r="Q4" i="23"/>
  <c r="R4" i="23"/>
  <c r="S4" i="23"/>
  <c r="U4" i="23"/>
  <c r="T4" i="23"/>
  <c r="U15" i="22"/>
  <c r="Q15" i="22"/>
  <c r="V15" i="22"/>
  <c r="R15" i="22"/>
  <c r="S15" i="22"/>
  <c r="T15" i="22"/>
  <c r="W15" i="22"/>
  <c r="X15" i="22"/>
  <c r="U14" i="22"/>
  <c r="R14" i="22"/>
  <c r="V14" i="22"/>
  <c r="W14" i="22"/>
  <c r="S14" i="22"/>
  <c r="Q14" i="22"/>
  <c r="T14" i="22"/>
  <c r="X14" i="22"/>
  <c r="T13" i="22"/>
  <c r="S13" i="22"/>
  <c r="X13" i="22"/>
  <c r="U13" i="22"/>
  <c r="R13" i="22"/>
  <c r="V13" i="22"/>
  <c r="W13" i="22"/>
  <c r="Q13" i="22"/>
  <c r="U12" i="22"/>
  <c r="Q12" i="22"/>
  <c r="S12" i="22"/>
  <c r="W12" i="22"/>
  <c r="T12" i="22"/>
  <c r="X12" i="22"/>
  <c r="V12" i="22"/>
  <c r="R12" i="22"/>
  <c r="R11" i="22"/>
  <c r="V11" i="22"/>
  <c r="X11" i="22"/>
  <c r="S11" i="22"/>
  <c r="Q11" i="22"/>
  <c r="W11" i="22"/>
  <c r="T11" i="22"/>
  <c r="U11" i="22"/>
  <c r="X10" i="22"/>
  <c r="T10" i="22"/>
  <c r="S10" i="22"/>
  <c r="V10" i="22"/>
  <c r="W10" i="22"/>
  <c r="R10" i="22"/>
  <c r="Q10" i="22"/>
  <c r="U10" i="22"/>
  <c r="X9" i="22"/>
  <c r="V9" i="22"/>
  <c r="S9" i="22"/>
  <c r="Q9" i="22"/>
  <c r="U9" i="22"/>
  <c r="T9" i="22"/>
  <c r="W9" i="22"/>
  <c r="R9" i="22"/>
  <c r="W8" i="22"/>
  <c r="U8" i="22"/>
  <c r="S8" i="22"/>
  <c r="Q8" i="22"/>
  <c r="T8" i="22"/>
  <c r="V8" i="22"/>
  <c r="R8" i="22"/>
  <c r="X8" i="22"/>
  <c r="X7" i="22"/>
  <c r="V7" i="22"/>
  <c r="U7" i="22"/>
  <c r="S7" i="22"/>
  <c r="Q7" i="22"/>
  <c r="T7" i="22"/>
  <c r="R7" i="22"/>
  <c r="W7" i="22"/>
  <c r="V6" i="22"/>
  <c r="X6" i="22"/>
  <c r="U6" i="22"/>
  <c r="W6" i="22"/>
  <c r="Q6" i="22"/>
  <c r="S6" i="22"/>
  <c r="T6" i="22"/>
  <c r="R6" i="22"/>
  <c r="X5" i="22"/>
  <c r="R5" i="22"/>
  <c r="S5" i="22"/>
  <c r="W5" i="22"/>
  <c r="U5" i="22"/>
  <c r="V5" i="22"/>
  <c r="Q5" i="22"/>
  <c r="T5" i="22"/>
  <c r="U4" i="22"/>
  <c r="Q4" i="22"/>
  <c r="W4" i="22"/>
  <c r="S4" i="22"/>
  <c r="X4" i="22"/>
  <c r="R4" i="22"/>
  <c r="T4" i="22"/>
  <c r="W15" i="21"/>
  <c r="U15" i="21"/>
  <c r="R15" i="21"/>
  <c r="S15" i="21"/>
  <c r="V15" i="21"/>
  <c r="X15" i="21"/>
  <c r="Q15" i="21"/>
  <c r="T15" i="21"/>
  <c r="S14" i="21"/>
  <c r="U14" i="21"/>
  <c r="R14" i="21"/>
  <c r="T14" i="21"/>
  <c r="V14" i="21"/>
  <c r="X14" i="21"/>
  <c r="Q14" i="21"/>
  <c r="W14" i="21"/>
  <c r="X13" i="21"/>
  <c r="W13" i="21"/>
  <c r="U13" i="21"/>
  <c r="R13" i="21"/>
  <c r="T13" i="21"/>
  <c r="V13" i="21"/>
  <c r="S13" i="21"/>
  <c r="Q13" i="21"/>
  <c r="X12" i="21"/>
  <c r="W12" i="21"/>
  <c r="V12" i="21"/>
  <c r="S12" i="21"/>
  <c r="R12" i="21"/>
  <c r="U12" i="21"/>
  <c r="Q12" i="21"/>
  <c r="T12" i="21"/>
  <c r="W11" i="21"/>
  <c r="Q11" i="21"/>
  <c r="U11" i="21"/>
  <c r="T11" i="21"/>
  <c r="S11" i="21"/>
  <c r="R11" i="21"/>
  <c r="V11" i="21"/>
  <c r="X11" i="21"/>
  <c r="R10" i="21"/>
  <c r="Q10" i="21"/>
  <c r="V9" i="21"/>
  <c r="W9" i="21"/>
  <c r="X9" i="21"/>
  <c r="S9" i="21"/>
  <c r="Q9" i="21"/>
  <c r="R9" i="21"/>
  <c r="T9" i="21"/>
  <c r="U9" i="21"/>
  <c r="W8" i="21"/>
  <c r="T8" i="21"/>
  <c r="V8" i="21"/>
  <c r="S8" i="21"/>
  <c r="U8" i="21"/>
  <c r="R8" i="21"/>
  <c r="Q8" i="21"/>
  <c r="X8" i="21"/>
  <c r="W7" i="21"/>
  <c r="R7" i="21"/>
  <c r="V7" i="21"/>
  <c r="U7" i="21"/>
  <c r="X7" i="21"/>
  <c r="Q7" i="21"/>
  <c r="T7" i="21"/>
  <c r="S7" i="21"/>
  <c r="W6" i="21"/>
  <c r="Q6" i="21"/>
  <c r="R6" i="21"/>
  <c r="S6" i="21"/>
  <c r="X6" i="21"/>
  <c r="T6" i="21"/>
  <c r="V6" i="21"/>
  <c r="U6" i="21"/>
  <c r="X5" i="21"/>
  <c r="Q5" i="21"/>
  <c r="R5" i="21"/>
  <c r="U5" i="21"/>
  <c r="V5" i="21"/>
  <c r="W5" i="21"/>
  <c r="T5" i="21"/>
  <c r="S5" i="21"/>
  <c r="S4" i="21"/>
  <c r="T4" i="21"/>
  <c r="U4" i="21"/>
  <c r="W4" i="21"/>
  <c r="X4" i="21"/>
  <c r="R4" i="21"/>
  <c r="Q4" i="21"/>
  <c r="V4" i="21"/>
  <c r="Q15" i="20"/>
  <c r="T15" i="20"/>
  <c r="X15" i="20"/>
  <c r="U15" i="20"/>
  <c r="V15" i="20"/>
  <c r="R15" i="20"/>
  <c r="S15" i="20"/>
  <c r="W15" i="20"/>
  <c r="Q14" i="20"/>
  <c r="S14" i="20"/>
  <c r="X14" i="20"/>
  <c r="V14" i="20"/>
  <c r="U14" i="20"/>
  <c r="W14" i="20"/>
  <c r="T14" i="20"/>
  <c r="R14" i="20"/>
  <c r="V13" i="20"/>
  <c r="W13" i="20"/>
  <c r="T13" i="20"/>
  <c r="X13" i="20"/>
  <c r="Q13" i="20"/>
  <c r="S13" i="20"/>
  <c r="U13" i="20"/>
  <c r="R13" i="20"/>
  <c r="S12" i="20"/>
  <c r="V12" i="20"/>
  <c r="R12" i="20"/>
  <c r="W12" i="20"/>
  <c r="T12" i="20"/>
  <c r="X12" i="20"/>
  <c r="Q12" i="20"/>
  <c r="U12" i="20"/>
  <c r="U11" i="20"/>
  <c r="T11" i="20"/>
  <c r="X11" i="20"/>
  <c r="R11" i="20"/>
  <c r="S11" i="20"/>
  <c r="W11" i="20"/>
  <c r="V11" i="20"/>
  <c r="Q11" i="20"/>
  <c r="S10" i="20"/>
  <c r="R10" i="20"/>
  <c r="W10" i="20"/>
  <c r="T10" i="20"/>
  <c r="U10" i="20"/>
  <c r="Q10" i="20"/>
  <c r="X10" i="20"/>
  <c r="V10" i="20"/>
  <c r="W9" i="20"/>
  <c r="U9" i="20"/>
  <c r="S9" i="20"/>
  <c r="Q9" i="20"/>
  <c r="X9" i="20"/>
  <c r="T9" i="20"/>
  <c r="V9" i="20"/>
  <c r="R9" i="20"/>
  <c r="T8" i="20"/>
  <c r="Q8" i="20"/>
  <c r="V8" i="20"/>
  <c r="X8" i="20"/>
  <c r="R8" i="20"/>
  <c r="S8" i="20"/>
  <c r="W8" i="20"/>
  <c r="U8" i="20"/>
  <c r="U7" i="20"/>
  <c r="Q7" i="20"/>
  <c r="R7" i="20"/>
  <c r="V7" i="20"/>
  <c r="S7" i="20"/>
  <c r="W7" i="20"/>
  <c r="T7" i="20"/>
  <c r="X7" i="20"/>
  <c r="W6" i="20"/>
  <c r="X6" i="20"/>
  <c r="Q6" i="20"/>
  <c r="T6" i="20"/>
  <c r="V6" i="20"/>
  <c r="R6" i="20"/>
  <c r="S6" i="20"/>
  <c r="U6" i="20"/>
  <c r="U5" i="20"/>
  <c r="Q5" i="20"/>
  <c r="T5" i="20"/>
  <c r="W5" i="20"/>
  <c r="X5" i="20"/>
  <c r="R5" i="20"/>
  <c r="V5" i="20"/>
  <c r="S5" i="20"/>
  <c r="X4" i="20"/>
  <c r="T4" i="20"/>
  <c r="R4" i="20"/>
  <c r="S4" i="20"/>
  <c r="W4" i="20"/>
  <c r="V4" i="20"/>
  <c r="Q4" i="20"/>
  <c r="U4" i="20"/>
  <c r="Q15" i="19"/>
  <c r="T15" i="19"/>
  <c r="V15" i="19"/>
  <c r="R15" i="19"/>
  <c r="U15" i="19"/>
  <c r="X15" i="19"/>
  <c r="W15" i="19"/>
  <c r="S15" i="19"/>
  <c r="V14" i="19"/>
  <c r="W14" i="19"/>
  <c r="U14" i="19"/>
  <c r="T14" i="19"/>
  <c r="Q14" i="19"/>
  <c r="X14" i="19"/>
  <c r="S14" i="19"/>
  <c r="R14" i="19"/>
  <c r="X13" i="19"/>
  <c r="U13" i="19"/>
  <c r="T13" i="19"/>
  <c r="V13" i="19"/>
  <c r="W13" i="19"/>
  <c r="S13" i="19"/>
  <c r="R13" i="19"/>
  <c r="Q13" i="19"/>
  <c r="X12" i="19"/>
  <c r="R12" i="19"/>
  <c r="T12" i="19"/>
  <c r="W12" i="19"/>
  <c r="V12" i="19"/>
  <c r="Q12" i="19"/>
  <c r="U12" i="19"/>
  <c r="S12" i="19"/>
  <c r="T11" i="19"/>
  <c r="X11" i="19"/>
  <c r="W11" i="19"/>
  <c r="U11" i="19"/>
  <c r="Q11" i="19"/>
  <c r="R11" i="19"/>
  <c r="S11" i="19"/>
  <c r="V11" i="19"/>
  <c r="V10" i="19"/>
  <c r="S10" i="19"/>
  <c r="X10" i="19"/>
  <c r="U10" i="19"/>
  <c r="Q10" i="19"/>
  <c r="R10" i="19"/>
  <c r="T10" i="19"/>
  <c r="W10" i="19"/>
  <c r="R9" i="19"/>
  <c r="T9" i="19"/>
  <c r="Q9" i="19"/>
  <c r="V9" i="19"/>
  <c r="S9" i="19"/>
  <c r="U9" i="19"/>
  <c r="W9" i="19"/>
  <c r="X9" i="19"/>
  <c r="X8" i="19"/>
  <c r="U8" i="19"/>
  <c r="S8" i="19"/>
  <c r="Q8" i="19"/>
  <c r="V8" i="19"/>
  <c r="T8" i="19"/>
  <c r="W8" i="19"/>
  <c r="R8" i="19"/>
  <c r="S7" i="19"/>
  <c r="R7" i="19"/>
  <c r="Q7" i="19"/>
  <c r="T6" i="19"/>
  <c r="X6" i="19"/>
  <c r="W6" i="19"/>
  <c r="V6" i="19"/>
  <c r="U6" i="19"/>
  <c r="S6" i="19"/>
  <c r="R6" i="19"/>
  <c r="Q6" i="19"/>
  <c r="W5" i="19"/>
  <c r="V5" i="19"/>
  <c r="U5" i="19"/>
  <c r="X5" i="19"/>
  <c r="T5" i="19"/>
  <c r="S5" i="19"/>
  <c r="R5" i="19"/>
  <c r="Q5" i="19"/>
  <c r="X4" i="19"/>
  <c r="W4" i="19"/>
  <c r="V4" i="19"/>
  <c r="U4" i="19"/>
  <c r="T4" i="19"/>
  <c r="S4" i="19"/>
  <c r="R4" i="19"/>
  <c r="Q4" i="19"/>
  <c r="Q15" i="18"/>
  <c r="R15" i="18"/>
  <c r="S15" i="18"/>
  <c r="X15" i="18"/>
  <c r="W15" i="18"/>
  <c r="V15" i="18"/>
  <c r="U15" i="18"/>
  <c r="T15" i="18"/>
  <c r="S14" i="18"/>
  <c r="R14" i="18"/>
  <c r="Q14" i="18"/>
  <c r="X14" i="18"/>
  <c r="W14" i="18"/>
  <c r="V14" i="18"/>
  <c r="U14" i="18"/>
  <c r="T14" i="18"/>
  <c r="X13" i="18"/>
  <c r="W13" i="18"/>
  <c r="V13" i="18"/>
  <c r="U13" i="18"/>
  <c r="T13" i="18"/>
  <c r="S13" i="18"/>
  <c r="R13" i="18"/>
  <c r="Q13" i="18"/>
  <c r="Q12" i="18"/>
  <c r="X12" i="18"/>
  <c r="W12" i="18"/>
  <c r="V12" i="18"/>
  <c r="U12" i="18"/>
  <c r="T12" i="18"/>
  <c r="S12" i="18"/>
  <c r="R12" i="18"/>
  <c r="X11" i="18"/>
  <c r="W11" i="18"/>
  <c r="V11" i="18"/>
  <c r="U11" i="18"/>
  <c r="T11" i="18"/>
  <c r="S11" i="18"/>
  <c r="Q11" i="18"/>
  <c r="R11" i="18"/>
  <c r="Q10" i="18"/>
  <c r="R10" i="18"/>
  <c r="X10" i="18"/>
  <c r="S10" i="18"/>
  <c r="T10" i="18"/>
  <c r="U10" i="18"/>
  <c r="V10" i="18"/>
  <c r="W10" i="18"/>
  <c r="R9" i="18"/>
  <c r="Q9" i="18"/>
  <c r="W9" i="18"/>
  <c r="V9" i="18"/>
  <c r="X9" i="18"/>
  <c r="T9" i="18"/>
  <c r="S9" i="18"/>
  <c r="U9" i="18"/>
  <c r="R8" i="18"/>
  <c r="Q8" i="18"/>
  <c r="T8" i="18"/>
  <c r="X8" i="18"/>
  <c r="W8" i="18"/>
  <c r="V8" i="18"/>
  <c r="U8" i="18"/>
  <c r="S8" i="18"/>
  <c r="U7" i="18"/>
  <c r="W7" i="18"/>
  <c r="X7" i="18"/>
  <c r="R7" i="18"/>
  <c r="S7" i="18"/>
  <c r="T7" i="18"/>
  <c r="V7" i="18"/>
  <c r="Q7" i="18"/>
  <c r="T6" i="18"/>
  <c r="Q6" i="18"/>
  <c r="R6" i="18"/>
  <c r="U6" i="18"/>
  <c r="V6" i="18"/>
  <c r="W6" i="18"/>
  <c r="S6" i="18"/>
  <c r="X6" i="18"/>
  <c r="U5" i="18"/>
  <c r="W5" i="18"/>
  <c r="X5" i="18"/>
  <c r="V5" i="18"/>
  <c r="T5" i="18"/>
  <c r="S5" i="18"/>
  <c r="R5" i="18"/>
  <c r="Q5" i="18"/>
  <c r="S4" i="18"/>
  <c r="R4" i="18"/>
  <c r="Q4" i="18"/>
  <c r="V4" i="18"/>
  <c r="U4" i="18"/>
  <c r="W4" i="18"/>
  <c r="X4" i="18"/>
  <c r="T4" i="18"/>
  <c r="X15" i="17"/>
  <c r="W15" i="17"/>
  <c r="V15" i="17"/>
  <c r="T15" i="17"/>
  <c r="S15" i="17"/>
  <c r="R15" i="17"/>
  <c r="Q15" i="17"/>
  <c r="U15" i="17"/>
  <c r="V14" i="17"/>
  <c r="U14" i="17"/>
  <c r="T14" i="17"/>
  <c r="Q14" i="17"/>
  <c r="R14" i="17"/>
  <c r="S14" i="17"/>
  <c r="W14" i="17"/>
  <c r="X14" i="17"/>
  <c r="R13" i="17"/>
  <c r="Q13" i="17"/>
  <c r="X13" i="17"/>
  <c r="W13" i="17"/>
  <c r="V13" i="17"/>
  <c r="U13" i="17"/>
  <c r="T13" i="17"/>
  <c r="S13" i="17"/>
  <c r="W12" i="17"/>
  <c r="V12" i="17"/>
  <c r="S12" i="17"/>
  <c r="X12" i="17"/>
  <c r="U12" i="17"/>
  <c r="T12" i="17"/>
  <c r="R12" i="17"/>
  <c r="Q12" i="17"/>
  <c r="R11" i="17"/>
  <c r="S11" i="17"/>
  <c r="Q11" i="17"/>
  <c r="W11" i="17"/>
  <c r="X11" i="17"/>
  <c r="V11" i="17"/>
  <c r="U11" i="17"/>
  <c r="T11" i="17"/>
  <c r="U10" i="17"/>
  <c r="S10" i="17"/>
  <c r="R10" i="17"/>
  <c r="X10" i="17"/>
  <c r="V10" i="17"/>
  <c r="W10" i="17"/>
  <c r="T10" i="17"/>
  <c r="Q10" i="17"/>
  <c r="W9" i="17"/>
  <c r="Q9" i="17"/>
  <c r="R9" i="17"/>
  <c r="S9" i="17"/>
  <c r="T9" i="17"/>
  <c r="V9" i="17"/>
  <c r="X9" i="17"/>
  <c r="U9" i="17"/>
  <c r="W8" i="17"/>
  <c r="X8" i="17"/>
  <c r="V8" i="17"/>
  <c r="U8" i="17"/>
  <c r="T8" i="17"/>
  <c r="S8" i="17"/>
  <c r="R8" i="17"/>
  <c r="Q8" i="17"/>
  <c r="W7" i="17"/>
  <c r="Q7" i="17"/>
  <c r="R7" i="17"/>
  <c r="S7" i="17"/>
  <c r="T7" i="17"/>
  <c r="U7" i="17"/>
  <c r="V7" i="17"/>
  <c r="X7" i="17"/>
  <c r="W6" i="17"/>
  <c r="V6" i="17"/>
  <c r="U6" i="17"/>
  <c r="S6" i="17"/>
  <c r="R6" i="17"/>
  <c r="Q6" i="17"/>
  <c r="T6" i="17"/>
  <c r="X6" i="17"/>
  <c r="V5" i="17"/>
  <c r="U5" i="17"/>
  <c r="T5" i="17"/>
  <c r="S5" i="17"/>
  <c r="R5" i="17"/>
  <c r="Q5" i="17"/>
  <c r="W5" i="17"/>
  <c r="X5" i="17"/>
  <c r="U4" i="17"/>
  <c r="T4" i="17"/>
  <c r="Q4" i="17"/>
  <c r="R4" i="17"/>
  <c r="S4" i="17"/>
  <c r="T15" i="16"/>
  <c r="U15" i="16"/>
  <c r="V15" i="16"/>
  <c r="W15" i="16"/>
  <c r="X15" i="16"/>
  <c r="S15" i="16"/>
  <c r="R15" i="16"/>
  <c r="Q15" i="16"/>
  <c r="Q14" i="16"/>
  <c r="R14" i="16"/>
  <c r="X14" i="16"/>
  <c r="W14" i="16"/>
  <c r="V14" i="16"/>
  <c r="U14" i="16"/>
  <c r="T14" i="16"/>
  <c r="S14" i="16"/>
  <c r="R13" i="16"/>
  <c r="S13" i="16"/>
  <c r="U13" i="16"/>
  <c r="V13" i="16"/>
  <c r="W13" i="16"/>
  <c r="X13" i="16"/>
  <c r="T13" i="16"/>
  <c r="Q13" i="16"/>
  <c r="U12" i="16"/>
  <c r="T12" i="16"/>
  <c r="S12" i="16"/>
  <c r="R12" i="16"/>
  <c r="Q12" i="16"/>
  <c r="X12" i="16"/>
  <c r="W12" i="16"/>
  <c r="V12" i="16"/>
  <c r="V11" i="16"/>
  <c r="U11" i="16"/>
  <c r="T11" i="16"/>
  <c r="S11" i="16"/>
  <c r="R11" i="16"/>
  <c r="Q11" i="16"/>
  <c r="X11" i="16"/>
  <c r="W11" i="16"/>
  <c r="X10" i="16"/>
  <c r="W10" i="16"/>
  <c r="V10" i="16"/>
  <c r="U10" i="16"/>
  <c r="T10" i="16"/>
  <c r="S10" i="16"/>
  <c r="R10" i="16"/>
  <c r="Q10" i="16"/>
  <c r="Q9" i="16"/>
  <c r="X9" i="16"/>
  <c r="W9" i="16"/>
  <c r="V9" i="16"/>
  <c r="U9" i="16"/>
  <c r="T9" i="16"/>
  <c r="S9" i="16"/>
  <c r="R9" i="16"/>
  <c r="U8" i="16"/>
  <c r="T8" i="16"/>
  <c r="S8" i="16"/>
  <c r="R8" i="16"/>
  <c r="Q8" i="16"/>
  <c r="X8" i="16"/>
  <c r="W8" i="16"/>
  <c r="V8" i="16"/>
  <c r="U7" i="16"/>
  <c r="T7" i="16"/>
  <c r="S7" i="16"/>
  <c r="R7" i="16"/>
  <c r="Q7" i="16"/>
  <c r="X7" i="16"/>
  <c r="W7" i="16"/>
  <c r="V7" i="16"/>
  <c r="U6" i="16"/>
  <c r="V6" i="16"/>
  <c r="X6" i="16"/>
  <c r="Q6" i="16"/>
  <c r="R6" i="16"/>
  <c r="W6" i="16"/>
  <c r="T6" i="16"/>
  <c r="S6" i="16"/>
  <c r="W5" i="16"/>
  <c r="X5" i="16"/>
  <c r="V5" i="16"/>
  <c r="U5" i="16"/>
  <c r="T5" i="16"/>
  <c r="S5" i="16"/>
  <c r="R5" i="16"/>
  <c r="Q5" i="16"/>
  <c r="W4" i="16"/>
  <c r="U4" i="16"/>
  <c r="T4" i="16"/>
  <c r="S4" i="16"/>
  <c r="R4" i="16"/>
  <c r="Q4" i="16"/>
  <c r="V4" i="16"/>
  <c r="X4" i="16"/>
  <c r="X15" i="15"/>
  <c r="W15" i="15"/>
  <c r="U15" i="15"/>
  <c r="T15" i="15"/>
  <c r="S15" i="15"/>
  <c r="R15" i="15"/>
  <c r="Q15" i="15"/>
  <c r="V15" i="15"/>
  <c r="R14" i="15"/>
  <c r="S14" i="15"/>
  <c r="T14" i="15"/>
  <c r="U14" i="15"/>
  <c r="V14" i="15"/>
  <c r="X14" i="15"/>
  <c r="W14" i="15"/>
  <c r="Q14" i="15"/>
  <c r="X13" i="15"/>
  <c r="W13" i="15"/>
  <c r="R13" i="15"/>
  <c r="T13" i="15"/>
  <c r="U13" i="15"/>
  <c r="Q13" i="15"/>
  <c r="S13" i="15"/>
  <c r="V13" i="15"/>
  <c r="X12" i="15"/>
  <c r="W12" i="15"/>
  <c r="V12" i="15"/>
  <c r="U12" i="15"/>
  <c r="T12" i="15"/>
  <c r="S12" i="15"/>
  <c r="R12" i="15"/>
  <c r="Q12" i="15"/>
  <c r="U11" i="15"/>
  <c r="T11" i="15"/>
  <c r="S11" i="15"/>
  <c r="Q11" i="15"/>
  <c r="R11" i="15"/>
  <c r="V11" i="15"/>
  <c r="W11" i="15"/>
  <c r="X11" i="15"/>
  <c r="X10" i="15"/>
  <c r="W10" i="15"/>
  <c r="V10" i="15"/>
  <c r="U10" i="15"/>
  <c r="T10" i="15"/>
  <c r="S10" i="15"/>
  <c r="R10" i="15"/>
  <c r="Q10" i="15"/>
  <c r="V9" i="15"/>
  <c r="U9" i="15"/>
  <c r="T9" i="15"/>
  <c r="S9" i="15"/>
  <c r="R9" i="15"/>
  <c r="Q9" i="15"/>
  <c r="X9" i="15"/>
  <c r="W9" i="15"/>
  <c r="R8" i="15"/>
  <c r="Q8" i="15"/>
  <c r="X8" i="15"/>
  <c r="V8" i="15"/>
  <c r="U8" i="15"/>
  <c r="W8" i="15"/>
  <c r="T8" i="15"/>
  <c r="S8" i="15"/>
  <c r="Q7" i="15"/>
  <c r="R7" i="15"/>
  <c r="S7" i="15"/>
  <c r="T7" i="15"/>
  <c r="V7" i="15"/>
  <c r="U7" i="15"/>
  <c r="W7" i="15"/>
  <c r="X7" i="15"/>
  <c r="Q6" i="15"/>
  <c r="R6" i="15"/>
  <c r="S6" i="15"/>
  <c r="T6" i="15"/>
  <c r="U6" i="15"/>
  <c r="V6" i="15"/>
  <c r="W6" i="15"/>
  <c r="X6" i="15"/>
  <c r="T5" i="15"/>
  <c r="U5" i="15"/>
  <c r="V5" i="15"/>
  <c r="X5" i="15"/>
  <c r="R5" i="15"/>
  <c r="W5" i="15"/>
  <c r="S5" i="15"/>
  <c r="Q5" i="15"/>
  <c r="V4" i="15"/>
  <c r="U4" i="15"/>
  <c r="T4" i="15"/>
  <c r="R4" i="15"/>
  <c r="Q4" i="15"/>
  <c r="S4" i="15"/>
  <c r="X4" i="15"/>
  <c r="W4" i="15"/>
  <c r="U15" i="14"/>
  <c r="T15" i="14"/>
  <c r="S15" i="14"/>
  <c r="V15" i="14"/>
  <c r="R15" i="14"/>
  <c r="Q15" i="14"/>
  <c r="X15" i="14"/>
  <c r="W15" i="14"/>
  <c r="T14" i="14"/>
  <c r="S14" i="14"/>
  <c r="R14" i="14"/>
  <c r="Q14" i="14"/>
  <c r="U14" i="14"/>
  <c r="V14" i="14"/>
  <c r="W14" i="14"/>
  <c r="X13" i="14"/>
  <c r="W13" i="14"/>
  <c r="V13" i="14"/>
  <c r="T13" i="14"/>
  <c r="S13" i="14"/>
  <c r="R13" i="14"/>
  <c r="Q13" i="14"/>
  <c r="U13" i="14"/>
  <c r="X12" i="14"/>
  <c r="Q12" i="14"/>
  <c r="R12" i="14"/>
  <c r="S12" i="14"/>
  <c r="T12" i="14"/>
  <c r="U12" i="14"/>
  <c r="V12" i="14"/>
  <c r="W12" i="14"/>
  <c r="Q11" i="14"/>
  <c r="R11" i="14"/>
  <c r="S11" i="14"/>
  <c r="T11" i="14"/>
  <c r="U11" i="14"/>
  <c r="V11" i="14"/>
  <c r="W11" i="14"/>
  <c r="X11" i="14"/>
  <c r="T10" i="14"/>
  <c r="S10" i="14"/>
  <c r="R10" i="14"/>
  <c r="Q10" i="14"/>
  <c r="V10" i="14"/>
  <c r="W10" i="14"/>
  <c r="X10" i="14"/>
  <c r="U10" i="14"/>
  <c r="X9" i="14"/>
  <c r="W9" i="14"/>
  <c r="V9" i="14"/>
  <c r="T9" i="14"/>
  <c r="S9" i="14"/>
  <c r="R9" i="14"/>
  <c r="Q9" i="14"/>
  <c r="U9" i="14"/>
  <c r="V8" i="14"/>
  <c r="U8" i="14"/>
  <c r="S8" i="14"/>
  <c r="R8" i="14"/>
  <c r="Q8" i="14"/>
  <c r="T8" i="14"/>
  <c r="X8" i="14"/>
  <c r="W8" i="14"/>
  <c r="X7" i="14"/>
  <c r="W7" i="14"/>
  <c r="V7" i="14"/>
  <c r="U7" i="14"/>
  <c r="T7" i="14"/>
  <c r="S7" i="14"/>
  <c r="R7" i="14"/>
  <c r="Q7" i="14"/>
  <c r="X6" i="14"/>
  <c r="W6" i="14"/>
  <c r="V6" i="14"/>
  <c r="U6" i="14"/>
  <c r="T6" i="14"/>
  <c r="S6" i="14"/>
  <c r="R6" i="14"/>
  <c r="Q6" i="14"/>
  <c r="U5" i="14"/>
  <c r="T5" i="14"/>
  <c r="S5" i="14"/>
  <c r="R5" i="14"/>
  <c r="Q5" i="14"/>
  <c r="X5" i="14"/>
  <c r="W5" i="14"/>
  <c r="V5" i="14"/>
  <c r="X4" i="14"/>
  <c r="W4" i="14"/>
  <c r="U4" i="14"/>
  <c r="T4" i="14"/>
  <c r="S4" i="14"/>
  <c r="R4" i="14"/>
  <c r="Q4" i="14"/>
  <c r="V4" i="14"/>
  <c r="U15" i="13"/>
  <c r="T15" i="13"/>
  <c r="S15" i="13"/>
  <c r="R15" i="13"/>
  <c r="Q15" i="13"/>
  <c r="X15" i="13"/>
  <c r="W15" i="13"/>
  <c r="V15" i="13"/>
  <c r="R14" i="13"/>
  <c r="S14" i="13"/>
  <c r="T14" i="13"/>
  <c r="U14" i="13"/>
  <c r="V14" i="13"/>
  <c r="W14" i="13"/>
  <c r="X14" i="13"/>
  <c r="Q14" i="13"/>
  <c r="T13" i="13"/>
  <c r="S13" i="13"/>
  <c r="R13" i="13"/>
  <c r="Q13" i="13"/>
  <c r="U13" i="13"/>
  <c r="X13" i="13"/>
  <c r="W13" i="13"/>
  <c r="V13" i="13"/>
  <c r="U12" i="13"/>
  <c r="T12" i="13"/>
  <c r="S12" i="13"/>
  <c r="R12" i="13"/>
  <c r="Q12" i="13"/>
  <c r="X12" i="13"/>
  <c r="W12" i="13"/>
  <c r="V12" i="13"/>
  <c r="X11" i="13"/>
  <c r="W11" i="13"/>
  <c r="V11" i="13"/>
  <c r="U11" i="13"/>
  <c r="T11" i="13"/>
  <c r="S11" i="13"/>
  <c r="R11" i="13"/>
  <c r="Q11" i="13"/>
  <c r="X10" i="13"/>
  <c r="W10" i="13"/>
  <c r="V10" i="13"/>
  <c r="U10" i="13"/>
  <c r="S10" i="13"/>
  <c r="R10" i="13"/>
  <c r="Q10" i="13"/>
  <c r="T10" i="13"/>
  <c r="X9" i="13"/>
  <c r="W9" i="13"/>
  <c r="V9" i="13"/>
  <c r="U9" i="13"/>
  <c r="T9" i="13"/>
  <c r="S9" i="13"/>
  <c r="R9" i="13"/>
  <c r="Q9" i="13"/>
  <c r="X8" i="13"/>
  <c r="W8" i="13"/>
  <c r="V8" i="13"/>
  <c r="U8" i="13"/>
  <c r="T8" i="13"/>
  <c r="S8" i="13"/>
  <c r="R8" i="13"/>
  <c r="Q8" i="13"/>
  <c r="X7" i="13"/>
  <c r="W7" i="13"/>
  <c r="V7" i="13"/>
  <c r="U7" i="13"/>
  <c r="T7" i="13"/>
  <c r="S7" i="13"/>
  <c r="R7" i="13"/>
  <c r="Q7" i="13"/>
  <c r="X6" i="13"/>
  <c r="W6" i="13"/>
  <c r="V6" i="13"/>
  <c r="U6" i="13"/>
  <c r="T6" i="13"/>
  <c r="R6" i="13"/>
  <c r="Q6" i="13"/>
  <c r="S6" i="13"/>
  <c r="T5" i="13"/>
  <c r="Q5" i="13"/>
  <c r="R5" i="13"/>
  <c r="S5" i="13"/>
  <c r="U5" i="13"/>
  <c r="V5" i="13"/>
  <c r="W5" i="13"/>
  <c r="X5" i="13"/>
  <c r="R4" i="13"/>
  <c r="S4" i="13"/>
  <c r="U4" i="13"/>
  <c r="V4" i="13"/>
  <c r="W4" i="13"/>
  <c r="X4" i="13"/>
  <c r="Q4" i="13"/>
  <c r="T4" i="13"/>
  <c r="V15" i="12"/>
  <c r="T15" i="12"/>
  <c r="S15" i="12"/>
  <c r="R15" i="12"/>
  <c r="U15" i="12"/>
  <c r="Q15" i="12"/>
  <c r="W15" i="12"/>
  <c r="X15" i="12"/>
  <c r="U14" i="12"/>
  <c r="T14" i="12"/>
  <c r="S14" i="12"/>
  <c r="R14" i="12"/>
  <c r="Q14" i="12"/>
  <c r="X14" i="12"/>
  <c r="W14" i="12"/>
  <c r="V14" i="12"/>
  <c r="U13" i="12"/>
  <c r="T13" i="12"/>
  <c r="S13" i="12"/>
  <c r="R13" i="12"/>
  <c r="Q13" i="12"/>
  <c r="X13" i="12"/>
  <c r="W13" i="12"/>
  <c r="V13" i="12"/>
  <c r="U12" i="12"/>
  <c r="T12" i="12"/>
  <c r="S12" i="12"/>
  <c r="R12" i="12"/>
  <c r="Q12" i="12"/>
  <c r="X12" i="12"/>
  <c r="W12" i="12"/>
  <c r="V12" i="12"/>
  <c r="Q11" i="12"/>
  <c r="R11" i="12"/>
  <c r="S11" i="12"/>
  <c r="T11" i="12"/>
  <c r="U11" i="12"/>
  <c r="V11" i="12"/>
  <c r="W11" i="12"/>
  <c r="X11" i="12"/>
  <c r="Q10" i="12"/>
  <c r="R10" i="12"/>
  <c r="S10" i="12"/>
  <c r="T10" i="12"/>
  <c r="U10" i="12"/>
  <c r="W10" i="12"/>
  <c r="X10" i="12"/>
  <c r="V10" i="12"/>
  <c r="U9" i="12"/>
  <c r="T9" i="12"/>
  <c r="S9" i="12"/>
  <c r="Q9" i="12"/>
  <c r="R9" i="12"/>
  <c r="X9" i="12"/>
  <c r="W9" i="12"/>
  <c r="V9" i="12"/>
  <c r="R8" i="12"/>
  <c r="Q8" i="12"/>
  <c r="X8" i="12"/>
  <c r="W8" i="12"/>
  <c r="V8" i="12"/>
  <c r="U8" i="12"/>
  <c r="T8" i="12"/>
  <c r="S8" i="12"/>
  <c r="S7" i="12"/>
  <c r="Q7" i="12"/>
  <c r="X7" i="12"/>
  <c r="R7" i="12"/>
  <c r="T7" i="12"/>
  <c r="U7" i="12"/>
  <c r="V7" i="12"/>
  <c r="W7" i="12"/>
  <c r="X6" i="12"/>
  <c r="W6" i="12"/>
  <c r="V6" i="12"/>
  <c r="U6" i="12"/>
  <c r="T6" i="12"/>
  <c r="S6" i="12"/>
  <c r="R6" i="12"/>
  <c r="Q6" i="12"/>
  <c r="R5" i="12"/>
  <c r="S5" i="12"/>
  <c r="T5" i="12"/>
  <c r="U5" i="12"/>
  <c r="V5" i="12"/>
  <c r="W5" i="12"/>
  <c r="X5" i="12"/>
  <c r="Q5" i="12"/>
  <c r="Q4" i="12"/>
  <c r="X4" i="12"/>
  <c r="W4" i="12"/>
  <c r="V4" i="12"/>
  <c r="U4" i="12"/>
  <c r="T4" i="12"/>
  <c r="S4" i="12"/>
  <c r="R4" i="12"/>
  <c r="Q15" i="11"/>
  <c r="R15" i="11"/>
  <c r="S15" i="11"/>
  <c r="U15" i="11"/>
  <c r="V15" i="11"/>
  <c r="W15" i="11"/>
  <c r="X15" i="11"/>
  <c r="T15" i="11"/>
  <c r="R14" i="11"/>
  <c r="W14" i="11"/>
  <c r="X14" i="11"/>
  <c r="T14" i="11"/>
  <c r="U14" i="11"/>
  <c r="Q14" i="11"/>
  <c r="S14" i="11"/>
  <c r="V14" i="11"/>
  <c r="R13" i="11"/>
  <c r="Q13" i="11"/>
  <c r="S13" i="11"/>
  <c r="T13" i="11"/>
  <c r="U13" i="11"/>
  <c r="V13" i="11"/>
  <c r="W13" i="11"/>
  <c r="X13" i="11"/>
  <c r="X12" i="11"/>
  <c r="V12" i="11"/>
  <c r="U12" i="11"/>
  <c r="T12" i="11"/>
  <c r="W12" i="11"/>
  <c r="Q12" i="11"/>
  <c r="R12" i="11"/>
  <c r="Q11" i="11"/>
  <c r="R11" i="11"/>
  <c r="S11" i="11"/>
  <c r="T11" i="11"/>
  <c r="U11" i="11"/>
  <c r="V11" i="11"/>
  <c r="W11" i="11"/>
  <c r="X11" i="11"/>
  <c r="X10" i="11"/>
  <c r="W10" i="11"/>
  <c r="V10" i="11"/>
  <c r="U10" i="11"/>
  <c r="T10" i="11"/>
  <c r="R10" i="11"/>
  <c r="Q10" i="11"/>
  <c r="S10" i="11"/>
  <c r="X9" i="11"/>
  <c r="W9" i="11"/>
  <c r="V9" i="11"/>
  <c r="T9" i="11"/>
  <c r="Q9" i="11"/>
  <c r="R9" i="11"/>
  <c r="S9" i="11"/>
  <c r="U9" i="11"/>
  <c r="V8" i="11"/>
  <c r="X8" i="11"/>
  <c r="W8" i="11"/>
  <c r="Q8" i="11"/>
  <c r="R8" i="11"/>
  <c r="S8" i="11"/>
  <c r="T8" i="11"/>
  <c r="U8" i="11"/>
  <c r="R7" i="11"/>
  <c r="X7" i="11"/>
  <c r="W7" i="11"/>
  <c r="V7" i="11"/>
  <c r="S7" i="11"/>
  <c r="U7" i="11"/>
  <c r="Q7" i="11"/>
  <c r="T7" i="11"/>
  <c r="R6" i="11"/>
  <c r="S6" i="11"/>
  <c r="T6" i="11"/>
  <c r="U6" i="11"/>
  <c r="W6" i="11"/>
  <c r="X6" i="11"/>
  <c r="V6" i="11"/>
  <c r="Q6" i="11"/>
  <c r="S5" i="11"/>
  <c r="R5" i="11"/>
  <c r="Q5" i="11"/>
  <c r="X5" i="11"/>
  <c r="W5" i="11"/>
  <c r="V5" i="11"/>
  <c r="U5" i="11"/>
  <c r="T5" i="11"/>
  <c r="S4" i="11"/>
  <c r="R4" i="11"/>
  <c r="Q4" i="11"/>
  <c r="V4" i="11"/>
  <c r="T4" i="11"/>
  <c r="U4" i="11"/>
  <c r="W4" i="11"/>
  <c r="X4" i="11"/>
  <c r="W15" i="10"/>
  <c r="Q15" i="10"/>
  <c r="R15" i="10"/>
  <c r="S15" i="10"/>
  <c r="T15" i="10"/>
  <c r="U15" i="10"/>
  <c r="V15" i="10"/>
  <c r="X15" i="10"/>
  <c r="S14" i="10"/>
  <c r="T14" i="10"/>
  <c r="U14" i="10"/>
  <c r="V14" i="10"/>
  <c r="W14" i="10"/>
  <c r="X14" i="10"/>
  <c r="Q14" i="10"/>
  <c r="R14" i="10"/>
  <c r="S13" i="10"/>
  <c r="T13" i="10"/>
  <c r="U13" i="10"/>
  <c r="V13" i="10"/>
  <c r="Q13" i="10"/>
  <c r="X13" i="10"/>
  <c r="R13" i="10"/>
  <c r="W13" i="10"/>
  <c r="U12" i="10"/>
  <c r="V12" i="10"/>
  <c r="W12" i="10"/>
  <c r="R12" i="10"/>
  <c r="X12" i="10"/>
  <c r="T12" i="10"/>
  <c r="Q12" i="10"/>
  <c r="S12" i="10"/>
  <c r="X11" i="10"/>
  <c r="W11" i="10"/>
  <c r="V11" i="10"/>
  <c r="U11" i="10"/>
  <c r="T11" i="10"/>
  <c r="S11" i="10"/>
  <c r="Q11" i="10"/>
  <c r="R11" i="10"/>
  <c r="W10" i="10"/>
  <c r="X10" i="10"/>
  <c r="V10" i="10"/>
  <c r="U10" i="10"/>
  <c r="T10" i="10"/>
  <c r="S10" i="10"/>
  <c r="R10" i="10"/>
  <c r="Q10" i="10"/>
  <c r="T8" i="10"/>
  <c r="S8" i="10"/>
  <c r="R8" i="10"/>
  <c r="Q8" i="10"/>
  <c r="X8" i="10"/>
  <c r="W8" i="10"/>
  <c r="V8" i="10"/>
  <c r="U8" i="10"/>
  <c r="W7" i="10"/>
  <c r="T7" i="10"/>
  <c r="S7" i="10"/>
  <c r="R7" i="10"/>
  <c r="Q7" i="10"/>
  <c r="X7" i="10"/>
  <c r="V7" i="10"/>
  <c r="U7" i="10"/>
  <c r="S6" i="10"/>
  <c r="R6" i="10"/>
  <c r="Q6" i="10"/>
  <c r="U6" i="10"/>
  <c r="V6" i="10"/>
  <c r="W6" i="10"/>
  <c r="X6" i="10"/>
  <c r="T6" i="10"/>
  <c r="X5" i="10"/>
  <c r="W5" i="10"/>
  <c r="V5" i="10"/>
  <c r="U5" i="10"/>
  <c r="T5" i="10"/>
  <c r="S5" i="10"/>
  <c r="R5" i="10"/>
  <c r="Q5" i="10"/>
  <c r="X4" i="10"/>
  <c r="Q4" i="10"/>
  <c r="R4" i="10"/>
  <c r="S4" i="10"/>
  <c r="T4" i="10"/>
  <c r="U4" i="10"/>
  <c r="V4" i="10"/>
  <c r="W4" i="10"/>
  <c r="S15" i="9"/>
  <c r="Q15" i="9"/>
  <c r="V15" i="9"/>
  <c r="R15" i="9"/>
  <c r="X15" i="9"/>
  <c r="W15" i="9"/>
  <c r="T15" i="9"/>
  <c r="U15" i="9"/>
  <c r="S14" i="9"/>
  <c r="U14" i="9"/>
  <c r="X14" i="9"/>
  <c r="Q14" i="9"/>
  <c r="V14" i="9"/>
  <c r="R14" i="9"/>
  <c r="W14" i="9"/>
  <c r="T14" i="9"/>
  <c r="R13" i="9"/>
  <c r="U13" i="9"/>
  <c r="Q13" i="9"/>
  <c r="X13" i="9"/>
  <c r="S13" i="9"/>
  <c r="T13" i="9"/>
  <c r="V13" i="9"/>
  <c r="W13" i="9"/>
  <c r="R12" i="9"/>
  <c r="V12" i="9"/>
  <c r="T12" i="9"/>
  <c r="Q12" i="9"/>
  <c r="W12" i="9"/>
  <c r="S12" i="9"/>
  <c r="U12" i="9"/>
  <c r="X12" i="9"/>
  <c r="Q11" i="9"/>
  <c r="W11" i="9"/>
  <c r="X11" i="9"/>
  <c r="T11" i="9"/>
  <c r="V11" i="9"/>
  <c r="U11" i="9"/>
  <c r="R11" i="9"/>
  <c r="S11" i="9"/>
  <c r="U10" i="9"/>
  <c r="X10" i="9"/>
  <c r="V10" i="9"/>
  <c r="R10" i="9"/>
  <c r="S10" i="9"/>
  <c r="Q10" i="9"/>
  <c r="T10" i="9"/>
  <c r="W10" i="9"/>
  <c r="S9" i="9"/>
  <c r="V9" i="9"/>
  <c r="Q9" i="9"/>
  <c r="W9" i="9"/>
  <c r="X9" i="9"/>
  <c r="U9" i="9"/>
  <c r="T9" i="9"/>
  <c r="R9" i="9"/>
  <c r="T8" i="9"/>
  <c r="U8" i="9"/>
  <c r="V8" i="9"/>
  <c r="Q8" i="9"/>
  <c r="R8" i="9"/>
  <c r="S8" i="9"/>
  <c r="X8" i="9"/>
  <c r="U7" i="9"/>
  <c r="W7" i="9"/>
  <c r="S7" i="9"/>
  <c r="X7" i="9"/>
  <c r="Q7" i="9"/>
  <c r="V7" i="9"/>
  <c r="T7" i="9"/>
  <c r="R7" i="9"/>
  <c r="R6" i="9"/>
  <c r="Q6" i="9"/>
  <c r="T6" i="9"/>
  <c r="U6" i="9"/>
  <c r="V6" i="9"/>
  <c r="W6" i="9"/>
  <c r="X6" i="9"/>
  <c r="S6" i="9"/>
  <c r="Q5" i="9"/>
  <c r="W5" i="9"/>
  <c r="R5" i="9"/>
  <c r="U5" i="9"/>
  <c r="S5" i="9"/>
  <c r="X5" i="9"/>
  <c r="V5" i="9"/>
  <c r="T5" i="9"/>
  <c r="U4" i="9"/>
  <c r="X4" i="9"/>
  <c r="T4" i="9"/>
  <c r="R4" i="9"/>
  <c r="S4" i="9"/>
  <c r="V4" i="9"/>
  <c r="Q4" i="9"/>
  <c r="W4" i="9"/>
  <c r="B11" i="4"/>
  <c r="I6" i="3"/>
  <c r="H6" i="3"/>
  <c r="B10" i="4"/>
  <c r="G6" i="3"/>
  <c r="B9" i="4"/>
  <c r="F6" i="3"/>
  <c r="B8" i="4"/>
  <c r="E6" i="3"/>
  <c r="B7" i="4"/>
  <c r="D6" i="3"/>
  <c r="B6" i="4"/>
  <c r="C6" i="3"/>
  <c r="B5" i="4"/>
  <c r="B6" i="3"/>
  <c r="B4" i="4"/>
  <c r="X15" i="8"/>
  <c r="U15" i="8"/>
  <c r="V15" i="8"/>
  <c r="R15" i="8"/>
  <c r="S15" i="8"/>
  <c r="W15" i="8"/>
  <c r="Q15" i="8"/>
  <c r="S14" i="8"/>
  <c r="X14" i="8"/>
  <c r="R14" i="8"/>
  <c r="V14" i="8"/>
  <c r="T14" i="8"/>
  <c r="Q14" i="8"/>
  <c r="U14" i="8"/>
  <c r="W14" i="8"/>
  <c r="W13" i="8"/>
  <c r="R13" i="8"/>
  <c r="T13" i="8"/>
  <c r="V13" i="8"/>
  <c r="U13" i="8"/>
  <c r="Q13" i="8"/>
  <c r="S13" i="8"/>
  <c r="X13" i="8"/>
  <c r="R12" i="8"/>
  <c r="S12" i="8"/>
  <c r="X12" i="8"/>
  <c r="T12" i="8"/>
  <c r="W12" i="8"/>
  <c r="U12" i="8"/>
  <c r="Q12" i="8"/>
  <c r="V12" i="8"/>
  <c r="W11" i="8"/>
  <c r="T11" i="8"/>
  <c r="V11" i="8"/>
  <c r="X11" i="8"/>
  <c r="R11" i="8"/>
  <c r="Q11" i="8"/>
  <c r="S11" i="8"/>
  <c r="U11" i="8"/>
  <c r="S10" i="8"/>
  <c r="W10" i="8"/>
  <c r="Q10" i="8"/>
  <c r="T10" i="8"/>
  <c r="R10" i="8"/>
  <c r="X10" i="8"/>
  <c r="U10" i="8"/>
  <c r="V10" i="8"/>
  <c r="V9" i="8"/>
  <c r="R9" i="8"/>
  <c r="T9" i="8"/>
  <c r="W9" i="8"/>
  <c r="Q9" i="8"/>
  <c r="X9" i="8"/>
  <c r="S9" i="8"/>
  <c r="U9" i="8"/>
  <c r="U8" i="8"/>
  <c r="V8" i="8"/>
  <c r="X8" i="8"/>
  <c r="R8" i="8"/>
  <c r="W8" i="8"/>
  <c r="T8" i="8"/>
  <c r="S8" i="8"/>
  <c r="Q8" i="8"/>
  <c r="T7" i="8"/>
  <c r="U7" i="8"/>
  <c r="S7" i="8"/>
  <c r="Q7" i="8"/>
  <c r="R7" i="8"/>
  <c r="V7" i="8"/>
  <c r="W7" i="8"/>
  <c r="X7" i="8"/>
  <c r="Q6" i="8"/>
  <c r="R6" i="8"/>
  <c r="S6" i="8"/>
  <c r="W5" i="8"/>
  <c r="V5" i="8"/>
  <c r="U5" i="8"/>
  <c r="T5" i="8"/>
  <c r="X5" i="8"/>
  <c r="R5" i="8"/>
  <c r="Q5" i="8"/>
  <c r="S5" i="8"/>
  <c r="V4" i="8"/>
  <c r="W4" i="8"/>
  <c r="X4" i="8"/>
  <c r="R4" i="8"/>
  <c r="Q4" i="8"/>
  <c r="S4" i="8"/>
  <c r="T4" i="8"/>
  <c r="U4" i="8"/>
  <c r="S15" i="7"/>
  <c r="V15" i="7"/>
  <c r="U15" i="7"/>
  <c r="T15" i="7"/>
  <c r="R15" i="7"/>
  <c r="Q15" i="7"/>
  <c r="X15" i="7"/>
  <c r="W15" i="7"/>
  <c r="T14" i="7"/>
  <c r="X14" i="7"/>
  <c r="W14" i="7"/>
  <c r="V14" i="7"/>
  <c r="U14" i="7"/>
  <c r="S14" i="7"/>
  <c r="R14" i="7"/>
  <c r="Q14" i="7"/>
  <c r="T13" i="7"/>
  <c r="S13" i="7"/>
  <c r="R13" i="7"/>
  <c r="Q13" i="7"/>
  <c r="X13" i="7"/>
  <c r="W13" i="7"/>
  <c r="V13" i="7"/>
  <c r="U13" i="7"/>
  <c r="U12" i="7"/>
  <c r="V12" i="7"/>
  <c r="X12" i="7"/>
  <c r="W12" i="7"/>
  <c r="Q12" i="7"/>
  <c r="R12" i="7"/>
  <c r="S12" i="7"/>
  <c r="T12" i="7"/>
  <c r="X11" i="7"/>
  <c r="S11" i="7"/>
  <c r="R11" i="7"/>
  <c r="Q11" i="7"/>
  <c r="T11" i="7"/>
  <c r="U11" i="7"/>
  <c r="V11" i="7"/>
  <c r="W11" i="7"/>
  <c r="R10" i="7"/>
  <c r="U10" i="7"/>
  <c r="V10" i="7"/>
  <c r="W10" i="7"/>
  <c r="X10" i="7"/>
  <c r="Q10" i="7"/>
  <c r="S10" i="7"/>
  <c r="T10" i="7"/>
  <c r="V9" i="7"/>
  <c r="U9" i="7"/>
  <c r="T9" i="7"/>
  <c r="S9" i="7"/>
  <c r="R9" i="7"/>
  <c r="Q9" i="7"/>
  <c r="X9" i="7"/>
  <c r="W9" i="7"/>
  <c r="S8" i="7"/>
  <c r="U8" i="7"/>
  <c r="Q8" i="7"/>
  <c r="T8" i="7"/>
  <c r="W8" i="7"/>
  <c r="X8" i="7"/>
  <c r="V8" i="7"/>
  <c r="R8" i="7"/>
  <c r="X7" i="7"/>
  <c r="U7" i="7"/>
  <c r="W7" i="7"/>
  <c r="V7" i="7"/>
  <c r="Q7" i="7"/>
  <c r="S7" i="7"/>
  <c r="R7" i="7"/>
  <c r="T7" i="7"/>
  <c r="W6" i="7"/>
  <c r="V6" i="7"/>
  <c r="U6" i="7"/>
  <c r="T6" i="7"/>
  <c r="S6" i="7"/>
  <c r="Q6" i="7"/>
  <c r="R6" i="7"/>
  <c r="X6" i="7"/>
  <c r="X5" i="7"/>
  <c r="W5" i="7"/>
  <c r="V5" i="7"/>
  <c r="U5" i="7"/>
  <c r="Q5" i="7"/>
  <c r="R5" i="7"/>
  <c r="S5" i="7"/>
  <c r="T5" i="7"/>
  <c r="W4" i="7"/>
  <c r="S4" i="7"/>
  <c r="V4" i="7"/>
  <c r="T4" i="7"/>
  <c r="U4" i="7"/>
  <c r="X4" i="7"/>
  <c r="Q4" i="7"/>
  <c r="R4" i="7"/>
  <c r="U32" i="1"/>
  <c r="U4" i="1"/>
  <c r="U31" i="1"/>
  <c r="U6" i="1"/>
  <c r="U30" i="1"/>
  <c r="U3" i="1"/>
  <c r="U29" i="1"/>
  <c r="U7" i="1"/>
  <c r="U28" i="1"/>
  <c r="U21" i="1"/>
  <c r="U27" i="1"/>
  <c r="U20" i="1"/>
  <c r="U26" i="1"/>
  <c r="U22" i="1"/>
  <c r="U25" i="1"/>
  <c r="U19" i="1"/>
  <c r="U24" i="1"/>
  <c r="U18" i="1"/>
  <c r="U17" i="1"/>
  <c r="U16" i="1"/>
  <c r="U15" i="1"/>
  <c r="U11" i="1"/>
  <c r="U14" i="1"/>
  <c r="U10" i="1"/>
  <c r="U13" i="1"/>
  <c r="U9" i="1"/>
  <c r="U12" i="1"/>
  <c r="U8" i="1"/>
  <c r="U23" i="1"/>
  <c r="U5" i="1"/>
  <c r="B4" i="3"/>
  <c r="X15" i="6"/>
  <c r="W15" i="6"/>
  <c r="V15" i="6"/>
  <c r="U15" i="6"/>
  <c r="T15" i="6"/>
  <c r="S15" i="6"/>
  <c r="R15" i="6"/>
  <c r="Q15" i="6"/>
  <c r="V14" i="6"/>
  <c r="X14" i="6"/>
  <c r="W14" i="6"/>
  <c r="U14" i="6"/>
  <c r="T14" i="6"/>
  <c r="S14" i="6"/>
  <c r="R14" i="6"/>
  <c r="Q14" i="6"/>
  <c r="X13" i="6"/>
  <c r="V13" i="6"/>
  <c r="T13" i="6"/>
  <c r="S13" i="6"/>
  <c r="R13" i="6"/>
  <c r="Q13" i="6"/>
  <c r="U13" i="6"/>
  <c r="W13" i="6"/>
  <c r="X12" i="6"/>
  <c r="W12" i="6"/>
  <c r="V12" i="6"/>
  <c r="U12" i="6"/>
  <c r="T12" i="6"/>
  <c r="S12" i="6"/>
  <c r="R12" i="6"/>
  <c r="Q12" i="6"/>
  <c r="Q11" i="6"/>
  <c r="R11" i="6"/>
  <c r="S11" i="6"/>
  <c r="T11" i="6"/>
  <c r="U11" i="6"/>
  <c r="X11" i="6"/>
  <c r="W11" i="6"/>
  <c r="V11" i="6"/>
  <c r="Q10" i="6"/>
  <c r="R10" i="6"/>
  <c r="S10" i="6"/>
  <c r="T10" i="6"/>
  <c r="U10" i="6"/>
  <c r="V10" i="6"/>
  <c r="W10" i="6"/>
  <c r="X10" i="6"/>
  <c r="X9" i="6"/>
  <c r="U9" i="6"/>
  <c r="Q9" i="6"/>
  <c r="R9" i="6"/>
  <c r="S9" i="6"/>
  <c r="T9" i="6"/>
  <c r="V9" i="6"/>
  <c r="W9" i="6"/>
  <c r="Q8" i="6"/>
  <c r="T8" i="6"/>
  <c r="X8" i="6"/>
  <c r="W8" i="6"/>
  <c r="V8" i="6"/>
  <c r="U8" i="6"/>
  <c r="S8" i="6"/>
  <c r="R8" i="6"/>
  <c r="X7" i="6"/>
  <c r="Q7" i="6"/>
  <c r="R7" i="6"/>
  <c r="S7" i="6"/>
  <c r="T7" i="6"/>
  <c r="U7" i="6"/>
  <c r="V7" i="6"/>
  <c r="W7" i="6"/>
  <c r="X6" i="6"/>
  <c r="Q6" i="6"/>
  <c r="R6" i="6"/>
  <c r="S6" i="6"/>
  <c r="W6" i="6"/>
  <c r="V6" i="6"/>
  <c r="T6" i="6"/>
  <c r="U6" i="6"/>
  <c r="X5" i="6"/>
  <c r="Q5" i="6"/>
  <c r="R5" i="6"/>
  <c r="S5" i="6"/>
  <c r="T5" i="6"/>
  <c r="U5" i="6"/>
  <c r="V5" i="6"/>
  <c r="W5" i="6"/>
  <c r="S4" i="6"/>
  <c r="X4" i="6"/>
  <c r="W4" i="6"/>
  <c r="V4" i="6"/>
  <c r="U4" i="6"/>
  <c r="T4" i="6"/>
  <c r="R4" i="6"/>
  <c r="Q4" i="6"/>
  <c r="V18" i="1"/>
  <c r="V19" i="1"/>
  <c r="V20" i="1"/>
  <c r="V21" i="1"/>
  <c r="V22" i="1"/>
  <c r="V23" i="1"/>
  <c r="V24" i="1"/>
  <c r="V26" i="1"/>
  <c r="V31" i="1"/>
  <c r="V30" i="1"/>
  <c r="V29" i="1"/>
  <c r="V28" i="1"/>
  <c r="V27" i="1"/>
  <c r="V2" i="1"/>
  <c r="V6" i="1"/>
  <c r="V3" i="1"/>
  <c r="V5" i="1"/>
  <c r="V25" i="1"/>
  <c r="V4" i="1"/>
  <c r="V16" i="1"/>
  <c r="V32" i="1"/>
  <c r="V7" i="1"/>
  <c r="F8" i="1"/>
  <c r="V17" i="1"/>
  <c r="V9" i="1"/>
  <c r="V10" i="1"/>
  <c r="V11" i="1"/>
  <c r="V12" i="1"/>
  <c r="V13" i="1"/>
  <c r="V14" i="1"/>
  <c r="V15" i="1"/>
  <c r="V8" i="1"/>
  <c r="D11" i="4" l="1"/>
  <c r="E11" i="4"/>
  <c r="N16" i="1"/>
  <c r="D10" i="4"/>
  <c r="E10" i="4"/>
  <c r="J16" i="1"/>
  <c r="D9" i="4"/>
  <c r="E9" i="4"/>
  <c r="N23" i="1"/>
  <c r="D8" i="4"/>
  <c r="E8" i="4"/>
  <c r="F23" i="1"/>
  <c r="D7" i="4"/>
  <c r="E7" i="4"/>
  <c r="B23" i="1"/>
  <c r="D6" i="4"/>
  <c r="E6" i="4"/>
  <c r="J23" i="1"/>
  <c r="D5" i="4"/>
  <c r="E5" i="4"/>
  <c r="F16" i="1"/>
  <c r="D4" i="4"/>
  <c r="E4" i="4"/>
  <c r="B7" i="1"/>
  <c r="B10" i="1"/>
  <c r="F10" i="1"/>
  <c r="B11" i="1"/>
  <c r="B16" i="1"/>
  <c r="L15" i="2"/>
  <c r="J15" i="2"/>
  <c r="I15" i="2"/>
  <c r="K15" i="2" s="1"/>
  <c r="M15" i="2" s="1"/>
  <c r="L14" i="2"/>
  <c r="J14" i="2"/>
  <c r="I14" i="2"/>
  <c r="K14" i="2" s="1"/>
  <c r="M14" i="2" s="1"/>
  <c r="L13" i="2"/>
  <c r="J13" i="2"/>
  <c r="I13" i="2"/>
  <c r="K13" i="2" s="1"/>
  <c r="M13" i="2" s="1"/>
  <c r="L12" i="2"/>
  <c r="J12" i="2"/>
  <c r="I12" i="2"/>
  <c r="I11" i="2"/>
  <c r="J11" i="2"/>
  <c r="L11" i="2"/>
  <c r="I10" i="2"/>
  <c r="J10" i="2"/>
  <c r="L10" i="2"/>
  <c r="L9" i="2"/>
  <c r="I9" i="2"/>
  <c r="K9" i="2" s="1"/>
  <c r="M9" i="2" s="1"/>
  <c r="J9" i="2"/>
  <c r="I8" i="2"/>
  <c r="L8" i="2"/>
  <c r="J8" i="2"/>
  <c r="L7" i="2"/>
  <c r="I7" i="2"/>
  <c r="K7" i="2" s="1"/>
  <c r="M7" i="2" s="1"/>
  <c r="J7" i="2"/>
  <c r="L6" i="2"/>
  <c r="I6" i="2"/>
  <c r="J6" i="2"/>
  <c r="L5" i="2"/>
  <c r="I5" i="2"/>
  <c r="J5" i="2"/>
  <c r="L4" i="2"/>
  <c r="J4" i="2"/>
  <c r="I4" i="2"/>
  <c r="K12" i="2" l="1"/>
  <c r="M12" i="2" s="1"/>
  <c r="K11" i="2"/>
  <c r="M11" i="2" s="1"/>
  <c r="P15" i="1"/>
  <c r="N18" i="1"/>
  <c r="L15" i="1"/>
  <c r="J18" i="1"/>
  <c r="P22" i="1"/>
  <c r="N25" i="1"/>
  <c r="H22" i="1"/>
  <c r="F25" i="1"/>
  <c r="D22" i="1"/>
  <c r="B25" i="1"/>
  <c r="L22" i="1"/>
  <c r="J25" i="1"/>
  <c r="H15" i="1"/>
  <c r="F18" i="1"/>
  <c r="D15" i="1"/>
  <c r="B18" i="1"/>
  <c r="K6" i="2"/>
  <c r="M6" i="2" s="1"/>
  <c r="K4" i="2"/>
  <c r="M4" i="2" s="1"/>
  <c r="K10" i="2"/>
  <c r="M10" i="2" s="1"/>
  <c r="K8" i="2"/>
  <c r="M8" i="2" s="1"/>
  <c r="K5" i="2"/>
  <c r="M5" i="2" s="1"/>
  <c r="B5" i="2" l="1"/>
  <c r="J8" i="1" s="1"/>
  <c r="C5" i="2"/>
  <c r="D5" i="2"/>
  <c r="E5" i="2"/>
  <c r="F5" i="2"/>
  <c r="B6" i="2"/>
  <c r="J9" i="1" s="1"/>
  <c r="C6" i="2"/>
  <c r="D6" i="2"/>
  <c r="E6" i="2"/>
  <c r="F6" i="2"/>
  <c r="B7" i="2"/>
  <c r="C7" i="2"/>
  <c r="D7" i="2"/>
  <c r="E7" i="2"/>
  <c r="F7" i="2"/>
  <c r="B8" i="2"/>
  <c r="C8" i="2"/>
  <c r="D8" i="2"/>
  <c r="E8" i="2"/>
  <c r="F8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B12" i="2"/>
  <c r="C12" i="2"/>
  <c r="D12" i="2"/>
  <c r="E12" i="2"/>
  <c r="F12" i="2"/>
  <c r="B13" i="2"/>
  <c r="C13" i="2"/>
  <c r="D13" i="2"/>
  <c r="E13" i="2"/>
  <c r="F13" i="2"/>
  <c r="B14" i="2"/>
  <c r="C14" i="2"/>
  <c r="D14" i="2"/>
  <c r="E14" i="2"/>
  <c r="F14" i="2"/>
  <c r="B15" i="2"/>
  <c r="J11" i="1" s="1"/>
  <c r="C15" i="2"/>
  <c r="D15" i="2"/>
  <c r="E15" i="2"/>
  <c r="F15" i="2"/>
  <c r="B4" i="2"/>
  <c r="J7" i="1" s="1"/>
  <c r="C4" i="2"/>
  <c r="D4" i="2"/>
  <c r="E4" i="2"/>
  <c r="F4" i="2"/>
  <c r="A13" i="2" l="1"/>
  <c r="O8" i="1"/>
  <c r="A5" i="2"/>
  <c r="O9" i="1"/>
  <c r="A6" i="2"/>
  <c r="O11" i="1"/>
  <c r="A15" i="2"/>
  <c r="O7" i="1"/>
  <c r="A4" i="2"/>
  <c r="A7" i="2"/>
  <c r="A8" i="2"/>
  <c r="A9" i="2"/>
  <c r="A10" i="2"/>
  <c r="A11" i="2"/>
  <c r="A12" i="2"/>
  <c r="A14" i="2"/>
</calcChain>
</file>

<file path=xl/sharedStrings.xml><?xml version="1.0" encoding="utf-8"?>
<sst xmlns="http://schemas.openxmlformats.org/spreadsheetml/2006/main" count="4963" uniqueCount="1742">
  <si>
    <t>Day</t>
  </si>
  <si>
    <t>Actual</t>
  </si>
  <si>
    <t>Pace</t>
  </si>
  <si>
    <t>STORE PERFORMANCE</t>
  </si>
  <si>
    <t>MOCK DATA</t>
  </si>
  <si>
    <t>Monthly tracker  ·  all figures generated, not real</t>
  </si>
  <si>
    <t xml:space="preserve">  ACTS + PRE  —  MONTH TO DATE</t>
  </si>
  <si>
    <t xml:space="preserve">  TEAM</t>
  </si>
  <si>
    <t xml:space="preserve">GOAL  </t>
  </si>
  <si>
    <t xml:space="preserve">  ACTIVATIONS</t>
  </si>
  <si>
    <t xml:space="preserve">  PREPAID</t>
  </si>
  <si>
    <t xml:space="preserve">  DEVICES</t>
  </si>
  <si>
    <t xml:space="preserve">  ACCESSORY $</t>
  </si>
  <si>
    <t xml:space="preserve">  BTS</t>
  </si>
  <si>
    <t xml:space="preserve">  HOME INTERNET</t>
  </si>
  <si>
    <t xml:space="preserve">  TFB</t>
  </si>
  <si>
    <t xml:space="preserve">  VALUE-ADD $</t>
  </si>
  <si>
    <t xml:space="preserve">  PACE TO GOAL  —  cumulative Acts + Pre vs required pace</t>
  </si>
  <si>
    <t>These columns feed the pace chart.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</si>
  <si>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</si>
  <si>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</si>
  <si>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</si>
  <si>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</si>
  <si>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</si>
  <si>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</si>
  <si>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</si>
  <si>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</si>
  <si>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working block — safe to hide</t>
  </si>
  <si>
    <t>Daily Trend  —  heatmap by day</t>
  </si>
  <si>
    <t>TFB</t>
  </si>
  <si>
    <t>BTS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</si>
  <si>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</si>
  <si>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</si>
  <si>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</si>
  <si>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</si>
  <si>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</si>
  <si>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</si>
  <si>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</si>
  <si>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</si>
  <si>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</si>
  <si>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</si>
  <si>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</si>
  <si>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</si>
  <si>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</si>
  <si>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</si>
  <si>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</si>
  <si>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</si>
  <si>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</si>
  <si>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</si>
  <si>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</si>
  <si>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</si>
  <si>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</si>
  <si>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</si>
  <si>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</si>
  <si>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</si>
  <si>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</si>
  <si>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</si>
  <si>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</si>
  <si>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</si>
  <si>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</si>
  <si>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</si>
  <si>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</si>
  <si>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</si>
  <si>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</si>
  <si>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</si>
  <si>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</si>
  <si>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</si>
  <si>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</si>
  <si>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</si>
  <si>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</si>
  <si>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</si>
  <si>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</si>
  <si>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</si>
  <si>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</si>
  <si>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</si>
  <si>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</si>
  <si>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</si>
  <si>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</si>
  <si>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</si>
  <si>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</si>
  <si>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</si>
  <si>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12 slots. Rename anyone here and the daily tabs, leaderboard and dashboard all follow — but do it before the month starts, because renaming mid-month leaves that person's earlier rows matched to the old name. Going beyond 12 people means extending the roster and the per-expert block on the day tabs together.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</si>
  <si>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</si>
  <si>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</si>
  <si>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</si>
  <si>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</si>
  <si>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</si>
  <si>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</si>
  <si>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914514580899</t>
  </si>
  <si>
    <t>222897714771199</t>
  </si>
  <si>
    <t>Y</t>
  </si>
  <si>
    <t>379529466652</t>
  </si>
  <si>
    <t>210921088693764</t>
  </si>
  <si>
    <t>484347269650</t>
  </si>
  <si>
    <t>562288579402767</t>
  </si>
  <si>
    <t>649986505071</t>
  </si>
  <si>
    <t>383869961295491</t>
  </si>
  <si>
    <t>694446835897</t>
  </si>
  <si>
    <t>686422567893916</t>
  </si>
  <si>
    <t>269435120307</t>
  </si>
  <si>
    <t>997795614189259</t>
  </si>
  <si>
    <t>564065296092</t>
  </si>
  <si>
    <t>729107938546882</t>
  </si>
  <si>
    <t>266736504820</t>
  </si>
  <si>
    <t>374532990206685</t>
  </si>
  <si>
    <t>908684201110</t>
  </si>
  <si>
    <t>460685444886116</t>
  </si>
  <si>
    <t>741986628539</t>
  </si>
  <si>
    <t>177038692208062</t>
  </si>
  <si>
    <t>505500884048</t>
  </si>
  <si>
    <t>687417101861735</t>
  </si>
  <si>
    <t>123293611839</t>
  </si>
  <si>
    <t>730593328221791</t>
  </si>
  <si>
    <t>439560058640</t>
  </si>
  <si>
    <t>041953648900279</t>
  </si>
  <si>
    <t>STORE TOTAL</t>
  </si>
  <si>
    <t>178622357719</t>
  </si>
  <si>
    <t>416055684911365</t>
  </si>
  <si>
    <t>898150515979</t>
  </si>
  <si>
    <t>267995625901259</t>
  </si>
  <si>
    <t>Check:</t>
  </si>
  <si>
    <t>179401161081</t>
  </si>
  <si>
    <t>874531442450402</t>
  </si>
  <si>
    <t>474903372179</t>
  </si>
  <si>
    <t>215298135604959</t>
  </si>
  <si>
    <t>263544546613</t>
  </si>
  <si>
    <t>269098774183225</t>
  </si>
  <si>
    <t>415625458553</t>
  </si>
  <si>
    <t>479431511156908</t>
  </si>
  <si>
    <t>Day 2  —  Daily Entry</t>
  </si>
  <si>
    <t>442171231749</t>
  </si>
  <si>
    <t>960114758991611</t>
  </si>
  <si>
    <t>852326799272</t>
  </si>
  <si>
    <t>220498298683887</t>
  </si>
  <si>
    <t>571731764873</t>
  </si>
  <si>
    <t>773262203129251</t>
  </si>
  <si>
    <t>211567495636</t>
  </si>
  <si>
    <t>458432385195715</t>
  </si>
  <si>
    <t>504070353946</t>
  </si>
  <si>
    <t>469374252526182</t>
  </si>
  <si>
    <t>435297759476</t>
  </si>
  <si>
    <t>017475216261424</t>
  </si>
  <si>
    <t>483589773884</t>
  </si>
  <si>
    <t>545273767091754</t>
  </si>
  <si>
    <t>452056077765</t>
  </si>
  <si>
    <t>130579285098875</t>
  </si>
  <si>
    <t>570195567035</t>
  </si>
  <si>
    <t>566053876285056</t>
  </si>
  <si>
    <t>491620548137</t>
  </si>
  <si>
    <t>365785998055503</t>
  </si>
  <si>
    <t>147974943715</t>
  </si>
  <si>
    <t>374362981018579</t>
  </si>
  <si>
    <t>263440202372</t>
  </si>
  <si>
    <t>617700803972989</t>
  </si>
  <si>
    <t>664262569888</t>
  </si>
  <si>
    <t>895919068806290</t>
  </si>
  <si>
    <t>810640932797</t>
  </si>
  <si>
    <t>075266095353627</t>
  </si>
  <si>
    <t>212396211866</t>
  </si>
  <si>
    <t>737253535725211</t>
  </si>
  <si>
    <t>547064911414</t>
  </si>
  <si>
    <t>010388650710678</t>
  </si>
  <si>
    <t>503529624283</t>
  </si>
  <si>
    <t>809160886112599</t>
  </si>
  <si>
    <t>590890832659</t>
  </si>
  <si>
    <t>954701672210277</t>
  </si>
  <si>
    <t>825186021384</t>
  </si>
  <si>
    <t>551407057960543</t>
  </si>
  <si>
    <t>N</t>
  </si>
  <si>
    <t>376488847771</t>
  </si>
  <si>
    <t>322577827767628</t>
  </si>
  <si>
    <t>937501800825</t>
  </si>
  <si>
    <t>384927980512603</t>
  </si>
  <si>
    <t>153865275062</t>
  </si>
  <si>
    <t>036613311447653</t>
  </si>
  <si>
    <t>941995217877</t>
  </si>
  <si>
    <t>252381087323870</t>
  </si>
  <si>
    <t>487905900066</t>
  </si>
  <si>
    <t>067568787653766</t>
  </si>
  <si>
    <t>798164146540</t>
  </si>
  <si>
    <t>182775825772174</t>
  </si>
  <si>
    <t>115756639550</t>
  </si>
  <si>
    <t>273332042740634</t>
  </si>
  <si>
    <t>643746518540</t>
  </si>
  <si>
    <t>651283910612422</t>
  </si>
  <si>
    <t>821987589854</t>
  </si>
  <si>
    <t>506484520736456</t>
  </si>
  <si>
    <t>843434536174</t>
  </si>
  <si>
    <t>477764197008564</t>
  </si>
  <si>
    <t>207132988211</t>
  </si>
  <si>
    <t>764059090705982</t>
  </si>
  <si>
    <t>964152907916</t>
  </si>
  <si>
    <t>710145957149021</t>
  </si>
  <si>
    <t>Day 3  —  Daily Entry</t>
  </si>
  <si>
    <t>105280233575</t>
  </si>
  <si>
    <t>135102168603978</t>
  </si>
  <si>
    <t>716767447897</t>
  </si>
  <si>
    <t>484581245179568</t>
  </si>
  <si>
    <t>224917159711</t>
  </si>
  <si>
    <t>372915333530069</t>
  </si>
  <si>
    <t>366106511196</t>
  </si>
  <si>
    <t>895215991334635</t>
  </si>
  <si>
    <t>452672744812</t>
  </si>
  <si>
    <t>126845016273599</t>
  </si>
  <si>
    <t>480797431597</t>
  </si>
  <si>
    <t>058820080734160</t>
  </si>
  <si>
    <t>987831620832</t>
  </si>
  <si>
    <t>759289178659253</t>
  </si>
  <si>
    <t>593674344168</t>
  </si>
  <si>
    <t>296850558823551</t>
  </si>
  <si>
    <t>650168617632</t>
  </si>
  <si>
    <t>597487849016226</t>
  </si>
  <si>
    <t>620050432352</t>
  </si>
  <si>
    <t>038159076681978</t>
  </si>
  <si>
    <t>294662918033</t>
  </si>
  <si>
    <t>256159617857830</t>
  </si>
  <si>
    <t>329322298607</t>
  </si>
  <si>
    <t>629378933832509</t>
  </si>
  <si>
    <t>478178819455</t>
  </si>
  <si>
    <t>272696561424847</t>
  </si>
  <si>
    <t>742798624298</t>
  </si>
  <si>
    <t>282312826040328</t>
  </si>
  <si>
    <t>107215626979</t>
  </si>
  <si>
    <t>787925608142971</t>
  </si>
  <si>
    <t>518764394093</t>
  </si>
  <si>
    <t>479000301535164</t>
  </si>
  <si>
    <t>684817405720</t>
  </si>
  <si>
    <t>458280464236173</t>
  </si>
  <si>
    <t>632062148282</t>
  </si>
  <si>
    <t>376671618627576</t>
  </si>
  <si>
    <t>366943302494</t>
  </si>
  <si>
    <t>754229634294877</t>
  </si>
  <si>
    <t>566396226758</t>
  </si>
  <si>
    <t>568333119651662</t>
  </si>
  <si>
    <t>243503187166</t>
  </si>
  <si>
    <t>424252822925859</t>
  </si>
  <si>
    <t>843686385774</t>
  </si>
  <si>
    <t>840250087643089</t>
  </si>
  <si>
    <t>206061335326</t>
  </si>
  <si>
    <t>638658769673045</t>
  </si>
  <si>
    <t>128334893293</t>
  </si>
  <si>
    <t>732195335919508</t>
  </si>
  <si>
    <t>287102138379</t>
  </si>
  <si>
    <t>775354751783098</t>
  </si>
  <si>
    <t>141110113200</t>
  </si>
  <si>
    <t>082646393971853</t>
  </si>
  <si>
    <t>767729912458</t>
  </si>
  <si>
    <t>551311027478049</t>
  </si>
  <si>
    <t>957222013633</t>
  </si>
  <si>
    <t>264701179551673</t>
  </si>
  <si>
    <t>286688316932</t>
  </si>
  <si>
    <t>893813673561548</t>
  </si>
  <si>
    <t>781292194409</t>
  </si>
  <si>
    <t>362109899096187</t>
  </si>
  <si>
    <t>192115221648</t>
  </si>
  <si>
    <t>327742977848318</t>
  </si>
  <si>
    <t>Day 4  —  Daily Entry</t>
  </si>
  <si>
    <t>635289571956</t>
  </si>
  <si>
    <t>195392464868133</t>
  </si>
  <si>
    <t>250971473667</t>
  </si>
  <si>
    <t>242366627354814</t>
  </si>
  <si>
    <t>241683766862</t>
  </si>
  <si>
    <t>950027886935514</t>
  </si>
  <si>
    <t>362075917126</t>
  </si>
  <si>
    <t>515444664666716</t>
  </si>
  <si>
    <t>526764765355</t>
  </si>
  <si>
    <t>412445887667115</t>
  </si>
  <si>
    <t>103479018441</t>
  </si>
  <si>
    <t>094160053497153</t>
  </si>
  <si>
    <t>264365934965</t>
  </si>
  <si>
    <t>781350103350129</t>
  </si>
  <si>
    <t>190948245772</t>
  </si>
  <si>
    <t>369616367407414</t>
  </si>
  <si>
    <t>439957217212</t>
  </si>
  <si>
    <t>054401319621852</t>
  </si>
  <si>
    <t>333965319043</t>
  </si>
  <si>
    <t>216397264215601</t>
  </si>
  <si>
    <t>100675680192</t>
  </si>
  <si>
    <t>715849054314299</t>
  </si>
  <si>
    <t>771673646588</t>
  </si>
  <si>
    <t>999689400727782</t>
  </si>
  <si>
    <t>990166633051</t>
  </si>
  <si>
    <t>959435669540904</t>
  </si>
  <si>
    <t>953240465133</t>
  </si>
  <si>
    <t>704748763577175</t>
  </si>
  <si>
    <t>248872615194</t>
  </si>
  <si>
    <t>088050136651324</t>
  </si>
  <si>
    <t>671048569917</t>
  </si>
  <si>
    <t>034191098610152</t>
  </si>
  <si>
    <t>190771459035</t>
  </si>
  <si>
    <t>126485102500319</t>
  </si>
  <si>
    <t>951417718297</t>
  </si>
  <si>
    <t>636984772744763</t>
  </si>
  <si>
    <t>714295509127</t>
  </si>
  <si>
    <t>220443004935713</t>
  </si>
  <si>
    <t>310995746336</t>
  </si>
  <si>
    <t>495412887330950</t>
  </si>
  <si>
    <t>796430682043</t>
  </si>
  <si>
    <t>998156396481808</t>
  </si>
  <si>
    <t>729045975463</t>
  </si>
  <si>
    <t>157608330323662</t>
  </si>
  <si>
    <t>326747930512</t>
  </si>
  <si>
    <t>738732726174291</t>
  </si>
  <si>
    <t>423486998261</t>
  </si>
  <si>
    <t>426389334512401</t>
  </si>
  <si>
    <t>Day 5  —  Daily Entry</t>
  </si>
  <si>
    <t>696231518910</t>
  </si>
  <si>
    <t>669530030751812</t>
  </si>
  <si>
    <t>209431970217</t>
  </si>
  <si>
    <t>379871705651239</t>
  </si>
  <si>
    <t>182134928296</t>
  </si>
  <si>
    <t>658578366911157</t>
  </si>
  <si>
    <t>651902644197</t>
  </si>
  <si>
    <t>092365190205347</t>
  </si>
  <si>
    <t>357081665002</t>
  </si>
  <si>
    <t>090902861841398</t>
  </si>
  <si>
    <t>978874213035</t>
  </si>
  <si>
    <t>757129751572509</t>
  </si>
  <si>
    <t>387131344545</t>
  </si>
  <si>
    <t>775480663423596</t>
  </si>
  <si>
    <t>798171463961</t>
  </si>
  <si>
    <t>001187428239326</t>
  </si>
  <si>
    <t>526376904692</t>
  </si>
  <si>
    <t>394840493596750</t>
  </si>
  <si>
    <t>268543901363</t>
  </si>
  <si>
    <t>046814897954415</t>
  </si>
  <si>
    <t>824119616401</t>
  </si>
  <si>
    <t>383801733073141</t>
  </si>
  <si>
    <t>137773055790</t>
  </si>
  <si>
    <t>180544293483911</t>
  </si>
  <si>
    <t>134744232462</t>
  </si>
  <si>
    <t>864139374219878</t>
  </si>
  <si>
    <t>672107746728</t>
  </si>
  <si>
    <t>638651332947606</t>
  </si>
  <si>
    <t>256188080829</t>
  </si>
  <si>
    <t>063731206614070</t>
  </si>
  <si>
    <t>819115339921</t>
  </si>
  <si>
    <t>201646493673086</t>
  </si>
  <si>
    <t>702438348868</t>
  </si>
  <si>
    <t>168680690386555</t>
  </si>
  <si>
    <t>540286561418</t>
  </si>
  <si>
    <t>400195306985111</t>
  </si>
  <si>
    <t>596579263173</t>
  </si>
  <si>
    <t>956914665903622</t>
  </si>
  <si>
    <t>847812130897</t>
  </si>
  <si>
    <t>679065936374875</t>
  </si>
  <si>
    <t>288619598917</t>
  </si>
  <si>
    <t>780491255785734</t>
  </si>
  <si>
    <t>463280432319</t>
  </si>
  <si>
    <t>594297216920379</t>
  </si>
  <si>
    <t>228196850653</t>
  </si>
  <si>
    <t>002870232682195</t>
  </si>
  <si>
    <t>764114666985</t>
  </si>
  <si>
    <t>784065691620817</t>
  </si>
  <si>
    <t>643575205062</t>
  </si>
  <si>
    <t>683381738774491</t>
  </si>
  <si>
    <t>337980599200</t>
  </si>
  <si>
    <t>352709424922647</t>
  </si>
  <si>
    <t>557036945821</t>
  </si>
  <si>
    <t>081131943576195</t>
  </si>
  <si>
    <t>299931846239</t>
  </si>
  <si>
    <t>116277632836819</t>
  </si>
  <si>
    <t>120748551774</t>
  </si>
  <si>
    <t>940676838172209</t>
  </si>
  <si>
    <t>316269190459</t>
  </si>
  <si>
    <t>214347153871366</t>
  </si>
  <si>
    <t>383248990606</t>
  </si>
  <si>
    <t>828374936475544</t>
  </si>
  <si>
    <t>170425341201</t>
  </si>
  <si>
    <t>362143821767606</t>
  </si>
  <si>
    <t>902644016053</t>
  </si>
  <si>
    <t>085884219462925</t>
  </si>
  <si>
    <t>793629171537</t>
  </si>
  <si>
    <t>101643872447239</t>
  </si>
  <si>
    <t>Day 6  —  Daily Entry</t>
  </si>
  <si>
    <t>767259447995</t>
  </si>
  <si>
    <t>698755468108641</t>
  </si>
  <si>
    <t>976652334136</t>
  </si>
  <si>
    <t>313928836855822</t>
  </si>
  <si>
    <t>510666068015</t>
  </si>
  <si>
    <t>529193201013378</t>
  </si>
  <si>
    <t>417164231918</t>
  </si>
  <si>
    <t>215297322608094</t>
  </si>
  <si>
    <t>587454915527</t>
  </si>
  <si>
    <t>150406631683427</t>
  </si>
  <si>
    <t>652680190452</t>
  </si>
  <si>
    <t>119787241881844</t>
  </si>
  <si>
    <t>738103867094</t>
  </si>
  <si>
    <t>620348935687242</t>
  </si>
  <si>
    <t>150939149569</t>
  </si>
  <si>
    <t>908332996978761</t>
  </si>
  <si>
    <t>736305685798</t>
  </si>
  <si>
    <t>599637596138867</t>
  </si>
  <si>
    <t>176938875253</t>
  </si>
  <si>
    <t>248555278191200</t>
  </si>
  <si>
    <t>988375513496</t>
  </si>
  <si>
    <t>052469432691194</t>
  </si>
  <si>
    <t>698063340614</t>
  </si>
  <si>
    <t>761976613601117</t>
  </si>
  <si>
    <t>244954680102</t>
  </si>
  <si>
    <t>206572665683011</t>
  </si>
  <si>
    <t>233614444589</t>
  </si>
  <si>
    <t>300185381605640</t>
  </si>
  <si>
    <t>714983230971</t>
  </si>
  <si>
    <t>251701913112802</t>
  </si>
  <si>
    <t>717525927894</t>
  </si>
  <si>
    <t>044527074372615</t>
  </si>
  <si>
    <t>976595019402</t>
  </si>
  <si>
    <t>823200785435351</t>
  </si>
  <si>
    <t>488416952680</t>
  </si>
  <si>
    <t>683353734097608</t>
  </si>
  <si>
    <t>341358523230</t>
  </si>
  <si>
    <t>588525579745821</t>
  </si>
  <si>
    <t>368517192291</t>
  </si>
  <si>
    <t>897987310580438</t>
  </si>
  <si>
    <t>994441898094</t>
  </si>
  <si>
    <t>477777722455400</t>
  </si>
  <si>
    <t>Day 7  —  Daily Entry</t>
  </si>
  <si>
    <t>766548037701</t>
  </si>
  <si>
    <t>166416105586370</t>
  </si>
  <si>
    <t>242537975341</t>
  </si>
  <si>
    <t>538067444691528</t>
  </si>
  <si>
    <t>992395005290</t>
  </si>
  <si>
    <t>333645684907636</t>
  </si>
  <si>
    <t>802912909614</t>
  </si>
  <si>
    <t>213689627206228</t>
  </si>
  <si>
    <t>505249025349</t>
  </si>
  <si>
    <t>810610258368312</t>
  </si>
  <si>
    <t>813505563009</t>
  </si>
  <si>
    <t>442846815368616</t>
  </si>
  <si>
    <t>368264844267</t>
  </si>
  <si>
    <t>704332800709382</t>
  </si>
  <si>
    <t>348206591186</t>
  </si>
  <si>
    <t>254376216818139</t>
  </si>
  <si>
    <t>597091345717</t>
  </si>
  <si>
    <t>479095563156110</t>
  </si>
  <si>
    <t>409259677682</t>
  </si>
  <si>
    <t>573010475089606</t>
  </si>
  <si>
    <t>282923014299</t>
  </si>
  <si>
    <t>317655061239830</t>
  </si>
  <si>
    <t>240057620982</t>
  </si>
  <si>
    <t>356618213357057</t>
  </si>
  <si>
    <t>265130461447</t>
  </si>
  <si>
    <t>814001075975021</t>
  </si>
  <si>
    <t>263797636497</t>
  </si>
  <si>
    <t>242040932012298</t>
  </si>
  <si>
    <t>654866212816</t>
  </si>
  <si>
    <t>101642493095184</t>
  </si>
  <si>
    <t>573377235144</t>
  </si>
  <si>
    <t>120371116930094</t>
  </si>
  <si>
    <t>202612761122</t>
  </si>
  <si>
    <t>451974754140330</t>
  </si>
  <si>
    <t>636058812113</t>
  </si>
  <si>
    <t>264095922881493</t>
  </si>
  <si>
    <t>801160786267</t>
  </si>
  <si>
    <t>461795233439562</t>
  </si>
  <si>
    <t>529454960583</t>
  </si>
  <si>
    <t>510729672681698</t>
  </si>
  <si>
    <t>127027737009</t>
  </si>
  <si>
    <t>500604624089499</t>
  </si>
  <si>
    <t>683467554484</t>
  </si>
  <si>
    <t>460768819042945</t>
  </si>
  <si>
    <t>607344120393</t>
  </si>
  <si>
    <t>233226110367071</t>
  </si>
  <si>
    <t>712165562409</t>
  </si>
  <si>
    <t>200320077340007</t>
  </si>
  <si>
    <t>244440880217</t>
  </si>
  <si>
    <t>573665743062615</t>
  </si>
  <si>
    <t>144553620083</t>
  </si>
  <si>
    <t>674117974297833</t>
  </si>
  <si>
    <t>975205666293</t>
  </si>
  <si>
    <t>787280592616257</t>
  </si>
  <si>
    <t>732674322388</t>
  </si>
  <si>
    <t>031427256939977</t>
  </si>
  <si>
    <t>233307740067</t>
  </si>
  <si>
    <t>897030361800600</t>
  </si>
  <si>
    <t>238650772162</t>
  </si>
  <si>
    <t>142730553732993</t>
  </si>
  <si>
    <t>Day 8  —  Daily Entry</t>
  </si>
  <si>
    <t>236499013476</t>
  </si>
  <si>
    <t>875293764467865</t>
  </si>
  <si>
    <t>298566110429</t>
  </si>
  <si>
    <t>352067488116968</t>
  </si>
  <si>
    <t>989877542023</t>
  </si>
  <si>
    <t>929689063416913</t>
  </si>
  <si>
    <t>993860953897</t>
  </si>
  <si>
    <t>370128611811180</t>
  </si>
  <si>
    <t>883779274646</t>
  </si>
  <si>
    <t>884103672205811</t>
  </si>
  <si>
    <t>361090760683</t>
  </si>
  <si>
    <t>478739675445182</t>
  </si>
  <si>
    <t>604270246673</t>
  </si>
  <si>
    <t>277759956973846</t>
  </si>
  <si>
    <t>861049554551</t>
  </si>
  <si>
    <t>434820956612158</t>
  </si>
  <si>
    <t>358513212135</t>
  </si>
  <si>
    <t>744881150561012</t>
  </si>
  <si>
    <t>580643770151</t>
  </si>
  <si>
    <t>724388218478198</t>
  </si>
  <si>
    <t>249003076717</t>
  </si>
  <si>
    <t>892541034831706</t>
  </si>
  <si>
    <t>753480411257</t>
  </si>
  <si>
    <t>820595891912681</t>
  </si>
  <si>
    <t>509816110943</t>
  </si>
  <si>
    <t>477434133499536</t>
  </si>
  <si>
    <t>177499692689</t>
  </si>
  <si>
    <t>958486448039069</t>
  </si>
  <si>
    <t>898415182380</t>
  </si>
  <si>
    <t>849206106421277</t>
  </si>
  <si>
    <t>326447606353</t>
  </si>
  <si>
    <t>112196460481761</t>
  </si>
  <si>
    <t>617042998737</t>
  </si>
  <si>
    <t>815590123430202</t>
  </si>
  <si>
    <t>777633121034</t>
  </si>
  <si>
    <t>806261671646577</t>
  </si>
  <si>
    <t>908219363455</t>
  </si>
  <si>
    <t>610461792479580</t>
  </si>
  <si>
    <t>114597455260</t>
  </si>
  <si>
    <t>938772078141614</t>
  </si>
  <si>
    <t>795955877225</t>
  </si>
  <si>
    <t>840500916713623</t>
  </si>
  <si>
    <t>378557969225</t>
  </si>
  <si>
    <t>187270469127214</t>
  </si>
  <si>
    <t>868337597644</t>
  </si>
  <si>
    <t>124403534613172</t>
  </si>
  <si>
    <t>690709608730</t>
  </si>
  <si>
    <t>478210117029327</t>
  </si>
  <si>
    <t>750098037078</t>
  </si>
  <si>
    <t>962815146707710</t>
  </si>
  <si>
    <t>241347835196</t>
  </si>
  <si>
    <t>419317701774718</t>
  </si>
  <si>
    <t>653388045621</t>
  </si>
  <si>
    <t>524119013812247</t>
  </si>
  <si>
    <t>102259158263</t>
  </si>
  <si>
    <t>644313994193223</t>
  </si>
  <si>
    <t>Day 9  —  Daily Entry</t>
  </si>
  <si>
    <t>113380419385</t>
  </si>
  <si>
    <t>274480668447004</t>
  </si>
  <si>
    <t>571474219589</t>
  </si>
  <si>
    <t>447354681106859</t>
  </si>
  <si>
    <t>993238489069</t>
  </si>
  <si>
    <t>617736287279345</t>
  </si>
  <si>
    <t>830854115571</t>
  </si>
  <si>
    <t>261573607159857</t>
  </si>
  <si>
    <t>770732212216</t>
  </si>
  <si>
    <t>547513052251632</t>
  </si>
  <si>
    <t>490367223966</t>
  </si>
  <si>
    <t>441823558424387</t>
  </si>
  <si>
    <t>658096865040</t>
  </si>
  <si>
    <t>084037133909943</t>
  </si>
  <si>
    <t>682409213586</t>
  </si>
  <si>
    <t>639134526706600</t>
  </si>
  <si>
    <t>357556537053</t>
  </si>
  <si>
    <t>078525354507999</t>
  </si>
  <si>
    <t>171275816924</t>
  </si>
  <si>
    <t>639510503596772</t>
  </si>
  <si>
    <t>389766428076</t>
  </si>
  <si>
    <t>356912371841777</t>
  </si>
  <si>
    <t>100290094792</t>
  </si>
  <si>
    <t>992181193730297</t>
  </si>
  <si>
    <t>996066125460</t>
  </si>
  <si>
    <t>363740973594084</t>
  </si>
  <si>
    <t>671281714545</t>
  </si>
  <si>
    <t>580750536288588</t>
  </si>
  <si>
    <t>547538070287</t>
  </si>
  <si>
    <t>530130781075816</t>
  </si>
  <si>
    <t>139836421600</t>
  </si>
  <si>
    <t>998491520870871</t>
  </si>
  <si>
    <t>126731365411</t>
  </si>
  <si>
    <t>979849234236247</t>
  </si>
  <si>
    <t>141987131601</t>
  </si>
  <si>
    <t>628321187829928</t>
  </si>
  <si>
    <t>964701968758</t>
  </si>
  <si>
    <t>580002238090261</t>
  </si>
  <si>
    <t>655601917812</t>
  </si>
  <si>
    <t>362453227237249</t>
  </si>
  <si>
    <t>394329858749</t>
  </si>
  <si>
    <t>547195669291749</t>
  </si>
  <si>
    <t>133020091032</t>
  </si>
  <si>
    <t>510383919909276</t>
  </si>
  <si>
    <t>740616818344</t>
  </si>
  <si>
    <t>654922787913665</t>
  </si>
  <si>
    <t>157468260986</t>
  </si>
  <si>
    <t>191028391249213</t>
  </si>
  <si>
    <t>680995139479</t>
  </si>
  <si>
    <t>952404186081074</t>
  </si>
  <si>
    <t>956200603144</t>
  </si>
  <si>
    <t>996411174968374</t>
  </si>
  <si>
    <t>359888628849</t>
  </si>
  <si>
    <t>581739108147791</t>
  </si>
  <si>
    <t>Day 10  —  Daily Entry</t>
  </si>
  <si>
    <t>312892296355</t>
  </si>
  <si>
    <t>241806436971461</t>
  </si>
  <si>
    <t>667382100807</t>
  </si>
  <si>
    <t>278796217443939</t>
  </si>
  <si>
    <t>804099112542</t>
  </si>
  <si>
    <t>046688770753402</t>
  </si>
  <si>
    <t>469365845236</t>
  </si>
  <si>
    <t>592340481639450</t>
  </si>
  <si>
    <t>644936753330</t>
  </si>
  <si>
    <t>388888536416744</t>
  </si>
  <si>
    <t>118054393813</t>
  </si>
  <si>
    <t>166239338003593</t>
  </si>
  <si>
    <t>894703390567</t>
  </si>
  <si>
    <t>447859640291465</t>
  </si>
  <si>
    <t>123892970015</t>
  </si>
  <si>
    <t>690913776489061</t>
  </si>
  <si>
    <t>882154210712</t>
  </si>
  <si>
    <t>792688816538136</t>
  </si>
  <si>
    <t>704126733887</t>
  </si>
  <si>
    <t>112692530759364</t>
  </si>
  <si>
    <t>763257638182</t>
  </si>
  <si>
    <t>636725503387172</t>
  </si>
  <si>
    <t>504822074851</t>
  </si>
  <si>
    <t>440464506799174</t>
  </si>
  <si>
    <t>204067976848</t>
  </si>
  <si>
    <t>881636926238126</t>
  </si>
  <si>
    <t>815498396984</t>
  </si>
  <si>
    <t>308514452039884</t>
  </si>
  <si>
    <t>777323713937</t>
  </si>
  <si>
    <t>267432733554370</t>
  </si>
  <si>
    <t>209057614244</t>
  </si>
  <si>
    <t>182817670680199</t>
  </si>
  <si>
    <t>177885755975</t>
  </si>
  <si>
    <t>892106691474313</t>
  </si>
  <si>
    <t>663188090281</t>
  </si>
  <si>
    <t>225898424253707</t>
  </si>
  <si>
    <t>470663215107</t>
  </si>
  <si>
    <t>512889075808509</t>
  </si>
  <si>
    <t>736533525966</t>
  </si>
  <si>
    <t>092209169299750</t>
  </si>
  <si>
    <t>828880801460</t>
  </si>
  <si>
    <t>149643981675519</t>
  </si>
  <si>
    <t>591346062740</t>
  </si>
  <si>
    <t>723187393289895</t>
  </si>
  <si>
    <t>777548070556</t>
  </si>
  <si>
    <t>820560351508596</t>
  </si>
  <si>
    <t>486821183539</t>
  </si>
  <si>
    <t>280294455633744</t>
  </si>
  <si>
    <t>345139688347</t>
  </si>
  <si>
    <t>722963278824761</t>
  </si>
  <si>
    <t>739097061602</t>
  </si>
  <si>
    <t>543946370498812</t>
  </si>
  <si>
    <t>Day 11  —  Daily Entry</t>
  </si>
  <si>
    <t>345446499752</t>
  </si>
  <si>
    <t>841550212867436</t>
  </si>
  <si>
    <t>884361563622</t>
  </si>
  <si>
    <t>691858880600524</t>
  </si>
  <si>
    <t>506406015467</t>
  </si>
  <si>
    <t>328464596874897</t>
  </si>
  <si>
    <t>197803490028</t>
  </si>
  <si>
    <t>933847013607726</t>
  </si>
  <si>
    <t>667519406859</t>
  </si>
  <si>
    <t>773989900573720</t>
  </si>
  <si>
    <t>722916718876</t>
  </si>
  <si>
    <t>454248617042548</t>
  </si>
  <si>
    <t>335214886918</t>
  </si>
  <si>
    <t>398279086760420</t>
  </si>
  <si>
    <t>353429344882</t>
  </si>
  <si>
    <t>861982342075474</t>
  </si>
  <si>
    <t>905880432088</t>
  </si>
  <si>
    <t>403933704007680</t>
  </si>
  <si>
    <t>588901954207</t>
  </si>
  <si>
    <t>965832207719247</t>
  </si>
  <si>
    <t>669815339649</t>
  </si>
  <si>
    <t>190135323109820</t>
  </si>
  <si>
    <t>240986479925</t>
  </si>
  <si>
    <t>000504991966766</t>
  </si>
  <si>
    <t>131806433522</t>
  </si>
  <si>
    <t>072963285367295</t>
  </si>
  <si>
    <t>805993947925</t>
  </si>
  <si>
    <t>575356961129774</t>
  </si>
  <si>
    <t>144949700922</t>
  </si>
  <si>
    <t>022546579905622</t>
  </si>
  <si>
    <t>242406640474</t>
  </si>
  <si>
    <t>776056555292157</t>
  </si>
  <si>
    <t>241403160493</t>
  </si>
  <si>
    <t>246159215470805</t>
  </si>
  <si>
    <t>276402079742</t>
  </si>
  <si>
    <t>524158943381077</t>
  </si>
  <si>
    <t>599017573233</t>
  </si>
  <si>
    <t>425529228050173</t>
  </si>
  <si>
    <t>720210958595</t>
  </si>
  <si>
    <t>602632377255769</t>
  </si>
  <si>
    <t>105453333721</t>
  </si>
  <si>
    <t>538877763249814</t>
  </si>
  <si>
    <t>470925379568</t>
  </si>
  <si>
    <t>569493262754383</t>
  </si>
  <si>
    <t>812401310253</t>
  </si>
  <si>
    <t>660380964077534</t>
  </si>
  <si>
    <t>300093367876</t>
  </si>
  <si>
    <t>709879052420015</t>
  </si>
  <si>
    <t>153137931766</t>
  </si>
  <si>
    <t>661672879571708</t>
  </si>
  <si>
    <t>844847110557</t>
  </si>
  <si>
    <t>450990118036678</t>
  </si>
  <si>
    <t>717857620576</t>
  </si>
  <si>
    <t>155770537892031</t>
  </si>
  <si>
    <t>Day 12  —  Daily Entry</t>
  </si>
  <si>
    <t>250241260297</t>
  </si>
  <si>
    <t>911703847336847</t>
  </si>
  <si>
    <t>901812797018</t>
  </si>
  <si>
    <t>808943868413117</t>
  </si>
  <si>
    <t>543961488947</t>
  </si>
  <si>
    <t>902269253174748</t>
  </si>
  <si>
    <t>168505800945</t>
  </si>
  <si>
    <t>450414721325828</t>
  </si>
  <si>
    <t>712244091463</t>
  </si>
  <si>
    <t>820054438627488</t>
  </si>
  <si>
    <t>390083752891</t>
  </si>
  <si>
    <t>403981264532168</t>
  </si>
  <si>
    <t>241675573067</t>
  </si>
  <si>
    <t>093844159197229</t>
  </si>
  <si>
    <t>515708644118</t>
  </si>
  <si>
    <t>193906373835910</t>
  </si>
  <si>
    <t>506901763785</t>
  </si>
  <si>
    <t>649899133762690</t>
  </si>
  <si>
    <t>470162659883</t>
  </si>
  <si>
    <t>269064215184867</t>
  </si>
  <si>
    <t>610330085621</t>
  </si>
  <si>
    <t>583105452976822</t>
  </si>
  <si>
    <t>962011803272</t>
  </si>
  <si>
    <t>661450595289512</t>
  </si>
  <si>
    <t>965366351180</t>
  </si>
  <si>
    <t>610081973858132</t>
  </si>
  <si>
    <t>653468922855</t>
  </si>
  <si>
    <t>882719497595567</t>
  </si>
  <si>
    <t>934117762732</t>
  </si>
  <si>
    <t>827786427094031</t>
  </si>
  <si>
    <t>633113990648</t>
  </si>
  <si>
    <t>348583444580676</t>
  </si>
  <si>
    <t>193066679557</t>
  </si>
  <si>
    <t>438417102705469</t>
  </si>
  <si>
    <t>560001494295</t>
  </si>
  <si>
    <t>079415173623184</t>
  </si>
  <si>
    <t>355766668788</t>
  </si>
  <si>
    <t>745809740274225</t>
  </si>
  <si>
    <t>902280185396</t>
  </si>
  <si>
    <t>019396388770535</t>
  </si>
  <si>
    <t>301908286472</t>
  </si>
  <si>
    <t>351575875187419</t>
  </si>
  <si>
    <t>368576506828</t>
  </si>
  <si>
    <t>895014698998945</t>
  </si>
  <si>
    <t>275421558119</t>
  </si>
  <si>
    <t>743422507275757</t>
  </si>
  <si>
    <t>200292772432</t>
  </si>
  <si>
    <t>099266875624828</t>
  </si>
  <si>
    <t>Day 13  —  Daily Entry</t>
  </si>
  <si>
    <t>631884423210</t>
  </si>
  <si>
    <t>744109184541443</t>
  </si>
  <si>
    <t>511349309985</t>
  </si>
  <si>
    <t>356427559358883</t>
  </si>
  <si>
    <t>332115677414</t>
  </si>
  <si>
    <t>575032201882708</t>
  </si>
  <si>
    <t>824987139397</t>
  </si>
  <si>
    <t>909752850534685</t>
  </si>
  <si>
    <t>923840899831</t>
  </si>
  <si>
    <t>710801145021957</t>
  </si>
  <si>
    <t>559635395036</t>
  </si>
  <si>
    <t>473055595530822</t>
  </si>
  <si>
    <t>248453503386</t>
  </si>
  <si>
    <t>592148617650559</t>
  </si>
  <si>
    <t>946811993702</t>
  </si>
  <si>
    <t>563759830998980</t>
  </si>
  <si>
    <t>496202397938</t>
  </si>
  <si>
    <t>217299383026957</t>
  </si>
  <si>
    <t>366980747375</t>
  </si>
  <si>
    <t>939284071925309</t>
  </si>
  <si>
    <t>903383061640</t>
  </si>
  <si>
    <t>703669489643594</t>
  </si>
  <si>
    <t>965274812400</t>
  </si>
  <si>
    <t>002384899849837</t>
  </si>
  <si>
    <t>270839397995</t>
  </si>
  <si>
    <t>202358181349571</t>
  </si>
  <si>
    <t>637655083799</t>
  </si>
  <si>
    <t>868316715030983</t>
  </si>
  <si>
    <t>901908290161</t>
  </si>
  <si>
    <t>364088947218993</t>
  </si>
  <si>
    <t>682293807270</t>
  </si>
  <si>
    <t>350531079970374</t>
  </si>
  <si>
    <t>532864186394</t>
  </si>
  <si>
    <t>322643868987645</t>
  </si>
  <si>
    <t>722991029323</t>
  </si>
  <si>
    <t>484140561731694</t>
  </si>
  <si>
    <t>165995777777</t>
  </si>
  <si>
    <t>899387352919632</t>
  </si>
  <si>
    <t>794668016151</t>
  </si>
  <si>
    <t>529630981578493</t>
  </si>
  <si>
    <t>395412914469</t>
  </si>
  <si>
    <t>626359224382326</t>
  </si>
  <si>
    <t>708807498148</t>
  </si>
  <si>
    <t>836918865184993</t>
  </si>
  <si>
    <t>455089578558</t>
  </si>
  <si>
    <t>014895079421917</t>
  </si>
  <si>
    <t>776716072281</t>
  </si>
  <si>
    <t>993031178537972</t>
  </si>
  <si>
    <t>672154067385</t>
  </si>
  <si>
    <t>557891035762330</t>
  </si>
  <si>
    <t>173084091570</t>
  </si>
  <si>
    <t>982068086026168</t>
  </si>
  <si>
    <t>647669641843</t>
  </si>
  <si>
    <t>506688340188885</t>
  </si>
  <si>
    <t>588680935800</t>
  </si>
  <si>
    <t>838048736268744</t>
  </si>
  <si>
    <t>537254341694</t>
  </si>
  <si>
    <t>853882482442149</t>
  </si>
  <si>
    <t>664004213440</t>
  </si>
  <si>
    <t>795628251397509</t>
  </si>
  <si>
    <t>886918702522</t>
  </si>
  <si>
    <t>471414601052240</t>
  </si>
  <si>
    <t>746554627308</t>
  </si>
  <si>
    <t>727863329357382</t>
  </si>
  <si>
    <t>Day 14  —  Daily Entry</t>
  </si>
  <si>
    <t>403410234116</t>
  </si>
  <si>
    <t>042201180934529</t>
  </si>
  <si>
    <t>253072840797</t>
  </si>
  <si>
    <t>195229628205600</t>
  </si>
  <si>
    <t>389519194973</t>
  </si>
  <si>
    <t>426196488277140</t>
  </si>
  <si>
    <t>905133508631</t>
  </si>
  <si>
    <t>433721461707417</t>
  </si>
  <si>
    <t>196349272968</t>
  </si>
  <si>
    <t>786547780380883</t>
  </si>
  <si>
    <t>384502844792</t>
  </si>
  <si>
    <t>796852132965101</t>
  </si>
  <si>
    <t>528239746321</t>
  </si>
  <si>
    <t>395498359696972</t>
  </si>
  <si>
    <t>694082014632</t>
  </si>
  <si>
    <t>077816627324302</t>
  </si>
  <si>
    <t>877167876586</t>
  </si>
  <si>
    <t>794270020216044</t>
  </si>
  <si>
    <t>668012897938</t>
  </si>
  <si>
    <t>333430756578556</t>
  </si>
  <si>
    <t>104342779724</t>
  </si>
  <si>
    <t>919863704019308</t>
  </si>
  <si>
    <t>996482549923</t>
  </si>
  <si>
    <t>938306973597349</t>
  </si>
  <si>
    <t>441772482645</t>
  </si>
  <si>
    <t>545072221731907</t>
  </si>
  <si>
    <t>184106303727</t>
  </si>
  <si>
    <t>980833049037586</t>
  </si>
  <si>
    <t>607647164339</t>
  </si>
  <si>
    <t>199286972010183</t>
  </si>
  <si>
    <t>291605781491</t>
  </si>
  <si>
    <t>173461747738515</t>
  </si>
  <si>
    <t>618986460759</t>
  </si>
  <si>
    <t>890176432133873</t>
  </si>
  <si>
    <t>999136770505</t>
  </si>
  <si>
    <t>927729670711371</t>
  </si>
  <si>
    <t>440703455172</t>
  </si>
  <si>
    <t>507422223905590</t>
  </si>
  <si>
    <t>462295768223</t>
  </si>
  <si>
    <t>122502988737457</t>
  </si>
  <si>
    <t>326048008537</t>
  </si>
  <si>
    <t>323677708822586</t>
  </si>
  <si>
    <t>306453145630</t>
  </si>
  <si>
    <t>320586326216131</t>
  </si>
  <si>
    <t>721439636490</t>
  </si>
  <si>
    <t>395571417142086</t>
  </si>
  <si>
    <t>Day 15  —  Daily Entry</t>
  </si>
  <si>
    <t>447823108559</t>
  </si>
  <si>
    <t>209354222910621</t>
  </si>
  <si>
    <t>739385252691</t>
  </si>
  <si>
    <t>758487338034210</t>
  </si>
  <si>
    <t>484054894843</t>
  </si>
  <si>
    <t>270603028877310</t>
  </si>
  <si>
    <t>497392989937</t>
  </si>
  <si>
    <t>981209174812201</t>
  </si>
  <si>
    <t>726176178654</t>
  </si>
  <si>
    <t>698935259817067</t>
  </si>
  <si>
    <t>358129949376</t>
  </si>
  <si>
    <t>002648716106751</t>
  </si>
  <si>
    <t>662985217515</t>
  </si>
  <si>
    <t>184946343239448</t>
  </si>
  <si>
    <t>281103815686</t>
  </si>
  <si>
    <t>846704852624147</t>
  </si>
  <si>
    <t>993284312342</t>
  </si>
  <si>
    <t>187016670077519</t>
  </si>
  <si>
    <t>263213159986</t>
  </si>
  <si>
    <t>450049449561420</t>
  </si>
  <si>
    <t>651729810538</t>
  </si>
  <si>
    <t>060246875070858</t>
  </si>
  <si>
    <t>297081954869</t>
  </si>
  <si>
    <t>053244784902986</t>
  </si>
  <si>
    <t>522837221747</t>
  </si>
  <si>
    <t>872910545778432</t>
  </si>
  <si>
    <t>407787849096</t>
  </si>
  <si>
    <t>507050017465456</t>
  </si>
  <si>
    <t>559024235122</t>
  </si>
  <si>
    <t>799081483933272</t>
  </si>
  <si>
    <t>408973039811</t>
  </si>
  <si>
    <t>689863390541394</t>
  </si>
  <si>
    <t>269438258244</t>
  </si>
  <si>
    <t>941641907181200</t>
  </si>
  <si>
    <t>298870143803</t>
  </si>
  <si>
    <t>967371458609800</t>
  </si>
  <si>
    <t>539686165440</t>
  </si>
  <si>
    <t>510229900948139</t>
  </si>
  <si>
    <t>668274235286</t>
  </si>
  <si>
    <t>686644238179687</t>
  </si>
  <si>
    <t>Day 16  —  Daily Entry</t>
  </si>
  <si>
    <t>401349539799</t>
  </si>
  <si>
    <t>663222823433259</t>
  </si>
  <si>
    <t>139691964592</t>
  </si>
  <si>
    <t>534272678953443</t>
  </si>
  <si>
    <t>706007313938</t>
  </si>
  <si>
    <t>633892200197970</t>
  </si>
  <si>
    <t>581313801247</t>
  </si>
  <si>
    <t>089228631981383</t>
  </si>
  <si>
    <t>412342280490</t>
  </si>
  <si>
    <t>516139482637993</t>
  </si>
  <si>
    <t>150822584909</t>
  </si>
  <si>
    <t>615077714256632</t>
  </si>
  <si>
    <t>496322655937</t>
  </si>
  <si>
    <t>018333883640738</t>
  </si>
  <si>
    <t>532347183547</t>
  </si>
  <si>
    <t>969410365752931</t>
  </si>
  <si>
    <t>818267423271</t>
  </si>
  <si>
    <t>144557902749780</t>
  </si>
  <si>
    <t>964514702126</t>
  </si>
  <si>
    <t>696625881513188</t>
  </si>
  <si>
    <t>278136803545</t>
  </si>
  <si>
    <t>537325501513005</t>
  </si>
  <si>
    <t>636352621821</t>
  </si>
  <si>
    <t>503552566860896</t>
  </si>
  <si>
    <t>884652447359</t>
  </si>
  <si>
    <t>948114464068326</t>
  </si>
  <si>
    <t>303966285659</t>
  </si>
  <si>
    <t>197981948757746</t>
  </si>
  <si>
    <t>230629169880</t>
  </si>
  <si>
    <t>066230428502225</t>
  </si>
  <si>
    <t>529497523686</t>
  </si>
  <si>
    <t>204979892654234</t>
  </si>
  <si>
    <t>288672889043</t>
  </si>
  <si>
    <t>162306364217240</t>
  </si>
  <si>
    <t>564811934148</t>
  </si>
  <si>
    <t>731115997408995</t>
  </si>
  <si>
    <t>960753040830</t>
  </si>
  <si>
    <t>804064932031227</t>
  </si>
  <si>
    <t>887698514631</t>
  </si>
  <si>
    <t>143239772557450</t>
  </si>
  <si>
    <t>316095270222</t>
  </si>
  <si>
    <t>591102750854150</t>
  </si>
  <si>
    <t>656717616725</t>
  </si>
  <si>
    <t>269463735429432</t>
  </si>
  <si>
    <t>646418000677</t>
  </si>
  <si>
    <t>304343606828334</t>
  </si>
  <si>
    <t>111020769552</t>
  </si>
  <si>
    <t>987921354474643</t>
  </si>
  <si>
    <t>962727556662</t>
  </si>
  <si>
    <t>644117602319784</t>
  </si>
  <si>
    <t>828367631694</t>
  </si>
  <si>
    <t>511837326683913</t>
  </si>
  <si>
    <t>Day 17  —  Daily Entry</t>
  </si>
  <si>
    <t>750296228675</t>
  </si>
  <si>
    <t>691459876121479</t>
  </si>
  <si>
    <t>311706858040</t>
  </si>
  <si>
    <t>432078570991893</t>
  </si>
  <si>
    <t>994743507633</t>
  </si>
  <si>
    <t>377507379406557</t>
  </si>
  <si>
    <t>985483035079</t>
  </si>
  <si>
    <t>512015816121455</t>
  </si>
  <si>
    <t>963146908509</t>
  </si>
  <si>
    <t>973619115029782</t>
  </si>
  <si>
    <t>452328434660</t>
  </si>
  <si>
    <t>099521781228531</t>
  </si>
  <si>
    <t>201916698483</t>
  </si>
  <si>
    <t>533207858413315</t>
  </si>
  <si>
    <t>995174369381</t>
  </si>
  <si>
    <t>178796168634519</t>
  </si>
  <si>
    <t>203690052180</t>
  </si>
  <si>
    <t>172657948135108</t>
  </si>
  <si>
    <t>760752087211</t>
  </si>
  <si>
    <t>167510976835045</t>
  </si>
  <si>
    <t>755906119509</t>
  </si>
  <si>
    <t>023038824230384</t>
  </si>
  <si>
    <t>367233946069</t>
  </si>
  <si>
    <t>641927644179584</t>
  </si>
  <si>
    <t>928429656646</t>
  </si>
  <si>
    <t>929948384964463</t>
  </si>
  <si>
    <t>866008415790</t>
  </si>
  <si>
    <t>672068493279717</t>
  </si>
  <si>
    <t>207272086321</t>
  </si>
  <si>
    <t>693966486290180</t>
  </si>
  <si>
    <t>845634392967</t>
  </si>
  <si>
    <t>715672103902499</t>
  </si>
  <si>
    <t>591995484368</t>
  </si>
  <si>
    <t>857305518764617</t>
  </si>
  <si>
    <t>690394773443</t>
  </si>
  <si>
    <t>934510524633548</t>
  </si>
  <si>
    <t>873333273411</t>
  </si>
  <si>
    <t>126062311395105</t>
  </si>
  <si>
    <t>804876659634</t>
  </si>
  <si>
    <t>695812807987078</t>
  </si>
  <si>
    <t>167625446605</t>
  </si>
  <si>
    <t>450552064944060</t>
  </si>
  <si>
    <t>716680561831</t>
  </si>
  <si>
    <t>428238418702085</t>
  </si>
  <si>
    <t>746082145611</t>
  </si>
  <si>
    <t>906595908981011</t>
  </si>
  <si>
    <t>432223619424</t>
  </si>
  <si>
    <t>782361337832130</t>
  </si>
  <si>
    <t>688853861016</t>
  </si>
  <si>
    <t>303600507046295</t>
  </si>
  <si>
    <t>Day 18  —  Daily Entry</t>
  </si>
  <si>
    <t>180917254508</t>
  </si>
  <si>
    <t>680359155209081</t>
  </si>
  <si>
    <t>995582474320</t>
  </si>
  <si>
    <t>978785345085119</t>
  </si>
  <si>
    <t>377091288654</t>
  </si>
  <si>
    <t>005405031322178</t>
  </si>
  <si>
    <t>700518360696</t>
  </si>
  <si>
    <t>142173968321809</t>
  </si>
  <si>
    <t>620926946342</t>
  </si>
  <si>
    <t>199885658980895</t>
  </si>
  <si>
    <t>719877536290</t>
  </si>
  <si>
    <t>746686086774269</t>
  </si>
  <si>
    <t>916200914080</t>
  </si>
  <si>
    <t>410048632176431</t>
  </si>
  <si>
    <t>994934495074</t>
  </si>
  <si>
    <t>894055411594038</t>
  </si>
  <si>
    <t>399955398052</t>
  </si>
  <si>
    <t>302666090548993</t>
  </si>
  <si>
    <t>616669080215</t>
  </si>
  <si>
    <t>023470332156084</t>
  </si>
  <si>
    <t>596589728937</t>
  </si>
  <si>
    <t>358624705396613</t>
  </si>
  <si>
    <t>143757902762</t>
  </si>
  <si>
    <t>744983963360455</t>
  </si>
  <si>
    <t>831410462019</t>
  </si>
  <si>
    <t>129216402880626</t>
  </si>
  <si>
    <t>623995101510</t>
  </si>
  <si>
    <t>210645126014895</t>
  </si>
  <si>
    <t>598977851756</t>
  </si>
  <si>
    <t>413372940734797</t>
  </si>
  <si>
    <t>141069837180</t>
  </si>
  <si>
    <t>921309556584897</t>
  </si>
  <si>
    <t>194445574153</t>
  </si>
  <si>
    <t>826677450428353</t>
  </si>
  <si>
    <t>217862984284</t>
  </si>
  <si>
    <t>180025854952175</t>
  </si>
  <si>
    <t>907063579187</t>
  </si>
  <si>
    <t>556907394612049</t>
  </si>
  <si>
    <t>836759356267</t>
  </si>
  <si>
    <t>958541114680021</t>
  </si>
  <si>
    <t>Day 19  —  Daily Entry</t>
  </si>
  <si>
    <t>442483848176</t>
  </si>
  <si>
    <t>450353381016403</t>
  </si>
  <si>
    <t>727851320460</t>
  </si>
  <si>
    <t>999131666405749</t>
  </si>
  <si>
    <t>693541823729</t>
  </si>
  <si>
    <t>712623727546409</t>
  </si>
  <si>
    <t>971886716367</t>
  </si>
  <si>
    <t>717982274711793</t>
  </si>
  <si>
    <t>431112008607</t>
  </si>
  <si>
    <t>423613909118716</t>
  </si>
  <si>
    <t>235736502678</t>
  </si>
  <si>
    <t>907007806863180</t>
  </si>
  <si>
    <t>839282957988</t>
  </si>
  <si>
    <t>200667713785330</t>
  </si>
  <si>
    <t>794100095903</t>
  </si>
  <si>
    <t>153833938402651</t>
  </si>
  <si>
    <t>439874691829</t>
  </si>
  <si>
    <t>035990810074706</t>
  </si>
  <si>
    <t>215952393636</t>
  </si>
  <si>
    <t>932292153473038</t>
  </si>
  <si>
    <t>565865601578</t>
  </si>
  <si>
    <t>373072272566323</t>
  </si>
  <si>
    <t>255482374138</t>
  </si>
  <si>
    <t>082487305826397</t>
  </si>
  <si>
    <t>767163438532</t>
  </si>
  <si>
    <t>134976197036912</t>
  </si>
  <si>
    <t>500307701791</t>
  </si>
  <si>
    <t>991664174035426</t>
  </si>
  <si>
    <t>619962099872</t>
  </si>
  <si>
    <t>680452644461374</t>
  </si>
  <si>
    <t>207591427786</t>
  </si>
  <si>
    <t>343479951009719</t>
  </si>
  <si>
    <t>514416465790</t>
  </si>
  <si>
    <t>899991852322707</t>
  </si>
  <si>
    <t>694613352281</t>
  </si>
  <si>
    <t>015751899965043</t>
  </si>
  <si>
    <t>803293602827</t>
  </si>
  <si>
    <t>174882646506244</t>
  </si>
  <si>
    <t>814556165262</t>
  </si>
  <si>
    <t>140694072844569</t>
  </si>
  <si>
    <t>368668477373</t>
  </si>
  <si>
    <t>056137041648750</t>
  </si>
  <si>
    <t>Day 20  —  Daily Entry</t>
  </si>
  <si>
    <t>446419145494</t>
  </si>
  <si>
    <t>620601453648974</t>
  </si>
  <si>
    <t>148080228267</t>
  </si>
  <si>
    <t>986638698153530</t>
  </si>
  <si>
    <t>965724532365</t>
  </si>
  <si>
    <t>926453401547599</t>
  </si>
  <si>
    <t>905391111082</t>
  </si>
  <si>
    <t>462734777269313</t>
  </si>
  <si>
    <t>598259619066</t>
  </si>
  <si>
    <t>067509239823477</t>
  </si>
  <si>
    <t>804192080351</t>
  </si>
  <si>
    <t>866691184182592</t>
  </si>
  <si>
    <t>622249555221</t>
  </si>
  <si>
    <t>095748834787860</t>
  </si>
  <si>
    <t>667549492072</t>
  </si>
  <si>
    <t>987701730879993</t>
  </si>
  <si>
    <t>287575759591</t>
  </si>
  <si>
    <t>308948118569396</t>
  </si>
  <si>
    <t>571275465920</t>
  </si>
  <si>
    <t>362635183777747</t>
  </si>
  <si>
    <t>354866958471</t>
  </si>
  <si>
    <t>393786657670841</t>
  </si>
  <si>
    <t>959601761870</t>
  </si>
  <si>
    <t>358467106307924</t>
  </si>
  <si>
    <t>548455738198</t>
  </si>
  <si>
    <t>558837866709424</t>
  </si>
  <si>
    <t>359785548972</t>
  </si>
  <si>
    <t>433095356753863</t>
  </si>
  <si>
    <t>873893006119</t>
  </si>
  <si>
    <t>482310120285730</t>
  </si>
  <si>
    <t>496110978953</t>
  </si>
  <si>
    <t>861664639155609</t>
  </si>
  <si>
    <t>244549456707</t>
  </si>
  <si>
    <t>195199921122734</t>
  </si>
  <si>
    <t>426992794193</t>
  </si>
  <si>
    <t>562877380283315</t>
  </si>
  <si>
    <t>458812849055</t>
  </si>
  <si>
    <t>113664120043590</t>
  </si>
  <si>
    <t>535129460958</t>
  </si>
  <si>
    <t>434797738619166</t>
  </si>
  <si>
    <t>175977513845</t>
  </si>
  <si>
    <t>123955300331404</t>
  </si>
  <si>
    <t>274968224322</t>
  </si>
  <si>
    <t>453794994615461</t>
  </si>
  <si>
    <t>897086405025</t>
  </si>
  <si>
    <t>789006998998548</t>
  </si>
  <si>
    <t>253464961275</t>
  </si>
  <si>
    <t>663408289648978</t>
  </si>
  <si>
    <t>Day 21  —  Daily Entry</t>
  </si>
  <si>
    <t>617067984733</t>
  </si>
  <si>
    <t>189350511677606</t>
  </si>
  <si>
    <t>158360417392</t>
  </si>
  <si>
    <t>276007404208232</t>
  </si>
  <si>
    <t>758914416899</t>
  </si>
  <si>
    <t>823870064566097</t>
  </si>
  <si>
    <t>256105562745</t>
  </si>
  <si>
    <t>278706922094667</t>
  </si>
  <si>
    <t>906200766789</t>
  </si>
  <si>
    <t>322094276729572</t>
  </si>
  <si>
    <t>654131411532</t>
  </si>
  <si>
    <t>839392546080328</t>
  </si>
  <si>
    <t>588476350624</t>
  </si>
  <si>
    <t>808746310129329</t>
  </si>
  <si>
    <t>838945105879</t>
  </si>
  <si>
    <t>747697608394793</t>
  </si>
  <si>
    <t>680122843207</t>
  </si>
  <si>
    <t>172014495716891</t>
  </si>
  <si>
    <t>582480689957</t>
  </si>
  <si>
    <t>346684990414844</t>
  </si>
  <si>
    <t>849088716384</t>
  </si>
  <si>
    <t>744447747073286</t>
  </si>
  <si>
    <t>916891727606</t>
  </si>
  <si>
    <t>521627088890368</t>
  </si>
  <si>
    <t>923509045045</t>
  </si>
  <si>
    <t>780964294682197</t>
  </si>
  <si>
    <t>544208142597</t>
  </si>
  <si>
    <t>028078255817826</t>
  </si>
  <si>
    <t>190579821175</t>
  </si>
  <si>
    <t>338452636882444</t>
  </si>
  <si>
    <t>520275706192</t>
  </si>
  <si>
    <t>836396843818954</t>
  </si>
  <si>
    <t>941067317030</t>
  </si>
  <si>
    <t>951786179314657</t>
  </si>
  <si>
    <t>510351346752</t>
  </si>
  <si>
    <t>229421795985146</t>
  </si>
  <si>
    <t>757184866960</t>
  </si>
  <si>
    <t>370021554806850</t>
  </si>
  <si>
    <t>824465170648</t>
  </si>
  <si>
    <t>256802998719365</t>
  </si>
  <si>
    <t>500317593713</t>
  </si>
  <si>
    <t>003943526752259</t>
  </si>
  <si>
    <t>545462777632</t>
  </si>
  <si>
    <t>196181606860785</t>
  </si>
  <si>
    <t>481179992305</t>
  </si>
  <si>
    <t>164274767156580</t>
  </si>
  <si>
    <t>948560780677</t>
  </si>
  <si>
    <t>592483309464755</t>
  </si>
  <si>
    <t>835973190637</t>
  </si>
  <si>
    <t>054529320539460</t>
  </si>
  <si>
    <t>943074547344</t>
  </si>
  <si>
    <t>157918034763899</t>
  </si>
  <si>
    <t>722681593592</t>
  </si>
  <si>
    <t>993912072060253</t>
  </si>
  <si>
    <t>742224250059</t>
  </si>
  <si>
    <t>057752038645487</t>
  </si>
  <si>
    <t>177151578908</t>
  </si>
  <si>
    <t>965423230808008</t>
  </si>
  <si>
    <t>635598536959</t>
  </si>
  <si>
    <t>821202869926829</t>
  </si>
  <si>
    <t>619763030880</t>
  </si>
  <si>
    <t>862056822242806</t>
  </si>
  <si>
    <t>480638416638</t>
  </si>
  <si>
    <t>133423845417545</t>
  </si>
  <si>
    <t>151149235718</t>
  </si>
  <si>
    <t>474265221461510</t>
  </si>
  <si>
    <t>182556014160</t>
  </si>
  <si>
    <t>133955362530606</t>
  </si>
  <si>
    <t>Day 22  —  Daily Entry</t>
  </si>
  <si>
    <t>702437314265</t>
  </si>
  <si>
    <t>723905705852869</t>
  </si>
  <si>
    <t>850679628185</t>
  </si>
  <si>
    <t>413241936091188</t>
  </si>
  <si>
    <t>569911984399</t>
  </si>
  <si>
    <t>985185737497613</t>
  </si>
  <si>
    <t>914249894974</t>
  </si>
  <si>
    <t>497928399584709</t>
  </si>
  <si>
    <t>374624525642</t>
  </si>
  <si>
    <t>929197366105026</t>
  </si>
  <si>
    <t>609472252667</t>
  </si>
  <si>
    <t>516042624432894</t>
  </si>
  <si>
    <t>212369644642</t>
  </si>
  <si>
    <t>242517934193582</t>
  </si>
  <si>
    <t>422895160625</t>
  </si>
  <si>
    <t>569801733738173</t>
  </si>
  <si>
    <t>862387981561</t>
  </si>
  <si>
    <t>953276070520558</t>
  </si>
  <si>
    <t>215425412696</t>
  </si>
  <si>
    <t>832158885807955</t>
  </si>
  <si>
    <t>379237128195</t>
  </si>
  <si>
    <t>164293560251303</t>
  </si>
  <si>
    <t>259648528440</t>
  </si>
  <si>
    <t>034717274378629</t>
  </si>
  <si>
    <t>375527985742</t>
  </si>
  <si>
    <t>371259753433555</t>
  </si>
  <si>
    <t>467723241228</t>
  </si>
  <si>
    <t>621817994960310</t>
  </si>
  <si>
    <t>431577113655</t>
  </si>
  <si>
    <t>099958293632194</t>
  </si>
  <si>
    <t>691290078332</t>
  </si>
  <si>
    <t>251675940875759</t>
  </si>
  <si>
    <t>103358371732</t>
  </si>
  <si>
    <t>953918636262881</t>
  </si>
  <si>
    <t>800713721130</t>
  </si>
  <si>
    <t>091396647557817</t>
  </si>
  <si>
    <t>400904869734</t>
  </si>
  <si>
    <t>989121557090451</t>
  </si>
  <si>
    <t>566483920684</t>
  </si>
  <si>
    <t>200113361130931</t>
  </si>
  <si>
    <t>474563582760</t>
  </si>
  <si>
    <t>915812420686615</t>
  </si>
  <si>
    <t>300580071661</t>
  </si>
  <si>
    <t>770091975753888</t>
  </si>
  <si>
    <t>683608529681</t>
  </si>
  <si>
    <t>550196913741932</t>
  </si>
  <si>
    <t>981617213579</t>
  </si>
  <si>
    <t>930320061048360</t>
  </si>
  <si>
    <t>421715343697</t>
  </si>
  <si>
    <t>373640948092546</t>
  </si>
  <si>
    <t>207249487589</t>
  </si>
  <si>
    <t>170868415060473</t>
  </si>
  <si>
    <t>855176317528</t>
  </si>
  <si>
    <t>674410589106341</t>
  </si>
  <si>
    <t>793831171664</t>
  </si>
  <si>
    <t>402347015877247</t>
  </si>
  <si>
    <t>970612597017</t>
  </si>
  <si>
    <t>440785875655844</t>
  </si>
  <si>
    <t>892363456505</t>
  </si>
  <si>
    <t>078675280622567</t>
  </si>
  <si>
    <t>Day 23  —  Daily Entry</t>
  </si>
  <si>
    <t>962932078578</t>
  </si>
  <si>
    <t>649857386570130</t>
  </si>
  <si>
    <t>556152819687</t>
  </si>
  <si>
    <t>591543656584902</t>
  </si>
  <si>
    <t>290127114027</t>
  </si>
  <si>
    <t>371805356878732</t>
  </si>
  <si>
    <t>662698344015</t>
  </si>
  <si>
    <t>238408825537472</t>
  </si>
  <si>
    <t>960417426759</t>
  </si>
  <si>
    <t>063654492814212</t>
  </si>
  <si>
    <t>208136920803</t>
  </si>
  <si>
    <t>073737276135841</t>
  </si>
  <si>
    <t>528840240503</t>
  </si>
  <si>
    <t>971033455803645</t>
  </si>
  <si>
    <t>946661882463</t>
  </si>
  <si>
    <t>407229869950541</t>
  </si>
  <si>
    <t>641769679810</t>
  </si>
  <si>
    <t>238199334480491</t>
  </si>
  <si>
    <t>677366512366</t>
  </si>
  <si>
    <t>907001642511897</t>
  </si>
  <si>
    <t>524781693772</t>
  </si>
  <si>
    <t>739852210516301</t>
  </si>
  <si>
    <t>167157625409</t>
  </si>
  <si>
    <t>757236486989187</t>
  </si>
  <si>
    <t>263257737552</t>
  </si>
  <si>
    <t>382095876641404</t>
  </si>
  <si>
    <t>680058964235</t>
  </si>
  <si>
    <t>190615342231624</t>
  </si>
  <si>
    <t>982425208232</t>
  </si>
  <si>
    <t>894712493211397</t>
  </si>
  <si>
    <t>323191199216</t>
  </si>
  <si>
    <t>320879360603007</t>
  </si>
  <si>
    <t>755009694109</t>
  </si>
  <si>
    <t>969385942103264</t>
  </si>
  <si>
    <t>210168989739</t>
  </si>
  <si>
    <t>197175072438409</t>
  </si>
  <si>
    <t>842884372419</t>
  </si>
  <si>
    <t>309924686835616</t>
  </si>
  <si>
    <t>640511734504</t>
  </si>
  <si>
    <t>371595509656736</t>
  </si>
  <si>
    <t>408590115124</t>
  </si>
  <si>
    <t>988992578199929</t>
  </si>
  <si>
    <t>496384057302</t>
  </si>
  <si>
    <t>288888857498275</t>
  </si>
  <si>
    <t>772422728383</t>
  </si>
  <si>
    <t>020187712390076</t>
  </si>
  <si>
    <t>260498894879</t>
  </si>
  <si>
    <t>004364454031789</t>
  </si>
  <si>
    <t>Day 24  —  Daily Entry</t>
  </si>
  <si>
    <t>520763754379</t>
  </si>
  <si>
    <t>332925771579472</t>
  </si>
  <si>
    <t>672777855620</t>
  </si>
  <si>
    <t>931859527695840</t>
  </si>
  <si>
    <t>625864423289</t>
  </si>
  <si>
    <t>317488641196282</t>
  </si>
  <si>
    <t>712401549774</t>
  </si>
  <si>
    <t>129939857289209</t>
  </si>
  <si>
    <t>676248315281</t>
  </si>
  <si>
    <t>644967701842543</t>
  </si>
  <si>
    <t>641963254470</t>
  </si>
  <si>
    <t>678127023921562</t>
  </si>
  <si>
    <t>616391720200</t>
  </si>
  <si>
    <t>499985665625121</t>
  </si>
  <si>
    <t>254587500869</t>
  </si>
  <si>
    <t>405292179560350</t>
  </si>
  <si>
    <t>869122689777</t>
  </si>
  <si>
    <t>594990656973604</t>
  </si>
  <si>
    <t>364233701316</t>
  </si>
  <si>
    <t>007765491372884</t>
  </si>
  <si>
    <t>925948155231</t>
  </si>
  <si>
    <t>524537933873553</t>
  </si>
  <si>
    <t>797827355716</t>
  </si>
  <si>
    <t>481235836209108</t>
  </si>
  <si>
    <t>852096425645</t>
  </si>
  <si>
    <t>420386398799007</t>
  </si>
  <si>
    <t>683116063698</t>
  </si>
  <si>
    <t>087410437355609</t>
  </si>
  <si>
    <t>687304350947</t>
  </si>
  <si>
    <t>791765711588530</t>
  </si>
  <si>
    <t>873357752753</t>
  </si>
  <si>
    <t>480656135039916</t>
  </si>
  <si>
    <t>299518956154</t>
  </si>
  <si>
    <t>583153890181817</t>
  </si>
  <si>
    <t>275846430179</t>
  </si>
  <si>
    <t>348041351608534</t>
  </si>
  <si>
    <t>Day 25  —  Daily Entry</t>
  </si>
  <si>
    <t>536197096678</t>
  </si>
  <si>
    <t>673162977512359</t>
  </si>
  <si>
    <t>777730060765</t>
  </si>
  <si>
    <t>486344063044372</t>
  </si>
  <si>
    <t>807739893931</t>
  </si>
  <si>
    <t>178410093609829</t>
  </si>
  <si>
    <t>147889450315</t>
  </si>
  <si>
    <t>409874709049755</t>
  </si>
  <si>
    <t>452045232408</t>
  </si>
  <si>
    <t>428654379053105</t>
  </si>
  <si>
    <t>964508576483</t>
  </si>
  <si>
    <t>979595868113927</t>
  </si>
  <si>
    <t>383896810599</t>
  </si>
  <si>
    <t>822194183361403</t>
  </si>
  <si>
    <t>254479850663</t>
  </si>
  <si>
    <t>278426765321029</t>
  </si>
  <si>
    <t>358752526224</t>
  </si>
  <si>
    <t>136635741875051</t>
  </si>
  <si>
    <t>318635799022</t>
  </si>
  <si>
    <t>816907536450180</t>
  </si>
  <si>
    <t>290320717108</t>
  </si>
  <si>
    <t>024103077421750</t>
  </si>
  <si>
    <t>173040833385</t>
  </si>
  <si>
    <t>923788840402694</t>
  </si>
  <si>
    <t>532558327490</t>
  </si>
  <si>
    <t>034645272184132</t>
  </si>
  <si>
    <t>718717311291</t>
  </si>
  <si>
    <t>249688146944893</t>
  </si>
  <si>
    <t>347375724994</t>
  </si>
  <si>
    <t>377304754768369</t>
  </si>
  <si>
    <t>265867180988</t>
  </si>
  <si>
    <t>250433733359869</t>
  </si>
  <si>
    <t>900936818290</t>
  </si>
  <si>
    <t>875120932222504</t>
  </si>
  <si>
    <t>772428797240</t>
  </si>
  <si>
    <t>751884024529820</t>
  </si>
  <si>
    <t>687766173542</t>
  </si>
  <si>
    <t>311643801182759</t>
  </si>
  <si>
    <t>553287379493</t>
  </si>
  <si>
    <t>130344597111148</t>
  </si>
  <si>
    <t>501852402369</t>
  </si>
  <si>
    <t>071883321176432</t>
  </si>
  <si>
    <t>827883750986</t>
  </si>
  <si>
    <t>832521774020801</t>
  </si>
  <si>
    <t>580576737678</t>
  </si>
  <si>
    <t>239045057021269</t>
  </si>
  <si>
    <t>576269643031</t>
  </si>
  <si>
    <t>053754262478545</t>
  </si>
  <si>
    <t>771591196232</t>
  </si>
  <si>
    <t>581047736678316</t>
  </si>
  <si>
    <t>270535594663</t>
  </si>
  <si>
    <t>215129684047517</t>
  </si>
  <si>
    <t>149488823416</t>
  </si>
  <si>
    <t>173325737571027</t>
  </si>
  <si>
    <t>458260453545</t>
  </si>
  <si>
    <t>589780203256423</t>
  </si>
  <si>
    <t>430894021709</t>
  </si>
  <si>
    <t>309950025778473</t>
  </si>
  <si>
    <t>941478227897</t>
  </si>
  <si>
    <t>062313592881251</t>
  </si>
  <si>
    <t>Day 26  —  Daily Entry</t>
  </si>
  <si>
    <t>415269617950</t>
  </si>
  <si>
    <t>417508440237544</t>
  </si>
  <si>
    <t>485090353044</t>
  </si>
  <si>
    <t>262135243217894</t>
  </si>
  <si>
    <t>393613445937</t>
  </si>
  <si>
    <t>670595851028062</t>
  </si>
  <si>
    <t>990217384716</t>
  </si>
  <si>
    <t>102511595667137</t>
  </si>
  <si>
    <t>228606898144</t>
  </si>
  <si>
    <t>914578941257229</t>
  </si>
  <si>
    <t>561752165998</t>
  </si>
  <si>
    <t>732918726321109</t>
  </si>
  <si>
    <t>507066781367</t>
  </si>
  <si>
    <t>443145065734686</t>
  </si>
  <si>
    <t>183646452759</t>
  </si>
  <si>
    <t>324091691095584</t>
  </si>
  <si>
    <t>901304699077</t>
  </si>
  <si>
    <t>615513994529808</t>
  </si>
  <si>
    <t>237309292041</t>
  </si>
  <si>
    <t>315453766541251</t>
  </si>
  <si>
    <t>344025633856</t>
  </si>
  <si>
    <t>765093271246816</t>
  </si>
  <si>
    <t>373629284885</t>
  </si>
  <si>
    <t>567361114722701</t>
  </si>
  <si>
    <t>646845961857</t>
  </si>
  <si>
    <t>029156288469398</t>
  </si>
  <si>
    <t>294994182405</t>
  </si>
  <si>
    <t>624154168716820</t>
  </si>
  <si>
    <t>772204763156</t>
  </si>
  <si>
    <t>918024250454216</t>
  </si>
  <si>
    <t>826043051283</t>
  </si>
  <si>
    <t>448174762689395</t>
  </si>
  <si>
    <t>968263700260</t>
  </si>
  <si>
    <t>135119152191632</t>
  </si>
  <si>
    <t>794839734620</t>
  </si>
  <si>
    <t>780670547961845</t>
  </si>
  <si>
    <t>254219214641</t>
  </si>
  <si>
    <t>042832488211830</t>
  </si>
  <si>
    <t>Day 27  —  Daily Entry</t>
  </si>
  <si>
    <t>351710514080</t>
  </si>
  <si>
    <t>451837340949910</t>
  </si>
  <si>
    <t>149126486129</t>
  </si>
  <si>
    <t>336823079657848</t>
  </si>
  <si>
    <t>818609405653</t>
  </si>
  <si>
    <t>040215421636127</t>
  </si>
  <si>
    <t>254370900419</t>
  </si>
  <si>
    <t>486059889670555</t>
  </si>
  <si>
    <t>752385546857</t>
  </si>
  <si>
    <t>991878713739652</t>
  </si>
  <si>
    <t>506026860284</t>
  </si>
  <si>
    <t>954277128378376</t>
  </si>
  <si>
    <t>126098166761</t>
  </si>
  <si>
    <t>331082387844041</t>
  </si>
  <si>
    <t>724283555946</t>
  </si>
  <si>
    <t>765502119349944</t>
  </si>
  <si>
    <t>313989934047</t>
  </si>
  <si>
    <t>325192741229989</t>
  </si>
  <si>
    <t>265912840868</t>
  </si>
  <si>
    <t>501180461927107</t>
  </si>
  <si>
    <t>733426869331</t>
  </si>
  <si>
    <t>530856933439234</t>
  </si>
  <si>
    <t>168524903289</t>
  </si>
  <si>
    <t>135079683265008</t>
  </si>
  <si>
    <t>967111507824</t>
  </si>
  <si>
    <t>473473079328393</t>
  </si>
  <si>
    <t>857908955490</t>
  </si>
  <si>
    <t>753117356779407</t>
  </si>
  <si>
    <t>237224499608</t>
  </si>
  <si>
    <t>754569615383946</t>
  </si>
  <si>
    <t>497811470549</t>
  </si>
  <si>
    <t>729705297751439</t>
  </si>
  <si>
    <t>125814310903</t>
  </si>
  <si>
    <t>024563801458204</t>
  </si>
  <si>
    <t>596518595115</t>
  </si>
  <si>
    <t>578364741239469</t>
  </si>
  <si>
    <t>149305303494</t>
  </si>
  <si>
    <t>471357010959204</t>
  </si>
  <si>
    <t>929550008042</t>
  </si>
  <si>
    <t>937938735366023</t>
  </si>
  <si>
    <t>405933219823</t>
  </si>
  <si>
    <t>086699724879327</t>
  </si>
  <si>
    <t>578268603294</t>
  </si>
  <si>
    <t>799416820377765</t>
  </si>
  <si>
    <t>382946601329</t>
  </si>
  <si>
    <t>719720735493229</t>
  </si>
  <si>
    <t>145262726510</t>
  </si>
  <si>
    <t>759986894288006</t>
  </si>
  <si>
    <t>842743958217</t>
  </si>
  <si>
    <t>083231884044813</t>
  </si>
  <si>
    <t>962105933941</t>
  </si>
  <si>
    <t>428743093462417</t>
  </si>
  <si>
    <t>996816988200</t>
  </si>
  <si>
    <t>819696046710299</t>
  </si>
  <si>
    <t>495462830032</t>
  </si>
  <si>
    <t>783936290146795</t>
  </si>
  <si>
    <t>375894616421</t>
  </si>
  <si>
    <t>867571469398262</t>
  </si>
  <si>
    <t>888653326621</t>
  </si>
  <si>
    <t>978827737150146</t>
  </si>
  <si>
    <t>817592523850</t>
  </si>
  <si>
    <t>986868631771128</t>
  </si>
  <si>
    <t>Day 28  —  Daily Entry</t>
  </si>
  <si>
    <t>925371508786</t>
  </si>
  <si>
    <t>169865399703810</t>
  </si>
  <si>
    <t>384104504827</t>
  </si>
  <si>
    <t>129873320262874</t>
  </si>
  <si>
    <t>544486583253</t>
  </si>
  <si>
    <t>080637330469383</t>
  </si>
  <si>
    <t>700521468016</t>
  </si>
  <si>
    <t>020585131188911</t>
  </si>
  <si>
    <t>944475918118</t>
  </si>
  <si>
    <t>018258772571834</t>
  </si>
  <si>
    <t>677819813208</t>
  </si>
  <si>
    <t>784822943531267</t>
  </si>
  <si>
    <t>420040593206</t>
  </si>
  <si>
    <t>644325041174436</t>
  </si>
  <si>
    <t>176110089804</t>
  </si>
  <si>
    <t>887266167928492</t>
  </si>
  <si>
    <t>608256042361</t>
  </si>
  <si>
    <t>983421638933807</t>
  </si>
  <si>
    <t>683185273668</t>
  </si>
  <si>
    <t>826422767819231</t>
  </si>
  <si>
    <t>203479619980</t>
  </si>
  <si>
    <t>591495290531329</t>
  </si>
  <si>
    <t>249532866346</t>
  </si>
  <si>
    <t>831185281402024</t>
  </si>
  <si>
    <t>478623067196</t>
  </si>
  <si>
    <t>952091357203553</t>
  </si>
  <si>
    <t>173384992212</t>
  </si>
  <si>
    <t>661356419314757</t>
  </si>
  <si>
    <t>809419061311</t>
  </si>
  <si>
    <t>999133873042794</t>
  </si>
  <si>
    <t>534400849664</t>
  </si>
  <si>
    <t>399434191243986</t>
  </si>
  <si>
    <t>791034901283</t>
  </si>
  <si>
    <t>180778273945328</t>
  </si>
  <si>
    <t>759142432624</t>
  </si>
  <si>
    <t>893338177900385</t>
  </si>
  <si>
    <t>144863070957</t>
  </si>
  <si>
    <t>003041264004118</t>
  </si>
  <si>
    <t>601821547565</t>
  </si>
  <si>
    <t>872450774490784</t>
  </si>
  <si>
    <t>234468605303</t>
  </si>
  <si>
    <t>852764143143888</t>
  </si>
  <si>
    <t>974995203664</t>
  </si>
  <si>
    <t>669939959942627</t>
  </si>
  <si>
    <t>741432592429</t>
  </si>
  <si>
    <t>349817942312509</t>
  </si>
  <si>
    <t>758072133403</t>
  </si>
  <si>
    <t>934607963011577</t>
  </si>
  <si>
    <t>207147670200</t>
  </si>
  <si>
    <t>152484830693474</t>
  </si>
  <si>
    <t>509898827177</t>
  </si>
  <si>
    <t>452960425933594</t>
  </si>
  <si>
    <t>800837652033</t>
  </si>
  <si>
    <t>469995593333437</t>
  </si>
  <si>
    <t>979970807802</t>
  </si>
  <si>
    <t>237526018081722</t>
  </si>
  <si>
    <t>531403763481</t>
  </si>
  <si>
    <t>961281743895189</t>
  </si>
  <si>
    <t>400618359321</t>
  </si>
  <si>
    <t>834920160855248</t>
  </si>
  <si>
    <t>Day 29  —  Daily Entry</t>
  </si>
  <si>
    <t>628801167576</t>
  </si>
  <si>
    <t>305368034674652</t>
  </si>
  <si>
    <t>449558580266</t>
  </si>
  <si>
    <t>296563321910833</t>
  </si>
  <si>
    <t>685867023406</t>
  </si>
  <si>
    <t>088261173450364</t>
  </si>
  <si>
    <t>312242041034</t>
  </si>
  <si>
    <t>079328432751303</t>
  </si>
  <si>
    <t>220806666852</t>
  </si>
  <si>
    <t>232498331499928</t>
  </si>
  <si>
    <t>918059219142</t>
  </si>
  <si>
    <t>013807617174950</t>
  </si>
  <si>
    <t>614016826138</t>
  </si>
  <si>
    <t>483347690681082</t>
  </si>
  <si>
    <t>194780056589</t>
  </si>
  <si>
    <t>722508159272333</t>
  </si>
  <si>
    <t>189359214391</t>
  </si>
  <si>
    <t>684276597959447</t>
  </si>
  <si>
    <t>155594784345</t>
  </si>
  <si>
    <t>746225938333615</t>
  </si>
  <si>
    <t>813806727755</t>
  </si>
  <si>
    <t>633818157387997</t>
  </si>
  <si>
    <t>555787670748</t>
  </si>
  <si>
    <t>773228418834189</t>
  </si>
  <si>
    <t>608207744287</t>
  </si>
  <si>
    <t>448550830958012</t>
  </si>
  <si>
    <t>371861525404</t>
  </si>
  <si>
    <t>174381383466808</t>
  </si>
  <si>
    <t>124859920375</t>
  </si>
  <si>
    <t>326898872445074</t>
  </si>
  <si>
    <t>288463472294</t>
  </si>
  <si>
    <t>396569855151958</t>
  </si>
  <si>
    <t>944801160447</t>
  </si>
  <si>
    <t>881782835786981</t>
  </si>
  <si>
    <t>982141305864</t>
  </si>
  <si>
    <t>854463413638432</t>
  </si>
  <si>
    <t>359291038001</t>
  </si>
  <si>
    <t>529166656840597</t>
  </si>
  <si>
    <t>568955091766</t>
  </si>
  <si>
    <t>941832386159611</t>
  </si>
  <si>
    <t>887674240555</t>
  </si>
  <si>
    <t>534156332680092</t>
  </si>
  <si>
    <t>722776162499</t>
  </si>
  <si>
    <t>995840852390054</t>
  </si>
  <si>
    <t>559054389359</t>
  </si>
  <si>
    <t>849649632461287</t>
  </si>
  <si>
    <t>584223879778</t>
  </si>
  <si>
    <t>255844886192231</t>
  </si>
  <si>
    <t>140514575412</t>
  </si>
  <si>
    <t>783642574719711</t>
  </si>
  <si>
    <t>718814586472</t>
  </si>
  <si>
    <t>002230184069320</t>
  </si>
  <si>
    <t>666729459966</t>
  </si>
  <si>
    <t>489993359296865</t>
  </si>
  <si>
    <t>177974504285</t>
  </si>
  <si>
    <t>350596722915544</t>
  </si>
  <si>
    <t>891860099813</t>
  </si>
  <si>
    <t>976976125422388</t>
  </si>
  <si>
    <t>Day 30  —  Daily Entry</t>
  </si>
  <si>
    <t>937248858066</t>
  </si>
  <si>
    <t>920978644358508</t>
  </si>
  <si>
    <t>315442702626</t>
  </si>
  <si>
    <t>026506728127026</t>
  </si>
  <si>
    <t>363495849030</t>
  </si>
  <si>
    <t>177965193592571</t>
  </si>
  <si>
    <t>395055388786</t>
  </si>
  <si>
    <t>633218964788068</t>
  </si>
  <si>
    <t>662517505715</t>
  </si>
  <si>
    <t>620885404769614</t>
  </si>
  <si>
    <t>866879542634</t>
  </si>
  <si>
    <t>320012482852902</t>
  </si>
  <si>
    <t>200573468981</t>
  </si>
  <si>
    <t>684697190446385</t>
  </si>
  <si>
    <t>887888529782</t>
  </si>
  <si>
    <t>340309616901076</t>
  </si>
  <si>
    <t>647549018036</t>
  </si>
  <si>
    <t>320296174839352</t>
  </si>
  <si>
    <t>288995768563</t>
  </si>
  <si>
    <t>168320376210383</t>
  </si>
  <si>
    <t>149523000819</t>
  </si>
  <si>
    <t>570606821518822</t>
  </si>
  <si>
    <t>991836519738</t>
  </si>
  <si>
    <t>298125280761272</t>
  </si>
  <si>
    <t>215859261111</t>
  </si>
  <si>
    <t>141835389824104</t>
  </si>
  <si>
    <t>109606749162</t>
  </si>
  <si>
    <t>935897471706168</t>
  </si>
  <si>
    <t>641160540315</t>
  </si>
  <si>
    <t>954416794560860</t>
  </si>
  <si>
    <t>385392207211</t>
  </si>
  <si>
    <t>314237193265691</t>
  </si>
  <si>
    <t>766355989424</t>
  </si>
  <si>
    <t>742897471233284</t>
  </si>
  <si>
    <t>725854498289</t>
  </si>
  <si>
    <t>119045773234092</t>
  </si>
  <si>
    <t>539650054235</t>
  </si>
  <si>
    <t>448711208348704</t>
  </si>
  <si>
    <t>431478477598</t>
  </si>
  <si>
    <t>797996143227921</t>
  </si>
  <si>
    <t>678381177050</t>
  </si>
  <si>
    <t>672201768999728</t>
  </si>
  <si>
    <t>609700570968</t>
  </si>
  <si>
    <t>354651304700157</t>
  </si>
  <si>
    <t>840455539052</t>
  </si>
  <si>
    <t>467653424143665</t>
  </si>
  <si>
    <t>307127327795</t>
  </si>
  <si>
    <t>101955789094881</t>
  </si>
  <si>
    <t>340430196812</t>
  </si>
  <si>
    <t>625576181398622</t>
  </si>
  <si>
    <t>884963844667</t>
  </si>
  <si>
    <t>043688843344882</t>
  </si>
  <si>
    <t>949070050960</t>
  </si>
  <si>
    <t>414507087962046</t>
  </si>
  <si>
    <t>477500840265</t>
  </si>
  <si>
    <t>238584775777589</t>
  </si>
  <si>
    <t>193845404477</t>
  </si>
  <si>
    <t>784069361085089</t>
  </si>
  <si>
    <t>708508424292</t>
  </si>
  <si>
    <t>828169831891822</t>
  </si>
  <si>
    <t>197887116059</t>
  </si>
  <si>
    <t>592083682780074</t>
  </si>
  <si>
    <t>214051062895</t>
  </si>
  <si>
    <t>253234951790169</t>
  </si>
  <si>
    <t>Day 31  —  Daily Entry</t>
  </si>
  <si>
    <t>451202610757</t>
  </si>
  <si>
    <t>678835247413946</t>
  </si>
  <si>
    <t>985163925996</t>
  </si>
  <si>
    <t>118608247274404</t>
  </si>
  <si>
    <t>379456980042</t>
  </si>
  <si>
    <t>652259648680065</t>
  </si>
  <si>
    <t>584733235295</t>
  </si>
  <si>
    <t>400842668961776</t>
  </si>
  <si>
    <t>171683462746</t>
  </si>
  <si>
    <t>448432470106891</t>
  </si>
  <si>
    <t>377651278152</t>
  </si>
  <si>
    <t>912167308498350</t>
  </si>
  <si>
    <t>612276921659</t>
  </si>
  <si>
    <t>737617652522514</t>
  </si>
  <si>
    <t>751059206959</t>
  </si>
  <si>
    <t>480765065611043</t>
  </si>
  <si>
    <t>495292039910</t>
  </si>
  <si>
    <t>971026842116459</t>
  </si>
  <si>
    <t>574027519512</t>
  </si>
  <si>
    <t>628066248234693</t>
  </si>
  <si>
    <t>747997515280</t>
  </si>
  <si>
    <t>970346649474182</t>
  </si>
  <si>
    <t>524559314589</t>
  </si>
  <si>
    <t>102618908881280</t>
  </si>
  <si>
    <t>797155798713</t>
  </si>
  <si>
    <t>328478315486200</t>
  </si>
  <si>
    <t>263092644340</t>
  </si>
  <si>
    <t>673489793923259</t>
  </si>
  <si>
    <t>479867258616</t>
  </si>
  <si>
    <t>095404289852385</t>
  </si>
  <si>
    <t>796202241184</t>
  </si>
  <si>
    <t>923735190351319</t>
  </si>
  <si>
    <t>773247931338</t>
  </si>
  <si>
    <t>083236677712881</t>
  </si>
  <si>
    <t>642659845609</t>
  </si>
  <si>
    <t>237389877927513</t>
  </si>
  <si>
    <t>305844063381</t>
  </si>
  <si>
    <t>404488899900973</t>
  </si>
  <si>
    <t>768560218041</t>
  </si>
  <si>
    <t>092136985538089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</si>
</sst>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7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9"/>
      <name val="Calibri"/>
    </font>
    <font>
      <i/>
      <sz val="9"/>
      <color rgb="FF7A5300"/>
      <name val="Calibri"/>
    </font>
    <font>
      <i/>
      <sz val="8"/>
      <color rgb="FF999999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2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8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  <border>
      <left style="thin">
        <color rgb="FF2C3847"/>
      </left>
      <right style="thin">
        <color rgb="FF2C3847"/>
      </right>
      <top/>
      <bottom/>
      <diagonal/>
    </border>
    <border>
      <left/>
      <right style="thin">
        <color rgb="FF2C3847"/>
      </right>
      <top/>
      <bottom/>
      <diagonal/>
    </border>
    <border>
      <left style="thin">
        <color rgb="FF2C3847"/>
      </left>
      <right/>
      <top/>
      <bottom/>
      <diagonal/>
    </border>
    <border>
      <left style="thin">
        <color rgb="FF2C3847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7" borderId="0" xfId="0" applyFill="1"/>
    <xf numFmtId="0" fontId="0" fillId="3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4" fillId="9" borderId="5" xfId="0" applyFont="1" applyFill="1" applyBorder="1" applyAlignment="1">
      <alignment horizontal="right" vertical="center"/>
    </xf>
    <xf numFmtId="0" fontId="26" fillId="0" borderId="0" xfId="0" applyFont="1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7" fillId="0" borderId="0" xfId="0" applyFont="1"/>
    <xf numFmtId="3" fontId="20" fillId="9" borderId="7" xfId="0" applyNumberFormat="1" applyFont="1" applyFill="1" applyBorder="1" applyAlignment="1">
      <alignment horizontal="right" vertical="center"/>
    </xf>
    <xf numFmtId="0" fontId="0" fillId="0" borderId="7" xfId="0" applyBorder="1"/>
    <xf numFmtId="166" fontId="0" fillId="9" borderId="6" xfId="0" applyNumberFormat="1" applyFill="1" applyBorder="1"/>
    <xf numFmtId="0" fontId="0" fillId="0" borderId="0" xfId="0"/>
    <xf numFmtId="0" fontId="13" fillId="8" borderId="6" xfId="0" applyFont="1" applyFill="1" applyBorder="1" applyAlignment="1">
      <alignment horizontal="left" vertical="center"/>
    </xf>
    <xf numFmtId="3" fontId="16" fillId="8" borderId="7" xfId="0" applyNumberFormat="1" applyFont="1" applyFill="1" applyBorder="1" applyAlignment="1">
      <alignment horizontal="right" vertical="center"/>
    </xf>
    <xf numFmtId="0" fontId="23" fillId="9" borderId="8" xfId="0" applyFont="1" applyFill="1" applyBorder="1" applyAlignment="1">
      <alignment horizontal="left" vertical="center"/>
    </xf>
    <xf numFmtId="3" fontId="25" fillId="9" borderId="6" xfId="0" applyNumberFormat="1" applyFont="1" applyFill="1" applyBorder="1" applyAlignment="1">
      <alignment horizontal="left" vertical="center" indent="1"/>
    </xf>
    <xf numFmtId="0" fontId="0" fillId="0" borderId="9" xfId="0" applyBorder="1"/>
    <xf numFmtId="0" fontId="19" fillId="9" borderId="8" xfId="0" applyFont="1" applyFill="1" applyBorder="1" applyAlignment="1">
      <alignment horizontal="left" vertical="center" indent="1"/>
    </xf>
    <xf numFmtId="165" fontId="25" fillId="9" borderId="6" xfId="0" applyNumberFormat="1" applyFont="1" applyFill="1" applyBorder="1" applyAlignment="1">
      <alignment horizontal="left" vertical="center" indent="1"/>
    </xf>
    <xf numFmtId="0" fontId="10" fillId="7" borderId="0" xfId="0" applyFont="1" applyFill="1" applyAlignment="1">
      <alignment horizontal="left" vertical="center"/>
    </xf>
    <xf numFmtId="3" fontId="14" fillId="8" borderId="8" xfId="0" applyNumberFormat="1" applyFont="1" applyFill="1" applyBorder="1" applyAlignment="1">
      <alignment horizontal="left" vertical="center" indent="1"/>
    </xf>
    <xf numFmtId="0" fontId="11" fillId="7" borderId="0" xfId="0" applyFont="1" applyFill="1" applyAlignment="1">
      <alignment horizontal="left" vertical="center"/>
    </xf>
    <xf numFmtId="0" fontId="21" fillId="9" borderId="8" xfId="0" applyFont="1" applyFill="1" applyBorder="1" applyAlignment="1">
      <alignment horizontal="left" vertical="center" indent="1"/>
    </xf>
    <xf numFmtId="0" fontId="13" fillId="9" borderId="8" xfId="0" applyFont="1" applyFill="1" applyBorder="1" applyAlignment="1">
      <alignment horizontal="left" vertical="center"/>
    </xf>
    <xf numFmtId="0" fontId="12" fillId="3" borderId="0" xfId="0" applyFont="1" applyFill="1" applyAlignment="1">
      <alignment horizontal="center" vertical="center"/>
    </xf>
    <xf numFmtId="0" fontId="0" fillId="3" borderId="0" xfId="0" applyFill="1"/>
    <xf numFmtId="166" fontId="0" fillId="8" borderId="6" xfId="0" applyNumberFormat="1" applyFill="1" applyBorder="1"/>
    <xf numFmtId="0" fontId="13" fillId="9" borderId="6" xfId="0" applyFont="1" applyFill="1" applyBorder="1" applyAlignment="1">
      <alignment horizontal="left" vertical="center"/>
    </xf>
    <xf numFmtId="0" fontId="18" fillId="8" borderId="7" xfId="0" applyFont="1" applyFill="1" applyBorder="1" applyAlignment="1">
      <alignment horizontal="right" vertical="center"/>
    </xf>
    <xf numFmtId="3" fontId="22" fillId="9" borderId="7" xfId="0" applyNumberFormat="1" applyFont="1" applyFill="1" applyBorder="1" applyAlignment="1">
      <alignment horizontal="right" vertical="center"/>
    </xf>
    <xf numFmtId="0" fontId="15" fillId="8" borderId="7" xfId="0" applyFont="1" applyFill="1" applyBorder="1" applyAlignment="1">
      <alignment horizontal="right" vertical="center"/>
    </xf>
    <xf numFmtId="0" fontId="17" fillId="8" borderId="8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Dashboard!$T$2:$T$32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Dashboard!$U$2:$U$32</c:f>
              <c:numCache>
                <c:formatCode>General</c:formatCode>
                <c:ptCount val="31"/>
                <c:pt idx="0">
                  <c:v>14</c:v>
                </c:pt>
                <c:pt idx="1">
                  <c:v>35</c:v>
                </c:pt>
                <c:pt idx="2">
                  <c:v>61</c:v>
                </c:pt>
                <c:pt idx="3">
                  <c:v>83</c:v>
                </c:pt>
                <c:pt idx="4">
                  <c:v>110</c:v>
                </c:pt>
                <c:pt idx="5">
                  <c:v>131</c:v>
                </c:pt>
                <c:pt idx="6">
                  <c:v>159</c:v>
                </c:pt>
                <c:pt idx="7">
                  <c:v>182</c:v>
                </c:pt>
                <c:pt idx="8">
                  <c:v>205</c:v>
                </c:pt>
                <c:pt idx="9">
                  <c:v>226</c:v>
                </c:pt>
                <c:pt idx="10">
                  <c:v>250</c:v>
                </c:pt>
                <c:pt idx="11">
                  <c:v>269</c:v>
                </c:pt>
                <c:pt idx="12">
                  <c:v>296</c:v>
                </c:pt>
                <c:pt idx="13">
                  <c:v>315</c:v>
                </c:pt>
                <c:pt idx="14">
                  <c:v>333</c:v>
                </c:pt>
                <c:pt idx="15">
                  <c:v>354</c:v>
                </c:pt>
                <c:pt idx="16">
                  <c:v>372</c:v>
                </c:pt>
                <c:pt idx="17">
                  <c:v>389</c:v>
                </c:pt>
                <c:pt idx="18">
                  <c:v>405</c:v>
                </c:pt>
                <c:pt idx="19">
                  <c:v>426</c:v>
                </c:pt>
                <c:pt idx="20">
                  <c:v>454</c:v>
                </c:pt>
                <c:pt idx="21">
                  <c:v>480</c:v>
                </c:pt>
                <c:pt idx="22">
                  <c:v>498</c:v>
                </c:pt>
                <c:pt idx="23">
                  <c:v>512</c:v>
                </c:pt>
                <c:pt idx="24">
                  <c:v>534</c:v>
                </c:pt>
                <c:pt idx="25">
                  <c:v>551</c:v>
                </c:pt>
                <c:pt idx="26">
                  <c:v>578</c:v>
                </c:pt>
                <c:pt idx="27">
                  <c:v>601</c:v>
                </c:pt>
                <c:pt idx="28">
                  <c:v>623</c:v>
                </c:pt>
                <c:pt idx="29">
                  <c:v>651</c:v>
                </c:pt>
                <c:pt idx="30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4-4BC9-94DF-A8DBD5484080}"/>
            </c:ext>
          </c:extLst>
        </c:ser>
        <c:ser>
          <c:idx val="1"/>
          <c:order val="1"/>
          <c:tx>
            <c:strRef>
              <c:f>Dashboard!$V$1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Dashboard!$T$2:$T$32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Dashboard!$V$2:$V$32</c:f>
              <c:numCache>
                <c:formatCode>General</c:formatCode>
                <c:ptCount val="31"/>
                <c:pt idx="0">
                  <c:v>20.806451612903224</c:v>
                </c:pt>
                <c:pt idx="1">
                  <c:v>41.612903225806448</c:v>
                </c:pt>
                <c:pt idx="2">
                  <c:v>62.41935483870968</c:v>
                </c:pt>
                <c:pt idx="3">
                  <c:v>83.225806451612897</c:v>
                </c:pt>
                <c:pt idx="4">
                  <c:v>104.03225806451613</c:v>
                </c:pt>
                <c:pt idx="5">
                  <c:v>124.83870967741936</c:v>
                </c:pt>
                <c:pt idx="6">
                  <c:v>145.64516129032259</c:v>
                </c:pt>
                <c:pt idx="7">
                  <c:v>166.45161290322579</c:v>
                </c:pt>
                <c:pt idx="8">
                  <c:v>187.25806451612902</c:v>
                </c:pt>
                <c:pt idx="9">
                  <c:v>208.06451612903226</c:v>
                </c:pt>
                <c:pt idx="10">
                  <c:v>228.87096774193549</c:v>
                </c:pt>
                <c:pt idx="11">
                  <c:v>249.67741935483872</c:v>
                </c:pt>
                <c:pt idx="12">
                  <c:v>270.48387096774195</c:v>
                </c:pt>
                <c:pt idx="13">
                  <c:v>291.29032258064518</c:v>
                </c:pt>
                <c:pt idx="14">
                  <c:v>312.09677419354841</c:v>
                </c:pt>
                <c:pt idx="15">
                  <c:v>332.90322580645159</c:v>
                </c:pt>
                <c:pt idx="16">
                  <c:v>353.70967741935482</c:v>
                </c:pt>
                <c:pt idx="17">
                  <c:v>374.51612903225805</c:v>
                </c:pt>
                <c:pt idx="18">
                  <c:v>395.32258064516128</c:v>
                </c:pt>
                <c:pt idx="19">
                  <c:v>416.12903225806451</c:v>
                </c:pt>
                <c:pt idx="20">
                  <c:v>436.93548387096774</c:v>
                </c:pt>
                <c:pt idx="21">
                  <c:v>457.74193548387098</c:v>
                </c:pt>
                <c:pt idx="22">
                  <c:v>478.54838709677421</c:v>
                </c:pt>
                <c:pt idx="23">
                  <c:v>499.35483870967744</c:v>
                </c:pt>
                <c:pt idx="24">
                  <c:v>520.16129032258061</c:v>
                </c:pt>
                <c:pt idx="25">
                  <c:v>540.9677419354839</c:v>
                </c:pt>
                <c:pt idx="26">
                  <c:v>561.77419354838707</c:v>
                </c:pt>
                <c:pt idx="27">
                  <c:v>582.58064516129036</c:v>
                </c:pt>
                <c:pt idx="28">
                  <c:v>603.38709677419354</c:v>
                </c:pt>
                <c:pt idx="29">
                  <c:v>624.19354838709683</c:v>
                </c:pt>
                <c:pt idx="30">
                  <c:v>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04-4BC9-94DF-A8DBD5484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29</xdr:row>
      <xdr:rowOff>0</xdr:rowOff>
    </xdr:from>
    <xdr:ext cx="8856000" cy="2736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120"/>
  <sheetViews>
    <sheetView showGridLines="0" tabSelected="1" workbookViewId="0"/>
  </sheetViews>
  <sheetFormatPr defaultRowHeight="15" outlineLevelCol="1" x14ac:dyDescent="0.25"/>
  <cols>
    <col min="1" max="1" width="2.140625" customWidth="1"/>
    <col min="2" max="4" width="11" customWidth="1"/>
    <col min="5" max="5" width="1.5703125" customWidth="1"/>
    <col min="6" max="8" width="11" customWidth="1"/>
    <col min="9" max="9" width="1.5703125" customWidth="1"/>
    <col min="10" max="12" width="11" customWidth="1"/>
    <col min="13" max="13" width="1.5703125" customWidth="1"/>
    <col min="14" max="16" width="11" customWidth="1"/>
    <col min="17" max="17" width="2.140625" customWidth="1"/>
    <col min="18" max="22" width="13" hidden="1" customWidth="1"/>
    <col min="23" max="104" width="13" hidden="1" customWidth="1" outlineLevel="1"/>
    <col min="105" max="105" width="9.140625" collapsed="1"/>
  </cols>
  <sheetData>
    <row r="1" spans="1:22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T1" t="s">
        <v>0</v>
      </c>
      <c r="U1" t="s">
        <v>1</v>
      </c>
      <c r="V1" t="s">
        <v>2</v>
      </c>
    </row>
    <row r="2" spans="1:22" ht="27.95" customHeight="1" x14ac:dyDescent="0.25">
      <c r="A2" s="1"/>
      <c r="B2" s="42" t="s">
        <v>3</v>
      </c>
      <c r="C2" s="34"/>
      <c r="D2" s="34"/>
      <c r="E2" s="34"/>
      <c r="F2" s="34"/>
      <c r="G2" s="34"/>
      <c r="H2" s="34"/>
      <c r="I2" s="34"/>
      <c r="J2" s="1"/>
      <c r="K2" s="1"/>
      <c r="L2" s="1"/>
      <c r="M2" s="47" t="s">
        <v>4</v>
      </c>
      <c r="N2" s="48"/>
      <c r="O2" s="48"/>
      <c r="P2" s="48"/>
      <c r="Q2" s="1"/>
      <c r="T2">
        <v>1</v>
      </c>
      <c r="U2">
        <f>SUM('1'!Q16)+SUM('1'!R16)</f>
        <v>14</v>
      </c>
      <c r="V2">
        <f>('Store Total'!$C$4+'Store Total'!$C$5)*1/31</f>
        <v>20.806451612903224</v>
      </c>
    </row>
    <row r="3" spans="1:22" ht="15" customHeight="1" x14ac:dyDescent="0.25">
      <c r="A3" s="1"/>
      <c r="B3" s="44" t="s">
        <v>5</v>
      </c>
      <c r="C3" s="34"/>
      <c r="D3" s="34"/>
      <c r="E3" s="34"/>
      <c r="F3" s="34"/>
      <c r="G3" s="34"/>
      <c r="H3" s="34"/>
      <c r="I3" s="34"/>
      <c r="J3" s="34"/>
      <c r="K3" s="34"/>
      <c r="L3" s="1"/>
      <c r="M3" s="1"/>
      <c r="N3" s="1"/>
      <c r="O3" s="1"/>
      <c r="P3" s="1"/>
      <c r="Q3" s="1"/>
      <c r="T3">
        <v>2</v>
      </c>
      <c r="U3">
        <f>SUM('1:2'!Q16)+SUM('1:2'!R16)</f>
        <v>35</v>
      </c>
      <c r="V3">
        <f>('Store Total'!$C$4+'Store Total'!$C$5)*2/31</f>
        <v>41.612903225806448</v>
      </c>
    </row>
    <row r="4" spans="1:22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T4">
        <v>3</v>
      </c>
      <c r="U4">
        <f>SUM('1:3'!Q16)+SUM('1:3'!R16)</f>
        <v>61</v>
      </c>
      <c r="V4">
        <f>('Store Total'!$C$4+'Store Total'!$C$5)*3/31</f>
        <v>62.41935483870968</v>
      </c>
    </row>
    <row r="5" spans="1:22" ht="15" customHeight="1" x14ac:dyDescent="0.25">
      <c r="A5" s="1"/>
      <c r="B5" s="3"/>
      <c r="C5" s="4"/>
      <c r="D5" s="4"/>
      <c r="E5" s="4"/>
      <c r="F5" s="4"/>
      <c r="G5" s="4"/>
      <c r="H5" s="5"/>
      <c r="I5" s="1"/>
      <c r="J5" s="6"/>
      <c r="K5" s="7"/>
      <c r="L5" s="7"/>
      <c r="M5" s="7"/>
      <c r="N5" s="7"/>
      <c r="O5" s="7"/>
      <c r="P5" s="8"/>
      <c r="Q5" s="1"/>
      <c r="T5">
        <v>4</v>
      </c>
      <c r="U5">
        <f>SUM('1:4'!Q16)+SUM('1:4'!R16)</f>
        <v>83</v>
      </c>
      <c r="V5">
        <f>('Store Total'!$C$4+'Store Total'!$C$5)*4/31</f>
        <v>83.225806451612897</v>
      </c>
    </row>
    <row r="6" spans="1:22" ht="15" customHeight="1" x14ac:dyDescent="0.25">
      <c r="A6" s="1"/>
      <c r="B6" s="35" t="s">
        <v>6</v>
      </c>
      <c r="C6" s="34"/>
      <c r="D6" s="34"/>
      <c r="E6" s="34"/>
      <c r="F6" s="34"/>
      <c r="G6" s="34"/>
      <c r="H6" s="32"/>
      <c r="I6" s="1"/>
      <c r="J6" s="50" t="s">
        <v>7</v>
      </c>
      <c r="K6" s="34"/>
      <c r="L6" s="34"/>
      <c r="M6" s="34"/>
      <c r="N6" s="34"/>
      <c r="O6" s="34"/>
      <c r="P6" s="32"/>
      <c r="Q6" s="1"/>
      <c r="T6">
        <v>5</v>
      </c>
      <c r="U6">
        <f>SUM('1:5'!Q16)+SUM('1:5'!R16)</f>
        <v>110</v>
      </c>
      <c r="V6">
        <f>('Store Total'!$C$4+'Store Total'!$C$5)*5/31</f>
        <v>104.03225806451613</v>
      </c>
    </row>
    <row r="7" spans="1:22" ht="15" customHeight="1" x14ac:dyDescent="0.25">
      <c r="A7" s="1"/>
      <c r="B7" s="43">
        <f>'Store Total'!B4+'Store Total'!B5</f>
        <v>668</v>
      </c>
      <c r="C7" s="34"/>
      <c r="D7" s="34"/>
      <c r="E7" s="34"/>
      <c r="F7" s="53" t="s">
        <v>8</v>
      </c>
      <c r="G7" s="34"/>
      <c r="H7" s="32"/>
      <c r="I7" s="1"/>
      <c r="J7" s="40" t="str">
        <f>'Team Leaderboard'!$B$4</f>
        <v>Expert 01</v>
      </c>
      <c r="K7" s="34"/>
      <c r="L7" s="34"/>
      <c r="M7" s="34"/>
      <c r="N7" s="34"/>
      <c r="O7" s="31">
        <f>'Team Leaderboard'!$E$4</f>
        <v>67</v>
      </c>
      <c r="P7" s="32"/>
      <c r="Q7" s="1"/>
      <c r="T7">
        <v>6</v>
      </c>
      <c r="U7">
        <f>SUM('1:6'!Q16)+SUM('1:6'!R16)</f>
        <v>131</v>
      </c>
      <c r="V7">
        <f>('Store Total'!$C$4+'Store Total'!$C$5)*6/31</f>
        <v>124.83870967741936</v>
      </c>
    </row>
    <row r="8" spans="1:22" ht="15" customHeight="1" x14ac:dyDescent="0.25">
      <c r="A8" s="1"/>
      <c r="B8" s="39"/>
      <c r="C8" s="34"/>
      <c r="D8" s="34"/>
      <c r="E8" s="34"/>
      <c r="F8" s="36">
        <f>'Store Total'!C4+'Store Total'!C5</f>
        <v>645</v>
      </c>
      <c r="G8" s="34"/>
      <c r="H8" s="32"/>
      <c r="I8" s="1"/>
      <c r="J8" s="40" t="str">
        <f>'Team Leaderboard'!$B$5</f>
        <v>Expert 07</v>
      </c>
      <c r="K8" s="34"/>
      <c r="L8" s="34"/>
      <c r="M8" s="34"/>
      <c r="N8" s="34"/>
      <c r="O8" s="31">
        <f>'Team Leaderboard'!$E$5</f>
        <v>63</v>
      </c>
      <c r="P8" s="32"/>
      <c r="Q8" s="1"/>
      <c r="T8">
        <v>7</v>
      </c>
      <c r="U8">
        <f>SUM('1:7'!Q16)+SUM('1:7'!R16)</f>
        <v>159</v>
      </c>
      <c r="V8">
        <f>('Store Total'!$C$4+'Store Total'!$C$5)*7/31</f>
        <v>145.64516129032259</v>
      </c>
    </row>
    <row r="9" spans="1:22" ht="15" customHeight="1" x14ac:dyDescent="0.25">
      <c r="A9" s="1"/>
      <c r="B9" s="39"/>
      <c r="C9" s="34"/>
      <c r="D9" s="34"/>
      <c r="E9" s="34"/>
      <c r="F9" s="9"/>
      <c r="G9" s="9"/>
      <c r="H9" s="5"/>
      <c r="I9" s="1"/>
      <c r="J9" s="40" t="str">
        <f>'Team Leaderboard'!$B$6</f>
        <v>Expert 08</v>
      </c>
      <c r="K9" s="34"/>
      <c r="L9" s="34"/>
      <c r="M9" s="34"/>
      <c r="N9" s="34"/>
      <c r="O9" s="31">
        <f>'Team Leaderboard'!$E$6</f>
        <v>62</v>
      </c>
      <c r="P9" s="32"/>
      <c r="Q9" s="1"/>
      <c r="T9">
        <v>8</v>
      </c>
      <c r="U9">
        <f>SUM('1:8'!Q16)+SUM('1:8'!R16)</f>
        <v>182</v>
      </c>
      <c r="V9">
        <f>('Store Total'!$C$4+'Store Total'!$C$5)*8/31</f>
        <v>166.45161290322579</v>
      </c>
    </row>
    <row r="10" spans="1:22" ht="15" customHeight="1" x14ac:dyDescent="0.25">
      <c r="A10" s="1"/>
      <c r="B10" s="54" t="str">
        <f>IFERROR(TEXT(('Store Total'!B4+'Store Total'!B5)/('Store Total'!C4+'Store Total'!C5),"0%")&amp;" of goal","goal not set")</f>
        <v>104% of goal</v>
      </c>
      <c r="C10" s="34"/>
      <c r="D10" s="34"/>
      <c r="E10" s="34"/>
      <c r="F10" s="51" t="str">
        <f>IFERROR(TEXT(('Store Total'!B4+'Store Total'!B5)-('Store Total'!C4+'Store Total'!C5),"+#,##0;-#,##0")&amp;" vs goal  ","")</f>
        <v xml:space="preserve">+23 vs goal  </v>
      </c>
      <c r="G10" s="34"/>
      <c r="H10" s="32"/>
      <c r="I10" s="1"/>
      <c r="J10" s="6"/>
      <c r="K10" s="10"/>
      <c r="L10" s="10"/>
      <c r="M10" s="10"/>
      <c r="N10" s="10"/>
      <c r="O10" s="10"/>
      <c r="P10" s="8"/>
      <c r="Q10" s="1"/>
      <c r="T10">
        <v>9</v>
      </c>
      <c r="U10">
        <f>SUM('1:9'!Q16)+SUM('1:9'!R16)</f>
        <v>205</v>
      </c>
      <c r="V10">
        <f>('Store Total'!$C$4+'Store Total'!$C$5)*9/31</f>
        <v>187.25806451612902</v>
      </c>
    </row>
    <row r="11" spans="1:22" ht="15" customHeight="1" x14ac:dyDescent="0.25">
      <c r="A11" s="1"/>
      <c r="B11" s="49">
        <f>IFERROR(('Store Total'!B4+'Store Total'!B5)/('Store Total'!C4+'Store Total'!C5),0)</f>
        <v>1.0356589147286821</v>
      </c>
      <c r="C11" s="34"/>
      <c r="D11" s="34"/>
      <c r="E11" s="34"/>
      <c r="F11" s="34"/>
      <c r="G11" s="34"/>
      <c r="H11" s="32"/>
      <c r="I11" s="1"/>
      <c r="J11" s="45" t="str">
        <f>'Team Leaderboard'!$B$15</f>
        <v>Expert 12</v>
      </c>
      <c r="K11" s="34"/>
      <c r="L11" s="34"/>
      <c r="M11" s="34"/>
      <c r="N11" s="34"/>
      <c r="O11" s="52">
        <f>'Team Leaderboard'!$E$15</f>
        <v>38</v>
      </c>
      <c r="P11" s="32"/>
      <c r="Q11" s="1"/>
      <c r="T11">
        <v>10</v>
      </c>
      <c r="U11">
        <f>SUM('1:10'!Q16)+SUM('1:10'!R16)</f>
        <v>226</v>
      </c>
      <c r="V11">
        <f>('Store Total'!$C$4+'Store Total'!$C$5)*10/31</f>
        <v>208.06451612903226</v>
      </c>
    </row>
    <row r="12" spans="1:22" ht="15" customHeight="1" x14ac:dyDescent="0.25">
      <c r="A12" s="1"/>
      <c r="B12" s="3"/>
      <c r="C12" s="11"/>
      <c r="D12" s="11"/>
      <c r="E12" s="11"/>
      <c r="F12" s="11"/>
      <c r="G12" s="11"/>
      <c r="H12" s="5"/>
      <c r="I12" s="1"/>
      <c r="J12" s="6"/>
      <c r="K12" s="12"/>
      <c r="L12" s="12"/>
      <c r="M12" s="12"/>
      <c r="N12" s="12"/>
      <c r="O12" s="12"/>
      <c r="P12" s="8"/>
      <c r="Q12" s="1"/>
      <c r="T12">
        <v>11</v>
      </c>
      <c r="U12">
        <f>SUM('1:11'!Q16)+SUM('1:11'!R16)</f>
        <v>250</v>
      </c>
      <c r="V12">
        <f>('Store Total'!$C$4+'Store Total'!$C$5)*11/31</f>
        <v>228.87096774193549</v>
      </c>
    </row>
    <row r="13" spans="1:22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T13">
        <v>12</v>
      </c>
      <c r="U13">
        <f>SUM('1:12'!Q16)+SUM('1:12'!R16)</f>
        <v>269</v>
      </c>
      <c r="V13">
        <f>('Store Total'!$C$4+'Store Total'!$C$5)*12/31</f>
        <v>249.67741935483872</v>
      </c>
    </row>
    <row r="14" spans="1:22" ht="15" customHeight="1" x14ac:dyDescent="0.25">
      <c r="A14" s="1"/>
      <c r="B14" s="6"/>
      <c r="C14" s="7"/>
      <c r="D14" s="8"/>
      <c r="E14" s="1"/>
      <c r="F14" s="6"/>
      <c r="G14" s="7"/>
      <c r="H14" s="8"/>
      <c r="I14" s="1"/>
      <c r="J14" s="6"/>
      <c r="K14" s="7"/>
      <c r="L14" s="8"/>
      <c r="M14" s="1"/>
      <c r="N14" s="6"/>
      <c r="O14" s="7"/>
      <c r="P14" s="8"/>
      <c r="Q14" s="1"/>
      <c r="T14">
        <v>13</v>
      </c>
      <c r="U14">
        <f>SUM('1:13'!Q16)+SUM('1:13'!R16)</f>
        <v>296</v>
      </c>
      <c r="V14">
        <f>('Store Total'!$C$4+'Store Total'!$C$5)*13/31</f>
        <v>270.48387096774195</v>
      </c>
    </row>
    <row r="15" spans="1:22" ht="15" customHeight="1" x14ac:dyDescent="0.25">
      <c r="A15" s="1"/>
      <c r="B15" s="37" t="s">
        <v>9</v>
      </c>
      <c r="C15" s="34"/>
      <c r="D15" s="13" t="str">
        <f>TEXT('Store Total'!D4,"0%")</f>
        <v>105%</v>
      </c>
      <c r="E15" s="1"/>
      <c r="F15" s="37" t="s">
        <v>10</v>
      </c>
      <c r="G15" s="34"/>
      <c r="H15" s="13" t="str">
        <f>TEXT('Store Total'!D5,"0%")</f>
        <v>94%</v>
      </c>
      <c r="I15" s="1"/>
      <c r="J15" s="37" t="s">
        <v>11</v>
      </c>
      <c r="K15" s="34"/>
      <c r="L15" s="13" t="str">
        <f>TEXT('Store Total'!D10,"0%")</f>
        <v>106%</v>
      </c>
      <c r="M15" s="1"/>
      <c r="N15" s="37" t="s">
        <v>12</v>
      </c>
      <c r="O15" s="34"/>
      <c r="P15" s="13" t="str">
        <f>TEXT('Store Total'!D11,"0%")</f>
        <v>98%</v>
      </c>
      <c r="Q15" s="1"/>
      <c r="T15">
        <v>14</v>
      </c>
      <c r="U15">
        <f>SUM('1:14'!Q16)+SUM('1:14'!R16)</f>
        <v>315</v>
      </c>
      <c r="V15">
        <f>('Store Total'!$C$4+'Store Total'!$C$5)*14/31</f>
        <v>291.29032258064518</v>
      </c>
    </row>
    <row r="16" spans="1:22" ht="21.95" customHeight="1" x14ac:dyDescent="0.25">
      <c r="A16" s="1"/>
      <c r="B16" s="38">
        <f>'Store Total'!B4</f>
        <v>583</v>
      </c>
      <c r="C16" s="34"/>
      <c r="D16" s="32"/>
      <c r="E16" s="1"/>
      <c r="F16" s="38">
        <f>'Store Total'!B5</f>
        <v>85</v>
      </c>
      <c r="G16" s="34"/>
      <c r="H16" s="32"/>
      <c r="I16" s="1"/>
      <c r="J16" s="38">
        <f>'Store Total'!B10</f>
        <v>718</v>
      </c>
      <c r="K16" s="34"/>
      <c r="L16" s="32"/>
      <c r="M16" s="1"/>
      <c r="N16" s="41">
        <f>'Store Total'!B11</f>
        <v>47740.969999999994</v>
      </c>
      <c r="O16" s="34"/>
      <c r="P16" s="32"/>
      <c r="Q16" s="1"/>
      <c r="T16">
        <v>15</v>
      </c>
      <c r="U16">
        <f>SUM('1:15'!Q16)+SUM('1:15'!R16)</f>
        <v>333</v>
      </c>
      <c r="V16">
        <f>('Store Total'!$C$4+'Store Total'!$C$5)*15/31</f>
        <v>312.09677419354841</v>
      </c>
    </row>
    <row r="17" spans="1:22" ht="15" customHeight="1" x14ac:dyDescent="0.25">
      <c r="A17" s="1"/>
      <c r="B17" s="39"/>
      <c r="C17" s="34"/>
      <c r="D17" s="32"/>
      <c r="E17" s="1"/>
      <c r="F17" s="39"/>
      <c r="G17" s="34"/>
      <c r="H17" s="32"/>
      <c r="I17" s="1"/>
      <c r="J17" s="39"/>
      <c r="K17" s="34"/>
      <c r="L17" s="32"/>
      <c r="M17" s="1"/>
      <c r="N17" s="39"/>
      <c r="O17" s="34"/>
      <c r="P17" s="32"/>
      <c r="Q17" s="1"/>
      <c r="T17">
        <v>16</v>
      </c>
      <c r="U17">
        <f>SUM('1:16'!Q16)+SUM('1:16'!R16)</f>
        <v>354</v>
      </c>
      <c r="V17">
        <f>('Store Total'!$C$4+'Store Total'!$C$5)*16/31</f>
        <v>332.90322580645159</v>
      </c>
    </row>
    <row r="18" spans="1:22" ht="15" customHeight="1" x14ac:dyDescent="0.25">
      <c r="A18" s="1"/>
      <c r="B18" s="33">
        <f>'Store Total'!D4</f>
        <v>1.0504504504504504</v>
      </c>
      <c r="C18" s="34"/>
      <c r="D18" s="32"/>
      <c r="E18" s="1"/>
      <c r="F18" s="33">
        <f>'Store Total'!D5</f>
        <v>0.94444444444444442</v>
      </c>
      <c r="G18" s="34"/>
      <c r="H18" s="32"/>
      <c r="I18" s="1"/>
      <c r="J18" s="33">
        <f>'Store Total'!D10</f>
        <v>1.0637037037037036</v>
      </c>
      <c r="K18" s="34"/>
      <c r="L18" s="32"/>
      <c r="M18" s="1"/>
      <c r="N18" s="33">
        <f>'Store Total'!D11</f>
        <v>0.98030739219712515</v>
      </c>
      <c r="O18" s="34"/>
      <c r="P18" s="32"/>
      <c r="Q18" s="1"/>
      <c r="T18">
        <v>17</v>
      </c>
      <c r="U18">
        <f>SUM('1:17'!Q16)+SUM('1:17'!R16)</f>
        <v>372</v>
      </c>
      <c r="V18">
        <f>('Store Total'!$C$4+'Store Total'!$C$5)*17/31</f>
        <v>353.70967741935482</v>
      </c>
    </row>
    <row r="19" spans="1:22" ht="15" customHeight="1" x14ac:dyDescent="0.25">
      <c r="A19" s="1"/>
      <c r="B19" s="6"/>
      <c r="C19" s="12"/>
      <c r="D19" s="8"/>
      <c r="E19" s="1"/>
      <c r="F19" s="6"/>
      <c r="G19" s="12"/>
      <c r="H19" s="8"/>
      <c r="I19" s="1"/>
      <c r="J19" s="6"/>
      <c r="K19" s="12"/>
      <c r="L19" s="8"/>
      <c r="M19" s="1"/>
      <c r="N19" s="6"/>
      <c r="O19" s="12"/>
      <c r="P19" s="8"/>
      <c r="Q19" s="1"/>
      <c r="T19">
        <v>18</v>
      </c>
      <c r="U19">
        <f>SUM('1:18'!Q16)+SUM('1:18'!R16)</f>
        <v>389</v>
      </c>
      <c r="V19">
        <f>('Store Total'!$C$4+'Store Total'!$C$5)*18/31</f>
        <v>374.51612903225805</v>
      </c>
    </row>
    <row r="20" spans="1:22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T20">
        <v>19</v>
      </c>
      <c r="U20">
        <f>SUM('1:19'!Q16)+SUM('1:19'!R16)</f>
        <v>405</v>
      </c>
      <c r="V20">
        <f>('Store Total'!$C$4+'Store Total'!$C$5)*19/31</f>
        <v>395.32258064516128</v>
      </c>
    </row>
    <row r="21" spans="1:22" ht="15" customHeight="1" x14ac:dyDescent="0.25">
      <c r="A21" s="1"/>
      <c r="B21" s="6"/>
      <c r="C21" s="7"/>
      <c r="D21" s="8"/>
      <c r="E21" s="1"/>
      <c r="F21" s="6"/>
      <c r="G21" s="7"/>
      <c r="H21" s="8"/>
      <c r="I21" s="1"/>
      <c r="J21" s="6"/>
      <c r="K21" s="7"/>
      <c r="L21" s="8"/>
      <c r="M21" s="1"/>
      <c r="N21" s="6"/>
      <c r="O21" s="7"/>
      <c r="P21" s="8"/>
      <c r="Q21" s="1"/>
      <c r="T21">
        <v>20</v>
      </c>
      <c r="U21">
        <f>SUM('1:20'!Q16)+SUM('1:20'!R16)</f>
        <v>426</v>
      </c>
      <c r="V21">
        <f>('Store Total'!$C$4+'Store Total'!$C$5)*20/31</f>
        <v>416.12903225806451</v>
      </c>
    </row>
    <row r="22" spans="1:22" ht="15" customHeight="1" x14ac:dyDescent="0.25">
      <c r="A22" s="1"/>
      <c r="B22" s="37" t="s">
        <v>13</v>
      </c>
      <c r="C22" s="34"/>
      <c r="D22" s="13" t="str">
        <f>TEXT('Store Total'!D7,"0%")</f>
        <v>96%</v>
      </c>
      <c r="E22" s="1"/>
      <c r="F22" s="37" t="s">
        <v>14</v>
      </c>
      <c r="G22" s="34"/>
      <c r="H22" s="13" t="str">
        <f>TEXT('Store Total'!D8,"0%")</f>
        <v>103%</v>
      </c>
      <c r="I22" s="1"/>
      <c r="J22" s="37" t="s">
        <v>15</v>
      </c>
      <c r="K22" s="34"/>
      <c r="L22" s="13" t="str">
        <f>TEXT('Store Total'!D6,"0%")</f>
        <v>110%</v>
      </c>
      <c r="M22" s="1"/>
      <c r="N22" s="37" t="s">
        <v>16</v>
      </c>
      <c r="O22" s="34"/>
      <c r="P22" s="13" t="str">
        <f>TEXT('Store Total'!D9,"0%")</f>
        <v>102%</v>
      </c>
      <c r="Q22" s="1"/>
      <c r="T22">
        <v>21</v>
      </c>
      <c r="U22">
        <f>SUM('1:21'!Q16)+SUM('1:21'!R16)</f>
        <v>454</v>
      </c>
      <c r="V22">
        <f>('Store Total'!$C$4+'Store Total'!$C$5)*21/31</f>
        <v>436.93548387096774</v>
      </c>
    </row>
    <row r="23" spans="1:22" ht="21.95" customHeight="1" x14ac:dyDescent="0.25">
      <c r="A23" s="1"/>
      <c r="B23" s="38">
        <f>'Store Total'!B7</f>
        <v>225</v>
      </c>
      <c r="C23" s="34"/>
      <c r="D23" s="32"/>
      <c r="E23" s="1"/>
      <c r="F23" s="38">
        <f>'Store Total'!B8</f>
        <v>31</v>
      </c>
      <c r="G23" s="34"/>
      <c r="H23" s="32"/>
      <c r="I23" s="1"/>
      <c r="J23" s="38">
        <f>'Store Total'!B6</f>
        <v>22</v>
      </c>
      <c r="K23" s="34"/>
      <c r="L23" s="32"/>
      <c r="M23" s="1"/>
      <c r="N23" s="41">
        <f>'Store Total'!B9</f>
        <v>6702</v>
      </c>
      <c r="O23" s="34"/>
      <c r="P23" s="32"/>
      <c r="Q23" s="1"/>
      <c r="T23">
        <v>22</v>
      </c>
      <c r="U23">
        <f>SUM('1:22'!Q16)+SUM('1:22'!R16)</f>
        <v>480</v>
      </c>
      <c r="V23">
        <f>('Store Total'!$C$4+'Store Total'!$C$5)*22/31</f>
        <v>457.74193548387098</v>
      </c>
    </row>
    <row r="24" spans="1:22" ht="15" customHeight="1" x14ac:dyDescent="0.25">
      <c r="A24" s="1"/>
      <c r="B24" s="39"/>
      <c r="C24" s="34"/>
      <c r="D24" s="32"/>
      <c r="E24" s="1"/>
      <c r="F24" s="39"/>
      <c r="G24" s="34"/>
      <c r="H24" s="32"/>
      <c r="I24" s="1"/>
      <c r="J24" s="39"/>
      <c r="K24" s="34"/>
      <c r="L24" s="32"/>
      <c r="M24" s="1"/>
      <c r="N24" s="39"/>
      <c r="O24" s="34"/>
      <c r="P24" s="32"/>
      <c r="Q24" s="1"/>
      <c r="T24">
        <v>23</v>
      </c>
      <c r="U24">
        <f>SUM('1:23'!Q16)+SUM('1:23'!R16)</f>
        <v>498</v>
      </c>
      <c r="V24">
        <f>('Store Total'!$C$4+'Store Total'!$C$5)*23/31</f>
        <v>478.54838709677421</v>
      </c>
    </row>
    <row r="25" spans="1:22" ht="15" customHeight="1" x14ac:dyDescent="0.25">
      <c r="A25" s="1"/>
      <c r="B25" s="33">
        <f>'Store Total'!D7</f>
        <v>0.95744680851063835</v>
      </c>
      <c r="C25" s="34"/>
      <c r="D25" s="32"/>
      <c r="E25" s="1"/>
      <c r="F25" s="33">
        <f>'Store Total'!D8</f>
        <v>1.0333333333333334</v>
      </c>
      <c r="G25" s="34"/>
      <c r="H25" s="32"/>
      <c r="I25" s="1"/>
      <c r="J25" s="33">
        <f>'Store Total'!D6</f>
        <v>1.1000000000000001</v>
      </c>
      <c r="K25" s="34"/>
      <c r="L25" s="32"/>
      <c r="M25" s="1"/>
      <c r="N25" s="33">
        <f>'Store Total'!D9</f>
        <v>1.0154545454545454</v>
      </c>
      <c r="O25" s="34"/>
      <c r="P25" s="32"/>
      <c r="Q25" s="1"/>
      <c r="T25">
        <v>24</v>
      </c>
      <c r="U25">
        <f>SUM('1:24'!Q16)+SUM('1:24'!R16)</f>
        <v>512</v>
      </c>
      <c r="V25">
        <f>('Store Total'!$C$4+'Store Total'!$C$5)*24/31</f>
        <v>499.35483870967744</v>
      </c>
    </row>
    <row r="26" spans="1:22" ht="15" customHeight="1" x14ac:dyDescent="0.25">
      <c r="A26" s="1"/>
      <c r="B26" s="6"/>
      <c r="C26" s="12"/>
      <c r="D26" s="8"/>
      <c r="E26" s="1"/>
      <c r="F26" s="6"/>
      <c r="G26" s="12"/>
      <c r="H26" s="8"/>
      <c r="I26" s="1"/>
      <c r="J26" s="6"/>
      <c r="K26" s="12"/>
      <c r="L26" s="8"/>
      <c r="M26" s="1"/>
      <c r="N26" s="6"/>
      <c r="O26" s="12"/>
      <c r="P26" s="8"/>
      <c r="Q26" s="1"/>
      <c r="T26">
        <v>25</v>
      </c>
      <c r="U26">
        <f>SUM('1:25'!Q16)+SUM('1:25'!R16)</f>
        <v>534</v>
      </c>
      <c r="V26">
        <f>('Store Total'!$C$4+'Store Total'!$C$5)*25/31</f>
        <v>520.16129032258061</v>
      </c>
    </row>
    <row r="27" spans="1:22" ht="1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T27">
        <v>26</v>
      </c>
      <c r="U27">
        <f>SUM('1:26'!Q16)+SUM('1:26'!R16)</f>
        <v>551</v>
      </c>
      <c r="V27">
        <f>('Store Total'!$C$4+'Store Total'!$C$5)*26/31</f>
        <v>540.9677419354839</v>
      </c>
    </row>
    <row r="28" spans="1:22" ht="15" customHeight="1" x14ac:dyDescent="0.25">
      <c r="A28" s="1"/>
      <c r="B28" s="6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/>
      <c r="Q28" s="1"/>
      <c r="T28">
        <v>27</v>
      </c>
      <c r="U28">
        <f>SUM('1:27'!Q16)+SUM('1:27'!R16)</f>
        <v>578</v>
      </c>
      <c r="V28">
        <f>('Store Total'!$C$4+'Store Total'!$C$5)*27/31</f>
        <v>561.77419354838707</v>
      </c>
    </row>
    <row r="29" spans="1:22" ht="15" customHeight="1" x14ac:dyDescent="0.25">
      <c r="A29" s="1"/>
      <c r="B29" s="46" t="s">
        <v>17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10"/>
      <c r="N29" s="10"/>
      <c r="O29" s="10"/>
      <c r="P29" s="8"/>
      <c r="Q29" s="1"/>
      <c r="T29">
        <v>28</v>
      </c>
      <c r="U29">
        <f>SUM('1:28'!Q16)+SUM('1:28'!R16)</f>
        <v>601</v>
      </c>
      <c r="V29">
        <f>('Store Total'!$C$4+'Store Total'!$C$5)*28/31</f>
        <v>582.58064516129036</v>
      </c>
    </row>
    <row r="30" spans="1:22" ht="15" customHeight="1" x14ac:dyDescent="0.25">
      <c r="A30" s="1"/>
      <c r="B30" s="6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8"/>
      <c r="Q30" s="1"/>
      <c r="T30">
        <v>29</v>
      </c>
      <c r="U30">
        <f>SUM('1:29'!Q16)+SUM('1:29'!R16)</f>
        <v>623</v>
      </c>
      <c r="V30">
        <f>('Store Total'!$C$4+'Store Total'!$C$5)*29/31</f>
        <v>603.38709677419354</v>
      </c>
    </row>
    <row r="31" spans="1:22" ht="15" customHeight="1" x14ac:dyDescent="0.25">
      <c r="A31" s="1"/>
      <c r="B31" s="6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8"/>
      <c r="Q31" s="1"/>
      <c r="T31">
        <v>30</v>
      </c>
      <c r="U31">
        <f>SUM('1:30'!Q16)+SUM('1:30'!R16)</f>
        <v>651</v>
      </c>
      <c r="V31">
        <f>('Store Total'!$C$4+'Store Total'!$C$5)*30/31</f>
        <v>624.19354838709683</v>
      </c>
    </row>
    <row r="32" spans="1:22" ht="15" customHeight="1" x14ac:dyDescent="0.25">
      <c r="A32" s="1"/>
      <c r="B32" s="6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8"/>
      <c r="Q32" s="1"/>
      <c r="T32">
        <v>31</v>
      </c>
      <c r="U32">
        <f>SUM('1:31'!Q16)+SUM('1:31'!R16)</f>
        <v>668</v>
      </c>
      <c r="V32">
        <f>('Store Total'!$C$4+'Store Total'!$C$5)*31/31</f>
        <v>645</v>
      </c>
    </row>
    <row r="33" spans="1:20" ht="15" customHeight="1" x14ac:dyDescent="0.25">
      <c r="A33" s="1"/>
      <c r="B33" s="6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8"/>
      <c r="Q33" s="1"/>
    </row>
    <row r="34" spans="1:20" ht="15" customHeight="1" x14ac:dyDescent="0.25">
      <c r="A34" s="1"/>
      <c r="B34" s="6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8"/>
      <c r="Q34" s="1"/>
      <c r="T34" s="14" t="s">
        <v>18</v>
      </c>
    </row>
    <row r="35" spans="1:20" ht="15" customHeight="1" x14ac:dyDescent="0.25">
      <c r="A35" s="1"/>
      <c r="B35" s="6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8"/>
      <c r="Q35" s="1"/>
    </row>
    <row r="36" spans="1:20" ht="15" customHeight="1" x14ac:dyDescent="0.25">
      <c r="A36" s="1"/>
      <c r="B36" s="6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8"/>
      <c r="Q36" s="1"/>
    </row>
    <row r="37" spans="1:20" ht="15" customHeight="1" x14ac:dyDescent="0.25">
      <c r="A37" s="1"/>
      <c r="B37" s="6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8"/>
      <c r="Q37" s="1"/>
    </row>
    <row r="38" spans="1:20" ht="15" customHeight="1" x14ac:dyDescent="0.25">
      <c r="A38" s="1"/>
      <c r="B38" s="6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8"/>
      <c r="Q38" s="1"/>
    </row>
    <row r="39" spans="1:20" ht="15" customHeight="1" x14ac:dyDescent="0.25">
      <c r="A39" s="1"/>
      <c r="B39" s="6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8"/>
      <c r="Q39" s="1"/>
    </row>
    <row r="40" spans="1:20" ht="15" customHeight="1" x14ac:dyDescent="0.25">
      <c r="A40" s="1"/>
      <c r="B40" s="6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8"/>
      <c r="Q40" s="1"/>
    </row>
    <row r="41" spans="1:20" ht="15" customHeight="1" x14ac:dyDescent="0.25">
      <c r="A41" s="1"/>
      <c r="B41" s="6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8"/>
      <c r="Q41" s="1"/>
    </row>
    <row r="42" spans="1:20" ht="15" customHeight="1" x14ac:dyDescent="0.25">
      <c r="A42" s="1"/>
      <c r="B42" s="6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8"/>
      <c r="Q42" s="1"/>
    </row>
    <row r="43" spans="1:20" ht="15" customHeight="1" x14ac:dyDescent="0.25">
      <c r="A43" s="1"/>
      <c r="B43" s="6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8"/>
      <c r="Q43" s="1"/>
    </row>
    <row r="44" spans="1:20" ht="15" customHeight="1" x14ac:dyDescent="0.25">
      <c r="A44" s="1"/>
      <c r="B44" s="6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8"/>
      <c r="Q44" s="1"/>
    </row>
    <row r="45" spans="1:20" ht="15" customHeight="1" x14ac:dyDescent="0.25">
      <c r="A45" s="1"/>
      <c r="B45" s="6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8"/>
      <c r="Q45" s="1"/>
    </row>
    <row r="46" spans="1:20" ht="1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20" hidden="1" x14ac:dyDescent="0.25"/>
    <row r="48" spans="1:20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14" hidden="1" x14ac:dyDescent="0.25"/>
    <row r="115" hidden="1" x14ac:dyDescent="0.25"/>
    <row r="116" hidden="1" x14ac:dyDescent="0.25"/>
    <row r="117" hidden="1" x14ac:dyDescent="0.25"/>
    <row r="118" hidden="1" x14ac:dyDescent="0.25"/>
    <row r="119" hidden="1" x14ac:dyDescent="0.25"/>
    <row r="120" hidden="1" x14ac:dyDescent="0.25"/>
  </sheetData>
  <mergeCells count="44">
    <mergeCell ref="B29:L29"/>
    <mergeCell ref="F22:G22"/>
    <mergeCell ref="M2:P2"/>
    <mergeCell ref="B11:H11"/>
    <mergeCell ref="J6:P6"/>
    <mergeCell ref="J22:K22"/>
    <mergeCell ref="B25:D25"/>
    <mergeCell ref="O8:P8"/>
    <mergeCell ref="F25:H25"/>
    <mergeCell ref="F10:H10"/>
    <mergeCell ref="F23:H24"/>
    <mergeCell ref="N25:P25"/>
    <mergeCell ref="O11:P11"/>
    <mergeCell ref="B15:C15"/>
    <mergeCell ref="J16:L17"/>
    <mergeCell ref="N15:O15"/>
    <mergeCell ref="B2:I2"/>
    <mergeCell ref="J15:K15"/>
    <mergeCell ref="B7:E9"/>
    <mergeCell ref="B3:K3"/>
    <mergeCell ref="J11:N11"/>
    <mergeCell ref="J7:N7"/>
    <mergeCell ref="F7:H7"/>
    <mergeCell ref="B10:E10"/>
    <mergeCell ref="J8:N8"/>
    <mergeCell ref="B22:C22"/>
    <mergeCell ref="O9:P9"/>
    <mergeCell ref="N22:O22"/>
    <mergeCell ref="B16:D17"/>
    <mergeCell ref="J25:L25"/>
    <mergeCell ref="J9:N9"/>
    <mergeCell ref="J23:L24"/>
    <mergeCell ref="F16:H17"/>
    <mergeCell ref="F15:G15"/>
    <mergeCell ref="N16:P17"/>
    <mergeCell ref="J18:L18"/>
    <mergeCell ref="B23:D24"/>
    <mergeCell ref="N23:P24"/>
    <mergeCell ref="B18:D18"/>
    <mergeCell ref="O7:P7"/>
    <mergeCell ref="F18:H18"/>
    <mergeCell ref="N18:P18"/>
    <mergeCell ref="B6:H6"/>
    <mergeCell ref="F8:H8"/>
  </mergeCells>
  <conditionalFormatting sqref="B11">
    <cfRule type="dataBar" priority="1">
      <dataBar showValue="0">
        <cfvo type="num" val="0"/>
        <cfvo type="num" val="1.25"/>
        <color rgb="FFE20074"/>
      </dataBar>
    </cfRule>
  </conditionalFormatting>
  <conditionalFormatting sqref="B18">
    <cfRule type="dataBar" priority="2">
      <dataBar showValue="0">
        <cfvo type="num" val="0"/>
        <cfvo type="num" val="1.25"/>
        <color rgb="FFE20074"/>
      </dataBar>
    </cfRule>
  </conditionalFormatting>
  <conditionalFormatting sqref="B25">
    <cfRule type="dataBar" priority="6">
      <dataBar showValue="0">
        <cfvo type="num" val="0"/>
        <cfvo type="num" val="1.25"/>
        <color rgb="FFE20074"/>
      </dataBar>
    </cfRule>
  </conditionalFormatting>
  <conditionalFormatting sqref="F18">
    <cfRule type="dataBar" priority="3">
      <dataBar showValue="0">
        <cfvo type="num" val="0"/>
        <cfvo type="num" val="1.25"/>
        <color rgb="FFE20074"/>
      </dataBar>
    </cfRule>
  </conditionalFormatting>
  <conditionalFormatting sqref="F25">
    <cfRule type="dataBar" priority="7">
      <dataBar showValue="0">
        <cfvo type="num" val="0"/>
        <cfvo type="num" val="1.25"/>
        <color rgb="FFE20074"/>
      </dataBar>
    </cfRule>
  </conditionalFormatting>
  <conditionalFormatting sqref="J18">
    <cfRule type="dataBar" priority="4">
      <dataBar showValue="0">
        <cfvo type="num" val="0"/>
        <cfvo type="num" val="1.25"/>
        <color rgb="FFE20074"/>
      </dataBar>
    </cfRule>
  </conditionalFormatting>
  <conditionalFormatting sqref="J25">
    <cfRule type="dataBar" priority="8">
      <dataBar showValue="0">
        <cfvo type="num" val="0"/>
        <cfvo type="num" val="1.25"/>
        <color rgb="FFE20074"/>
      </dataBar>
    </cfRule>
  </conditionalFormatting>
  <conditionalFormatting sqref="N18">
    <cfRule type="dataBar" priority="5">
      <dataBar showValue="0">
        <cfvo type="num" val="0"/>
        <cfvo type="num" val="1.25"/>
        <color rgb="FFE20074"/>
      </dataBar>
    </cfRule>
  </conditionalFormatting>
  <conditionalFormatting sqref="N25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showGridLines="0" workbookViewId="0"/>
  </sheetViews>
  <sheetFormatPr defaultRowHeight="15" x14ac:dyDescent="0.25"/>
  <cols>
    <col min="1" max="1" width="12" customWidth="1"/>
    <col min="2" max="2" width="16" customWidth="1"/>
    <col min="3" max="6" width="12" customWidth="1"/>
    <col min="8" max="13" width="13" hidden="1" customWidth="1"/>
  </cols>
  <sheetData>
    <row r="1" spans="1:13" ht="24" customHeight="1" x14ac:dyDescent="0.25">
      <c r="A1" s="15" t="s">
        <v>19</v>
      </c>
      <c r="B1" s="16"/>
      <c r="C1" s="16"/>
      <c r="D1" s="16"/>
      <c r="E1" s="16"/>
      <c r="F1" s="16"/>
    </row>
    <row r="2" spans="1:13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3" spans="1:13" x14ac:dyDescent="0.25">
      <c r="A3" s="18" t="s">
        <v>21</v>
      </c>
      <c r="B3" s="18" t="s">
        <v>22</v>
      </c>
      <c r="C3" s="18" t="s">
        <v>23</v>
      </c>
      <c r="D3" s="18" t="s">
        <v>24</v>
      </c>
      <c r="E3" s="18" t="s">
        <v>25</v>
      </c>
      <c r="F3" s="18" t="s">
        <v>26</v>
      </c>
      <c r="H3" s="19" t="s">
        <v>27</v>
      </c>
    </row>
    <row r="4" spans="1:13" x14ac:dyDescent="0.25">
      <c r="A4" s="20">
        <f t="shared" ref="A4:A15" si="0">RANK(E4,$E$4:$E$15)</f>
        <v>1</v>
      </c>
      <c r="B4" s="20" t="str">
        <f>INDEX($H$4:$H$15,MATCH(LARGE($M$4:$M$15,1),$M$4:$M$15,0))</f>
        <v>Expert 01</v>
      </c>
      <c r="C4" s="21">
        <f>INDEX($I$4:$I$15,MATCH(LARGE($M$4:$M$15,1),$M$4:$M$15,0))</f>
        <v>59</v>
      </c>
      <c r="D4" s="21">
        <f>INDEX($J$4:$J$15,MATCH(LARGE($M$4:$M$15,1),$M$4:$M$15,0))</f>
        <v>8</v>
      </c>
      <c r="E4" s="20">
        <f>INDEX($K$4:$K$15,MATCH(LARGE($M$4:$M$15,1),$M$4:$M$15,0))</f>
        <v>67</v>
      </c>
      <c r="F4" s="22">
        <f>INDEX($L$4:$L$15,MATCH(LARGE($M$4:$M$15,1),$M$4:$M$15,0))</f>
        <v>5434.1200000000008</v>
      </c>
      <c r="H4" t="str">
        <f>Setup!$A$5</f>
        <v>Expert 01</v>
      </c>
      <c r="I4">
        <f>SUM('1:31'!Q4)</f>
        <v>59</v>
      </c>
      <c r="J4">
        <f>SUM('1:31'!R4)</f>
        <v>8</v>
      </c>
      <c r="K4">
        <f t="shared" ref="K4:K15" si="1">I4+J4</f>
        <v>67</v>
      </c>
      <c r="L4">
        <f>SUM('1:31'!X4)</f>
        <v>5434.1200000000008</v>
      </c>
      <c r="M4">
        <f>K4+0/100000</f>
        <v>67</v>
      </c>
    </row>
    <row r="5" spans="1:13" x14ac:dyDescent="0.25">
      <c r="A5" s="20">
        <f t="shared" si="0"/>
        <v>2</v>
      </c>
      <c r="B5" s="20" t="str">
        <f>INDEX($H$4:$H$15,MATCH(LARGE($M$4:$M$15,2),$M$4:$M$15,0))</f>
        <v>Expert 07</v>
      </c>
      <c r="C5" s="21">
        <f>INDEX($I$4:$I$15,MATCH(LARGE($M$4:$M$15,2),$M$4:$M$15,0))</f>
        <v>53</v>
      </c>
      <c r="D5" s="21">
        <f>INDEX($J$4:$J$15,MATCH(LARGE($M$4:$M$15,2),$M$4:$M$15,0))</f>
        <v>10</v>
      </c>
      <c r="E5" s="20">
        <f>INDEX($K$4:$K$15,MATCH(LARGE($M$4:$M$15,2),$M$4:$M$15,0))</f>
        <v>63</v>
      </c>
      <c r="F5" s="22">
        <f>INDEX($L$4:$L$15,MATCH(LARGE($M$4:$M$15,2),$M$4:$M$15,0))</f>
        <v>3121.58</v>
      </c>
      <c r="H5" t="str">
        <f>Setup!$A$6</f>
        <v>Expert 02</v>
      </c>
      <c r="I5">
        <f>SUM('1:31'!Q5)</f>
        <v>52</v>
      </c>
      <c r="J5">
        <f>SUM('1:31'!R5)</f>
        <v>6</v>
      </c>
      <c r="K5">
        <f t="shared" si="1"/>
        <v>58</v>
      </c>
      <c r="L5">
        <f>SUM('1:31'!X5)</f>
        <v>3793.579999999999</v>
      </c>
      <c r="M5">
        <f>K5+1/100000</f>
        <v>58.000010000000003</v>
      </c>
    </row>
    <row r="6" spans="1:13" x14ac:dyDescent="0.25">
      <c r="A6" s="20">
        <f t="shared" si="0"/>
        <v>3</v>
      </c>
      <c r="B6" s="20" t="str">
        <f>INDEX($H$4:$H$15,MATCH(LARGE($M$4:$M$15,3),$M$4:$M$15,0))</f>
        <v>Expert 08</v>
      </c>
      <c r="C6" s="21">
        <f>INDEX($I$4:$I$15,MATCH(LARGE($M$4:$M$15,3),$M$4:$M$15,0))</f>
        <v>55</v>
      </c>
      <c r="D6" s="21">
        <f>INDEX($J$4:$J$15,MATCH(LARGE($M$4:$M$15,3),$M$4:$M$15,0))</f>
        <v>7</v>
      </c>
      <c r="E6" s="20">
        <f>INDEX($K$4:$K$15,MATCH(LARGE($M$4:$M$15,3),$M$4:$M$15,0))</f>
        <v>62</v>
      </c>
      <c r="F6" s="22">
        <f>INDEX($L$4:$L$15,MATCH(LARGE($M$4:$M$15,3),$M$4:$M$15,0))</f>
        <v>4901.3500000000004</v>
      </c>
      <c r="H6" t="str">
        <f>Setup!$A$7</f>
        <v>Expert 03</v>
      </c>
      <c r="I6">
        <f>SUM('1:31'!Q6)</f>
        <v>47</v>
      </c>
      <c r="J6">
        <f>SUM('1:31'!R6)</f>
        <v>10</v>
      </c>
      <c r="K6">
        <f t="shared" si="1"/>
        <v>57</v>
      </c>
      <c r="L6">
        <f>SUM('1:31'!X6)</f>
        <v>3860.6600000000003</v>
      </c>
      <c r="M6">
        <f>K6+2/100000</f>
        <v>57.000019999999999</v>
      </c>
    </row>
    <row r="7" spans="1:13" x14ac:dyDescent="0.25">
      <c r="A7" s="20">
        <f t="shared" si="0"/>
        <v>4</v>
      </c>
      <c r="B7" s="20" t="str">
        <f>INDEX($H$4:$H$15,MATCH(LARGE($M$4:$M$15,4),$M$4:$M$15,0))</f>
        <v>Expert 11</v>
      </c>
      <c r="C7" s="21">
        <f>INDEX($I$4:$I$15,MATCH(LARGE($M$4:$M$15,4),$M$4:$M$15,0))</f>
        <v>48</v>
      </c>
      <c r="D7" s="21">
        <f>INDEX($J$4:$J$15,MATCH(LARGE($M$4:$M$15,4),$M$4:$M$15,0))</f>
        <v>10</v>
      </c>
      <c r="E7" s="20">
        <f>INDEX($K$4:$K$15,MATCH(LARGE($M$4:$M$15,4),$M$4:$M$15,0))</f>
        <v>58</v>
      </c>
      <c r="F7" s="22">
        <f>INDEX($L$4:$L$15,MATCH(LARGE($M$4:$M$15,4),$M$4:$M$15,0))</f>
        <v>4407.8700000000008</v>
      </c>
      <c r="H7" t="str">
        <f>Setup!$A$8</f>
        <v>Expert 04</v>
      </c>
      <c r="I7">
        <f>SUM('1:31'!Q7)</f>
        <v>49</v>
      </c>
      <c r="J7">
        <f>SUM('1:31'!R7)</f>
        <v>6</v>
      </c>
      <c r="K7">
        <f t="shared" si="1"/>
        <v>55</v>
      </c>
      <c r="L7">
        <f>SUM('1:31'!X7)</f>
        <v>3058.01</v>
      </c>
      <c r="M7">
        <f>K7+3/100000</f>
        <v>55.000030000000002</v>
      </c>
    </row>
    <row r="8" spans="1:13" x14ac:dyDescent="0.25">
      <c r="A8" s="20">
        <f t="shared" si="0"/>
        <v>4</v>
      </c>
      <c r="B8" s="20" t="str">
        <f>INDEX($H$4:$H$15,MATCH(LARGE($M$4:$M$15,5),$M$4:$M$15,0))</f>
        <v>Expert 02</v>
      </c>
      <c r="C8" s="21">
        <f>INDEX($I$4:$I$15,MATCH(LARGE($M$4:$M$15,5),$M$4:$M$15,0))</f>
        <v>52</v>
      </c>
      <c r="D8" s="21">
        <f>INDEX($J$4:$J$15,MATCH(LARGE($M$4:$M$15,5),$M$4:$M$15,0))</f>
        <v>6</v>
      </c>
      <c r="E8" s="20">
        <f>INDEX($K$4:$K$15,MATCH(LARGE($M$4:$M$15,5),$M$4:$M$15,0))</f>
        <v>58</v>
      </c>
      <c r="F8" s="22">
        <f>INDEX($L$4:$L$15,MATCH(LARGE($M$4:$M$15,5),$M$4:$M$15,0))</f>
        <v>3793.579999999999</v>
      </c>
      <c r="H8" t="str">
        <f>Setup!$A$9</f>
        <v>Expert 05</v>
      </c>
      <c r="I8">
        <f>SUM('1:31'!Q8)</f>
        <v>44</v>
      </c>
      <c r="J8">
        <f>SUM('1:31'!R8)</f>
        <v>5</v>
      </c>
      <c r="K8">
        <f t="shared" si="1"/>
        <v>49</v>
      </c>
      <c r="L8">
        <f>SUM('1:31'!X8)</f>
        <v>3491.9700000000003</v>
      </c>
      <c r="M8">
        <f>K8+4/100000</f>
        <v>49.000039999999998</v>
      </c>
    </row>
    <row r="9" spans="1:13" x14ac:dyDescent="0.25">
      <c r="A9" s="20">
        <f t="shared" si="0"/>
        <v>6</v>
      </c>
      <c r="B9" s="20" t="str">
        <f>INDEX($H$4:$H$15,MATCH(LARGE($M$4:$M$15,6),$M$4:$M$15,0))</f>
        <v>Expert 03</v>
      </c>
      <c r="C9" s="21">
        <f>INDEX($I$4:$I$15,MATCH(LARGE($M$4:$M$15,6),$M$4:$M$15,0))</f>
        <v>47</v>
      </c>
      <c r="D9" s="21">
        <f>INDEX($J$4:$J$15,MATCH(LARGE($M$4:$M$15,6),$M$4:$M$15,0))</f>
        <v>10</v>
      </c>
      <c r="E9" s="20">
        <f>INDEX($K$4:$K$15,MATCH(LARGE($M$4:$M$15,6),$M$4:$M$15,0))</f>
        <v>57</v>
      </c>
      <c r="F9" s="22">
        <f>INDEX($L$4:$L$15,MATCH(LARGE($M$4:$M$15,6),$M$4:$M$15,0))</f>
        <v>3860.6600000000003</v>
      </c>
      <c r="H9" t="str">
        <f>Setup!$A$10</f>
        <v>Expert 06</v>
      </c>
      <c r="I9">
        <f>SUM('1:31'!Q9)</f>
        <v>50</v>
      </c>
      <c r="J9">
        <f>SUM('1:31'!R9)</f>
        <v>6</v>
      </c>
      <c r="K9">
        <f t="shared" si="1"/>
        <v>56</v>
      </c>
      <c r="L9">
        <f>SUM('1:31'!X9)</f>
        <v>3853.2900000000004</v>
      </c>
      <c r="M9">
        <f>K9+5/100000</f>
        <v>56.000050000000002</v>
      </c>
    </row>
    <row r="10" spans="1:13" x14ac:dyDescent="0.25">
      <c r="A10" s="20">
        <f t="shared" si="0"/>
        <v>7</v>
      </c>
      <c r="B10" s="20" t="str">
        <f>INDEX($H$4:$H$15,MATCH(LARGE($M$4:$M$15,7),$M$4:$M$15,0))</f>
        <v>Expert 06</v>
      </c>
      <c r="C10" s="21">
        <f>INDEX($I$4:$I$15,MATCH(LARGE($M$4:$M$15,7),$M$4:$M$15,0))</f>
        <v>50</v>
      </c>
      <c r="D10" s="21">
        <f>INDEX($J$4:$J$15,MATCH(LARGE($M$4:$M$15,7),$M$4:$M$15,0))</f>
        <v>6</v>
      </c>
      <c r="E10" s="20">
        <f>INDEX($K$4:$K$15,MATCH(LARGE($M$4:$M$15,7),$M$4:$M$15,0))</f>
        <v>56</v>
      </c>
      <c r="F10" s="22">
        <f>INDEX($L$4:$L$15,MATCH(LARGE($M$4:$M$15,7),$M$4:$M$15,0))</f>
        <v>3853.2900000000004</v>
      </c>
      <c r="H10" t="str">
        <f>Setup!$A$11</f>
        <v>Expert 07</v>
      </c>
      <c r="I10">
        <f>SUM('1:31'!Q10)</f>
        <v>53</v>
      </c>
      <c r="J10">
        <f>SUM('1:31'!R10)</f>
        <v>10</v>
      </c>
      <c r="K10">
        <f t="shared" si="1"/>
        <v>63</v>
      </c>
      <c r="L10">
        <f>SUM('1:31'!X10)</f>
        <v>3121.58</v>
      </c>
      <c r="M10">
        <f>K10+6/100000</f>
        <v>63.000059999999998</v>
      </c>
    </row>
    <row r="11" spans="1:13" x14ac:dyDescent="0.25">
      <c r="A11" s="20">
        <f t="shared" si="0"/>
        <v>8</v>
      </c>
      <c r="B11" s="20" t="str">
        <f>INDEX($H$4:$H$15,MATCH(LARGE($M$4:$M$15,8),$M$4:$M$15,0))</f>
        <v>Expert 04</v>
      </c>
      <c r="C11" s="21">
        <f>INDEX($I$4:$I$15,MATCH(LARGE($M$4:$M$15,8),$M$4:$M$15,0))</f>
        <v>49</v>
      </c>
      <c r="D11" s="21">
        <f>INDEX($J$4:$J$15,MATCH(LARGE($M$4:$M$15,8),$M$4:$M$15,0))</f>
        <v>6</v>
      </c>
      <c r="E11" s="20">
        <f>INDEX($K$4:$K$15,MATCH(LARGE($M$4:$M$15,8),$M$4:$M$15,0))</f>
        <v>55</v>
      </c>
      <c r="F11" s="22">
        <f>INDEX($L$4:$L$15,MATCH(LARGE($M$4:$M$15,8),$M$4:$M$15,0))</f>
        <v>3058.01</v>
      </c>
      <c r="H11" t="str">
        <f>Setup!$A$12</f>
        <v>Expert 08</v>
      </c>
      <c r="I11">
        <f>SUM('1:31'!Q11)</f>
        <v>55</v>
      </c>
      <c r="J11">
        <f>SUM('1:31'!R11)</f>
        <v>7</v>
      </c>
      <c r="K11">
        <f t="shared" si="1"/>
        <v>62</v>
      </c>
      <c r="L11">
        <f>SUM('1:31'!X11)</f>
        <v>4901.3500000000004</v>
      </c>
      <c r="M11">
        <f>K11+7/100000</f>
        <v>62.000070000000001</v>
      </c>
    </row>
    <row r="12" spans="1:13" x14ac:dyDescent="0.25">
      <c r="A12" s="20">
        <f t="shared" si="0"/>
        <v>9</v>
      </c>
      <c r="B12" s="20" t="str">
        <f>INDEX($H$4:$H$15,MATCH(LARGE($M$4:$M$15,9),$M$4:$M$15,0))</f>
        <v>Expert 10</v>
      </c>
      <c r="C12" s="21">
        <f>INDEX($I$4:$I$15,MATCH(LARGE($M$4:$M$15,9),$M$4:$M$15,0))</f>
        <v>46</v>
      </c>
      <c r="D12" s="21">
        <f>INDEX($J$4:$J$15,MATCH(LARGE($M$4:$M$15,9),$M$4:$M$15,0))</f>
        <v>8</v>
      </c>
      <c r="E12" s="20">
        <f>INDEX($K$4:$K$15,MATCH(LARGE($M$4:$M$15,9),$M$4:$M$15,0))</f>
        <v>54</v>
      </c>
      <c r="F12" s="22">
        <f>INDEX($L$4:$L$15,MATCH(LARGE($M$4:$M$15,9),$M$4:$M$15,0))</f>
        <v>4066.8</v>
      </c>
      <c r="H12" t="str">
        <f>Setup!$A$13</f>
        <v>Expert 09</v>
      </c>
      <c r="I12">
        <f>SUM('1:31'!Q12)</f>
        <v>44</v>
      </c>
      <c r="J12">
        <f>SUM('1:31'!R12)</f>
        <v>7</v>
      </c>
      <c r="K12">
        <f t="shared" si="1"/>
        <v>51</v>
      </c>
      <c r="L12">
        <f>SUM('1:31'!X12)</f>
        <v>4427.7700000000004</v>
      </c>
      <c r="M12">
        <f>K12+8/100000</f>
        <v>51.000079999999997</v>
      </c>
    </row>
    <row r="13" spans="1:13" x14ac:dyDescent="0.25">
      <c r="A13" s="20">
        <f t="shared" si="0"/>
        <v>10</v>
      </c>
      <c r="B13" s="20" t="str">
        <f>INDEX($H$4:$H$15,MATCH(LARGE($M$4:$M$15,10),$M$4:$M$15,0))</f>
        <v>Expert 09</v>
      </c>
      <c r="C13" s="21">
        <f>INDEX($I$4:$I$15,MATCH(LARGE($M$4:$M$15,10),$M$4:$M$15,0))</f>
        <v>44</v>
      </c>
      <c r="D13" s="21">
        <f>INDEX($J$4:$J$15,MATCH(LARGE($M$4:$M$15,10),$M$4:$M$15,0))</f>
        <v>7</v>
      </c>
      <c r="E13" s="20">
        <f>INDEX($K$4:$K$15,MATCH(LARGE($M$4:$M$15,10),$M$4:$M$15,0))</f>
        <v>51</v>
      </c>
      <c r="F13" s="22">
        <f>INDEX($L$4:$L$15,MATCH(LARGE($M$4:$M$15,10),$M$4:$M$15,0))</f>
        <v>4427.7700000000004</v>
      </c>
      <c r="H13" t="str">
        <f>Setup!$A$14</f>
        <v>Expert 10</v>
      </c>
      <c r="I13">
        <f>SUM('1:31'!Q13)</f>
        <v>46</v>
      </c>
      <c r="J13">
        <f>SUM('1:31'!R13)</f>
        <v>8</v>
      </c>
      <c r="K13">
        <f t="shared" si="1"/>
        <v>54</v>
      </c>
      <c r="L13">
        <f>SUM('1:31'!X13)</f>
        <v>4066.8</v>
      </c>
      <c r="M13">
        <f>K13+9/100000</f>
        <v>54.00009</v>
      </c>
    </row>
    <row r="14" spans="1:13" x14ac:dyDescent="0.25">
      <c r="A14" s="20">
        <f t="shared" si="0"/>
        <v>11</v>
      </c>
      <c r="B14" s="20" t="str">
        <f>INDEX($H$4:$H$15,MATCH(LARGE($M$4:$M$15,11),$M$4:$M$15,0))</f>
        <v>Expert 05</v>
      </c>
      <c r="C14" s="21">
        <f>INDEX($I$4:$I$15,MATCH(LARGE($M$4:$M$15,11),$M$4:$M$15,0))</f>
        <v>44</v>
      </c>
      <c r="D14" s="21">
        <f>INDEX($J$4:$J$15,MATCH(LARGE($M$4:$M$15,11),$M$4:$M$15,0))</f>
        <v>5</v>
      </c>
      <c r="E14" s="20">
        <f>INDEX($K$4:$K$15,MATCH(LARGE($M$4:$M$15,11),$M$4:$M$15,0))</f>
        <v>49</v>
      </c>
      <c r="F14" s="22">
        <f>INDEX($L$4:$L$15,MATCH(LARGE($M$4:$M$15,11),$M$4:$M$15,0))</f>
        <v>3491.9700000000003</v>
      </c>
      <c r="H14" t="str">
        <f>Setup!$A$15</f>
        <v>Expert 11</v>
      </c>
      <c r="I14">
        <f>SUM('1:31'!Q14)</f>
        <v>48</v>
      </c>
      <c r="J14">
        <f>SUM('1:31'!R14)</f>
        <v>10</v>
      </c>
      <c r="K14">
        <f t="shared" si="1"/>
        <v>58</v>
      </c>
      <c r="L14">
        <f>SUM('1:31'!X14)</f>
        <v>4407.8700000000008</v>
      </c>
      <c r="M14">
        <f>K14+10/100000</f>
        <v>58.000100000000003</v>
      </c>
    </row>
    <row r="15" spans="1:13" x14ac:dyDescent="0.25">
      <c r="A15" s="20">
        <f t="shared" si="0"/>
        <v>12</v>
      </c>
      <c r="B15" s="20" t="str">
        <f>INDEX($H$4:$H$15,MATCH(LARGE($M$4:$M$15,12),$M$4:$M$15,0))</f>
        <v>Expert 12</v>
      </c>
      <c r="C15" s="21">
        <f>INDEX($I$4:$I$15,MATCH(LARGE($M$4:$M$15,12),$M$4:$M$15,0))</f>
        <v>36</v>
      </c>
      <c r="D15" s="21">
        <f>INDEX($J$4:$J$15,MATCH(LARGE($M$4:$M$15,12),$M$4:$M$15,0))</f>
        <v>2</v>
      </c>
      <c r="E15" s="20">
        <f>INDEX($K$4:$K$15,MATCH(LARGE($M$4:$M$15,12),$M$4:$M$15,0))</f>
        <v>38</v>
      </c>
      <c r="F15" s="22">
        <f>INDEX($L$4:$L$15,MATCH(LARGE($M$4:$M$15,12),$M$4:$M$15,0))</f>
        <v>3323.9700000000003</v>
      </c>
      <c r="H15" t="str">
        <f>Setup!$A$16</f>
        <v>Expert 12</v>
      </c>
      <c r="I15">
        <f>SUM('1:31'!Q15)</f>
        <v>36</v>
      </c>
      <c r="J15">
        <f>SUM('1:31'!R15)</f>
        <v>2</v>
      </c>
      <c r="K15">
        <f t="shared" si="1"/>
        <v>38</v>
      </c>
      <c r="L15">
        <f>SUM('1:31'!X15)</f>
        <v>3323.9700000000003</v>
      </c>
      <c r="M15">
        <f>K15+11/100000</f>
        <v>38.000109999999999</v>
      </c>
    </row>
  </sheetData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/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5" t="s">
        <v>28</v>
      </c>
      <c r="B1" s="16"/>
      <c r="C1" s="16"/>
      <c r="D1" s="16"/>
      <c r="E1" s="16"/>
      <c r="F1" s="16"/>
      <c r="G1" s="16"/>
      <c r="H1" s="16"/>
      <c r="I1" s="16"/>
    </row>
    <row r="2" spans="1:9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8" t="s">
        <v>0</v>
      </c>
      <c r="B3" s="18" t="s">
        <v>23</v>
      </c>
      <c r="C3" s="18" t="s">
        <v>24</v>
      </c>
      <c r="D3" s="18" t="s">
        <v>29</v>
      </c>
      <c r="E3" s="18" t="s">
        <v>30</v>
      </c>
      <c r="F3" s="18" t="s">
        <v>31</v>
      </c>
      <c r="G3" s="18" t="s">
        <v>32</v>
      </c>
      <c r="H3" s="18" t="s">
        <v>33</v>
      </c>
      <c r="I3" s="18" t="s">
        <v>26</v>
      </c>
    </row>
    <row r="4" spans="1:9" x14ac:dyDescent="0.25">
      <c r="A4" s="20">
        <v>1</v>
      </c>
      <c r="B4" s="21">
        <f>'1'!Q16</f>
        <v>13</v>
      </c>
      <c r="C4" s="21">
        <f>'1'!R16</f>
        <v>1</v>
      </c>
      <c r="D4" s="21">
        <f>'1'!S16</f>
        <v>0</v>
      </c>
      <c r="E4" s="21">
        <f>'1'!T16</f>
        <v>7</v>
      </c>
      <c r="F4" s="21">
        <f>'1'!U16</f>
        <v>0</v>
      </c>
      <c r="G4" s="22">
        <f>'1'!V16</f>
        <v>101</v>
      </c>
      <c r="H4" s="21">
        <f>'1'!W16</f>
        <v>17</v>
      </c>
      <c r="I4" s="22">
        <f>'1'!X16</f>
        <v>1249.81</v>
      </c>
    </row>
    <row r="5" spans="1:9" x14ac:dyDescent="0.25">
      <c r="A5" s="20">
        <v>2</v>
      </c>
      <c r="B5" s="21">
        <f>'2'!Q16</f>
        <v>17</v>
      </c>
      <c r="C5" s="21">
        <f>'2'!R16</f>
        <v>4</v>
      </c>
      <c r="D5" s="21">
        <f>'2'!S16</f>
        <v>0</v>
      </c>
      <c r="E5" s="21">
        <f>'2'!T16</f>
        <v>11</v>
      </c>
      <c r="F5" s="21">
        <f>'2'!U16</f>
        <v>3</v>
      </c>
      <c r="G5" s="22">
        <f>'2'!V16</f>
        <v>246</v>
      </c>
      <c r="H5" s="21">
        <f>'2'!W16</f>
        <v>31</v>
      </c>
      <c r="I5" s="22">
        <f>'2'!X16</f>
        <v>1860.2599999999998</v>
      </c>
    </row>
    <row r="6" spans="1:9" x14ac:dyDescent="0.25">
      <c r="A6" s="20">
        <v>3</v>
      </c>
      <c r="B6" s="21">
        <f>'3'!Q16</f>
        <v>24</v>
      </c>
      <c r="C6" s="21">
        <f>'3'!R16</f>
        <v>2</v>
      </c>
      <c r="D6" s="21">
        <f>'3'!S16</f>
        <v>0</v>
      </c>
      <c r="E6" s="21">
        <f>'3'!T16</f>
        <v>7</v>
      </c>
      <c r="F6" s="21">
        <f>'3'!U16</f>
        <v>0</v>
      </c>
      <c r="G6" s="22">
        <f>'3'!V16</f>
        <v>225</v>
      </c>
      <c r="H6" s="21">
        <f>'3'!W16</f>
        <v>28</v>
      </c>
      <c r="I6" s="22">
        <f>'3'!X16</f>
        <v>1687.1200000000003</v>
      </c>
    </row>
    <row r="7" spans="1:9" x14ac:dyDescent="0.25">
      <c r="A7" s="20">
        <v>4</v>
      </c>
      <c r="B7" s="21">
        <f>'4'!Q16</f>
        <v>21</v>
      </c>
      <c r="C7" s="21">
        <f>'4'!R16</f>
        <v>1</v>
      </c>
      <c r="D7" s="21">
        <f>'4'!S16</f>
        <v>3</v>
      </c>
      <c r="E7" s="21">
        <f>'4'!T16</f>
        <v>3</v>
      </c>
      <c r="F7" s="21">
        <f>'4'!U16</f>
        <v>1</v>
      </c>
      <c r="G7" s="22">
        <f>'4'!V16</f>
        <v>262</v>
      </c>
      <c r="H7" s="21">
        <f>'4'!W16</f>
        <v>23</v>
      </c>
      <c r="I7" s="22">
        <f>'4'!X16</f>
        <v>1993.7700000000002</v>
      </c>
    </row>
    <row r="8" spans="1:9" x14ac:dyDescent="0.25">
      <c r="A8" s="20">
        <v>5</v>
      </c>
      <c r="B8" s="21">
        <f>'5'!Q16</f>
        <v>22</v>
      </c>
      <c r="C8" s="21">
        <f>'5'!R16</f>
        <v>5</v>
      </c>
      <c r="D8" s="21">
        <f>'5'!S16</f>
        <v>0</v>
      </c>
      <c r="E8" s="21">
        <f>'5'!T16</f>
        <v>12</v>
      </c>
      <c r="F8" s="21">
        <f>'5'!U16</f>
        <v>0</v>
      </c>
      <c r="G8" s="22">
        <f>'5'!V16</f>
        <v>216</v>
      </c>
      <c r="H8" s="21">
        <f>'5'!W16</f>
        <v>31</v>
      </c>
      <c r="I8" s="22">
        <f>'5'!X16</f>
        <v>2510.31</v>
      </c>
    </row>
    <row r="9" spans="1:9" x14ac:dyDescent="0.25">
      <c r="A9" s="20">
        <v>6</v>
      </c>
      <c r="B9" s="21">
        <f>'6'!Q16</f>
        <v>17</v>
      </c>
      <c r="C9" s="21">
        <f>'6'!R16</f>
        <v>4</v>
      </c>
      <c r="D9" s="21">
        <f>'6'!S16</f>
        <v>0</v>
      </c>
      <c r="E9" s="21">
        <f>'6'!T16</f>
        <v>6</v>
      </c>
      <c r="F9" s="21">
        <f>'6'!U16</f>
        <v>0</v>
      </c>
      <c r="G9" s="22">
        <f>'6'!V16</f>
        <v>253</v>
      </c>
      <c r="H9" s="21">
        <f>'6'!W16</f>
        <v>20</v>
      </c>
      <c r="I9" s="22">
        <f>'6'!X16</f>
        <v>1014.14</v>
      </c>
    </row>
    <row r="10" spans="1:9" x14ac:dyDescent="0.25">
      <c r="A10" s="20">
        <v>7</v>
      </c>
      <c r="B10" s="21">
        <f>'7'!Q16</f>
        <v>27</v>
      </c>
      <c r="C10" s="21">
        <f>'7'!R16</f>
        <v>1</v>
      </c>
      <c r="D10" s="21">
        <f>'7'!S16</f>
        <v>5</v>
      </c>
      <c r="E10" s="21">
        <f>'7'!T16</f>
        <v>8</v>
      </c>
      <c r="F10" s="21">
        <f>'7'!U16</f>
        <v>1</v>
      </c>
      <c r="G10" s="22">
        <f>'7'!V16</f>
        <v>199</v>
      </c>
      <c r="H10" s="21">
        <f>'7'!W16</f>
        <v>27</v>
      </c>
      <c r="I10" s="22">
        <f>'7'!X16</f>
        <v>1962.0300000000002</v>
      </c>
    </row>
    <row r="11" spans="1:9" x14ac:dyDescent="0.25">
      <c r="A11" s="20">
        <v>8</v>
      </c>
      <c r="B11" s="21">
        <f>'8'!Q16</f>
        <v>22</v>
      </c>
      <c r="C11" s="21">
        <f>'8'!R16</f>
        <v>1</v>
      </c>
      <c r="D11" s="21">
        <f>'8'!S16</f>
        <v>0</v>
      </c>
      <c r="E11" s="21">
        <f>'8'!T16</f>
        <v>11</v>
      </c>
      <c r="F11" s="21">
        <f>'8'!U16</f>
        <v>0</v>
      </c>
      <c r="G11" s="22">
        <f>'8'!V16</f>
        <v>103</v>
      </c>
      <c r="H11" s="21">
        <f>'8'!W16</f>
        <v>25</v>
      </c>
      <c r="I11" s="22">
        <f>'8'!X16</f>
        <v>1836.66</v>
      </c>
    </row>
    <row r="12" spans="1:9" x14ac:dyDescent="0.25">
      <c r="A12" s="20">
        <v>9</v>
      </c>
      <c r="B12" s="21">
        <f>'9'!Q16</f>
        <v>20</v>
      </c>
      <c r="C12" s="21">
        <f>'9'!R16</f>
        <v>3</v>
      </c>
      <c r="D12" s="21">
        <f>'9'!S16</f>
        <v>0</v>
      </c>
      <c r="E12" s="21">
        <f>'9'!T16</f>
        <v>11</v>
      </c>
      <c r="F12" s="21">
        <f>'9'!U16</f>
        <v>0</v>
      </c>
      <c r="G12" s="22">
        <f>'9'!V16</f>
        <v>306</v>
      </c>
      <c r="H12" s="21">
        <f>'9'!W16</f>
        <v>25</v>
      </c>
      <c r="I12" s="22">
        <f>'9'!X16</f>
        <v>1412.21</v>
      </c>
    </row>
    <row r="13" spans="1:9" x14ac:dyDescent="0.25">
      <c r="A13" s="20">
        <v>10</v>
      </c>
      <c r="B13" s="21">
        <f>'10'!Q16</f>
        <v>19</v>
      </c>
      <c r="C13" s="21">
        <f>'10'!R16</f>
        <v>2</v>
      </c>
      <c r="D13" s="21">
        <f>'10'!S16</f>
        <v>0</v>
      </c>
      <c r="E13" s="21">
        <f>'10'!T16</f>
        <v>5</v>
      </c>
      <c r="F13" s="21">
        <f>'10'!U16</f>
        <v>2</v>
      </c>
      <c r="G13" s="22">
        <f>'10'!V16</f>
        <v>200</v>
      </c>
      <c r="H13" s="21">
        <f>'10'!W16</f>
        <v>23</v>
      </c>
      <c r="I13" s="22">
        <f>'10'!X16</f>
        <v>1425.9199999999998</v>
      </c>
    </row>
    <row r="14" spans="1:9" x14ac:dyDescent="0.25">
      <c r="A14" s="20">
        <v>11</v>
      </c>
      <c r="B14" s="21">
        <f>'11'!Q16</f>
        <v>21</v>
      </c>
      <c r="C14" s="21">
        <f>'11'!R16</f>
        <v>3</v>
      </c>
      <c r="D14" s="21">
        <f>'11'!S16</f>
        <v>1</v>
      </c>
      <c r="E14" s="21">
        <f>'11'!T16</f>
        <v>7</v>
      </c>
      <c r="F14" s="21">
        <f>'11'!U16</f>
        <v>0</v>
      </c>
      <c r="G14" s="22">
        <f>'11'!V16</f>
        <v>180</v>
      </c>
      <c r="H14" s="21">
        <f>'11'!W16</f>
        <v>21</v>
      </c>
      <c r="I14" s="22">
        <f>'11'!X16</f>
        <v>1844.66</v>
      </c>
    </row>
    <row r="15" spans="1:9" x14ac:dyDescent="0.25">
      <c r="A15" s="20">
        <v>12</v>
      </c>
      <c r="B15" s="21">
        <f>'12'!Q16</f>
        <v>16</v>
      </c>
      <c r="C15" s="21">
        <f>'12'!R16</f>
        <v>3</v>
      </c>
      <c r="D15" s="21">
        <f>'12'!S16</f>
        <v>0</v>
      </c>
      <c r="E15" s="21">
        <f>'12'!T16</f>
        <v>8</v>
      </c>
      <c r="F15" s="21">
        <f>'12'!U16</f>
        <v>2</v>
      </c>
      <c r="G15" s="22">
        <f>'12'!V16</f>
        <v>218</v>
      </c>
      <c r="H15" s="21">
        <f>'12'!W16</f>
        <v>22</v>
      </c>
      <c r="I15" s="22">
        <f>'12'!X16</f>
        <v>1129.9099999999999</v>
      </c>
    </row>
    <row r="16" spans="1:9" x14ac:dyDescent="0.25">
      <c r="A16" s="20">
        <v>13</v>
      </c>
      <c r="B16" s="21">
        <f>'13'!Q16</f>
        <v>22</v>
      </c>
      <c r="C16" s="21">
        <f>'13'!R16</f>
        <v>5</v>
      </c>
      <c r="D16" s="21">
        <f>'13'!S16</f>
        <v>0</v>
      </c>
      <c r="E16" s="21">
        <f>'13'!T16</f>
        <v>6</v>
      </c>
      <c r="F16" s="21">
        <f>'13'!U16</f>
        <v>2</v>
      </c>
      <c r="G16" s="22">
        <f>'13'!V16</f>
        <v>288</v>
      </c>
      <c r="H16" s="21">
        <f>'13'!W16</f>
        <v>31</v>
      </c>
      <c r="I16" s="22">
        <f>'13'!X16</f>
        <v>2057</v>
      </c>
    </row>
    <row r="17" spans="1:9" x14ac:dyDescent="0.25">
      <c r="A17" s="20">
        <v>14</v>
      </c>
      <c r="B17" s="21">
        <f>'14'!Q16</f>
        <v>18</v>
      </c>
      <c r="C17" s="21">
        <f>'14'!R16</f>
        <v>1</v>
      </c>
      <c r="D17" s="21">
        <f>'14'!S16</f>
        <v>0</v>
      </c>
      <c r="E17" s="21">
        <f>'14'!T16</f>
        <v>5</v>
      </c>
      <c r="F17" s="21">
        <f>'14'!U16</f>
        <v>0</v>
      </c>
      <c r="G17" s="22">
        <f>'14'!V16</f>
        <v>184</v>
      </c>
      <c r="H17" s="21">
        <f>'14'!W16</f>
        <v>21</v>
      </c>
      <c r="I17" s="22">
        <f>'14'!X16</f>
        <v>1152.8599999999999</v>
      </c>
    </row>
    <row r="18" spans="1:9" x14ac:dyDescent="0.25">
      <c r="A18" s="20">
        <v>15</v>
      </c>
      <c r="B18" s="21">
        <f>'15'!Q16</f>
        <v>18</v>
      </c>
      <c r="C18" s="21">
        <f>'15'!R16</f>
        <v>0</v>
      </c>
      <c r="D18" s="21">
        <f>'15'!S16</f>
        <v>0</v>
      </c>
      <c r="E18" s="21">
        <f>'15'!T16</f>
        <v>8</v>
      </c>
      <c r="F18" s="21">
        <f>'15'!U16</f>
        <v>1</v>
      </c>
      <c r="G18" s="22">
        <f>'15'!V16</f>
        <v>219</v>
      </c>
      <c r="H18" s="21">
        <f>'15'!W16</f>
        <v>18</v>
      </c>
      <c r="I18" s="22">
        <f>'15'!X16</f>
        <v>920.11000000000013</v>
      </c>
    </row>
    <row r="19" spans="1:9" x14ac:dyDescent="0.25">
      <c r="A19" s="20">
        <v>16</v>
      </c>
      <c r="B19" s="21">
        <f>'16'!Q16</f>
        <v>19</v>
      </c>
      <c r="C19" s="21">
        <f>'16'!R16</f>
        <v>2</v>
      </c>
      <c r="D19" s="21">
        <f>'16'!S16</f>
        <v>0</v>
      </c>
      <c r="E19" s="21">
        <f>'16'!T16</f>
        <v>9</v>
      </c>
      <c r="F19" s="21">
        <f>'16'!U16</f>
        <v>2</v>
      </c>
      <c r="G19" s="22">
        <f>'16'!V16</f>
        <v>251</v>
      </c>
      <c r="H19" s="21">
        <f>'16'!W16</f>
        <v>25</v>
      </c>
      <c r="I19" s="22">
        <f>'16'!X16</f>
        <v>1146.0400000000002</v>
      </c>
    </row>
    <row r="20" spans="1:9" x14ac:dyDescent="0.25">
      <c r="A20" s="20">
        <v>17</v>
      </c>
      <c r="B20" s="21">
        <f>'17'!Q16</f>
        <v>14</v>
      </c>
      <c r="C20" s="21">
        <f>'17'!R16</f>
        <v>4</v>
      </c>
      <c r="D20" s="21">
        <f>'17'!S16</f>
        <v>1</v>
      </c>
      <c r="E20" s="21">
        <f>'17'!T16</f>
        <v>8</v>
      </c>
      <c r="F20" s="21">
        <f>'17'!U16</f>
        <v>1</v>
      </c>
      <c r="G20" s="22">
        <f>'17'!V16</f>
        <v>130</v>
      </c>
      <c r="H20" s="21">
        <f>'17'!W16</f>
        <v>22</v>
      </c>
      <c r="I20" s="22">
        <f>'17'!X16</f>
        <v>1637.2200000000003</v>
      </c>
    </row>
    <row r="21" spans="1:9" x14ac:dyDescent="0.25">
      <c r="A21" s="20">
        <v>18</v>
      </c>
      <c r="B21" s="21">
        <f>'18'!Q16</f>
        <v>15</v>
      </c>
      <c r="C21" s="21">
        <f>'18'!R16</f>
        <v>2</v>
      </c>
      <c r="D21" s="21">
        <f>'18'!S16</f>
        <v>0</v>
      </c>
      <c r="E21" s="21">
        <f>'18'!T16</f>
        <v>5</v>
      </c>
      <c r="F21" s="21">
        <f>'18'!U16</f>
        <v>0</v>
      </c>
      <c r="G21" s="22">
        <f>'18'!V16</f>
        <v>163</v>
      </c>
      <c r="H21" s="21">
        <f>'18'!W16</f>
        <v>16</v>
      </c>
      <c r="I21" s="22">
        <f>'18'!X16</f>
        <v>1175.45</v>
      </c>
    </row>
    <row r="22" spans="1:9" x14ac:dyDescent="0.25">
      <c r="A22" s="20">
        <v>19</v>
      </c>
      <c r="B22" s="21">
        <f>'19'!Q16</f>
        <v>13</v>
      </c>
      <c r="C22" s="21">
        <f>'19'!R16</f>
        <v>3</v>
      </c>
      <c r="D22" s="21">
        <f>'19'!S16</f>
        <v>3</v>
      </c>
      <c r="E22" s="21">
        <f>'19'!T16</f>
        <v>4</v>
      </c>
      <c r="F22" s="21">
        <f>'19'!U16</f>
        <v>1</v>
      </c>
      <c r="G22" s="22">
        <f>'19'!V16</f>
        <v>228</v>
      </c>
      <c r="H22" s="21">
        <f>'19'!W16</f>
        <v>19</v>
      </c>
      <c r="I22" s="22">
        <f>'19'!X16</f>
        <v>1222.8899999999999</v>
      </c>
    </row>
    <row r="23" spans="1:9" x14ac:dyDescent="0.25">
      <c r="A23" s="20">
        <v>20</v>
      </c>
      <c r="B23" s="21">
        <f>'20'!Q16</f>
        <v>20</v>
      </c>
      <c r="C23" s="21">
        <f>'20'!R16</f>
        <v>1</v>
      </c>
      <c r="D23" s="21">
        <f>'20'!S16</f>
        <v>0</v>
      </c>
      <c r="E23" s="21">
        <f>'20'!T16</f>
        <v>7</v>
      </c>
      <c r="F23" s="21">
        <f>'20'!U16</f>
        <v>0</v>
      </c>
      <c r="G23" s="22">
        <f>'20'!V16</f>
        <v>222</v>
      </c>
      <c r="H23" s="21">
        <f>'20'!W16</f>
        <v>20</v>
      </c>
      <c r="I23" s="22">
        <f>'20'!X16</f>
        <v>1578.53</v>
      </c>
    </row>
    <row r="24" spans="1:9" x14ac:dyDescent="0.25">
      <c r="A24" s="20">
        <v>21</v>
      </c>
      <c r="B24" s="21">
        <f>'21'!Q16</f>
        <v>23</v>
      </c>
      <c r="C24" s="21">
        <f>'21'!R16</f>
        <v>5</v>
      </c>
      <c r="D24" s="21">
        <f>'21'!S16</f>
        <v>1</v>
      </c>
      <c r="E24" s="21">
        <f>'21'!T16</f>
        <v>10</v>
      </c>
      <c r="F24" s="21">
        <f>'21'!U16</f>
        <v>2</v>
      </c>
      <c r="G24" s="22">
        <f>'21'!V16</f>
        <v>263</v>
      </c>
      <c r="H24" s="21">
        <f>'21'!W16</f>
        <v>28</v>
      </c>
      <c r="I24" s="22">
        <f>'21'!X16</f>
        <v>2189.88</v>
      </c>
    </row>
    <row r="25" spans="1:9" x14ac:dyDescent="0.25">
      <c r="A25" s="20">
        <v>22</v>
      </c>
      <c r="B25" s="21">
        <f>'22'!Q16</f>
        <v>23</v>
      </c>
      <c r="C25" s="21">
        <f>'22'!R16</f>
        <v>3</v>
      </c>
      <c r="D25" s="21">
        <f>'22'!S16</f>
        <v>1</v>
      </c>
      <c r="E25" s="21">
        <f>'22'!T16</f>
        <v>8</v>
      </c>
      <c r="F25" s="21">
        <f>'22'!U16</f>
        <v>2</v>
      </c>
      <c r="G25" s="22">
        <f>'22'!V16</f>
        <v>250</v>
      </c>
      <c r="H25" s="21">
        <f>'22'!W16</f>
        <v>28</v>
      </c>
      <c r="I25" s="22">
        <f>'22'!X16</f>
        <v>2311.62</v>
      </c>
    </row>
    <row r="26" spans="1:9" x14ac:dyDescent="0.25">
      <c r="A26" s="20">
        <v>23</v>
      </c>
      <c r="B26" s="21">
        <f>'23'!Q16</f>
        <v>16</v>
      </c>
      <c r="C26" s="21">
        <f>'23'!R16</f>
        <v>2</v>
      </c>
      <c r="D26" s="21">
        <f>'23'!S16</f>
        <v>3</v>
      </c>
      <c r="E26" s="21">
        <f>'23'!T16</f>
        <v>7</v>
      </c>
      <c r="F26" s="21">
        <f>'23'!U16</f>
        <v>1</v>
      </c>
      <c r="G26" s="22">
        <f>'23'!V16</f>
        <v>129</v>
      </c>
      <c r="H26" s="21">
        <f>'23'!W16</f>
        <v>22</v>
      </c>
      <c r="I26" s="22">
        <f>'23'!X16</f>
        <v>1515.93</v>
      </c>
    </row>
    <row r="27" spans="1:9" x14ac:dyDescent="0.25">
      <c r="A27" s="20">
        <v>24</v>
      </c>
      <c r="B27" s="21">
        <f>'24'!Q16</f>
        <v>10</v>
      </c>
      <c r="C27" s="21">
        <f>'24'!R16</f>
        <v>4</v>
      </c>
      <c r="D27" s="21">
        <f>'24'!S16</f>
        <v>0</v>
      </c>
      <c r="E27" s="21">
        <f>'24'!T16</f>
        <v>6</v>
      </c>
      <c r="F27" s="21">
        <f>'24'!U16</f>
        <v>1</v>
      </c>
      <c r="G27" s="22">
        <f>'24'!V16</f>
        <v>132</v>
      </c>
      <c r="H27" s="21">
        <f>'24'!W16</f>
        <v>16</v>
      </c>
      <c r="I27" s="22">
        <f>'24'!X16</f>
        <v>1021.8799999999999</v>
      </c>
    </row>
    <row r="28" spans="1:9" x14ac:dyDescent="0.25">
      <c r="A28" s="20">
        <v>25</v>
      </c>
      <c r="B28" s="21">
        <f>'25'!Q16</f>
        <v>20</v>
      </c>
      <c r="C28" s="21">
        <f>'25'!R16</f>
        <v>2</v>
      </c>
      <c r="D28" s="21">
        <f>'25'!S16</f>
        <v>0</v>
      </c>
      <c r="E28" s="21">
        <f>'25'!T16</f>
        <v>7</v>
      </c>
      <c r="F28" s="21">
        <f>'25'!U16</f>
        <v>1</v>
      </c>
      <c r="G28" s="22">
        <f>'25'!V16</f>
        <v>257</v>
      </c>
      <c r="H28" s="21">
        <f>'25'!W16</f>
        <v>25</v>
      </c>
      <c r="I28" s="22">
        <f>'25'!X16</f>
        <v>1594.7700000000002</v>
      </c>
    </row>
    <row r="29" spans="1:9" x14ac:dyDescent="0.25">
      <c r="A29" s="20">
        <v>26</v>
      </c>
      <c r="B29" s="21">
        <f>'26'!Q16</f>
        <v>15</v>
      </c>
      <c r="C29" s="21">
        <f>'26'!R16</f>
        <v>2</v>
      </c>
      <c r="D29" s="21">
        <f>'26'!S16</f>
        <v>0</v>
      </c>
      <c r="E29" s="21">
        <f>'26'!T16</f>
        <v>3</v>
      </c>
      <c r="F29" s="21">
        <f>'26'!U16</f>
        <v>0</v>
      </c>
      <c r="G29" s="22">
        <f>'26'!V16</f>
        <v>312</v>
      </c>
      <c r="H29" s="21">
        <f>'26'!W16</f>
        <v>17</v>
      </c>
      <c r="I29" s="22">
        <f>'26'!X16</f>
        <v>789.03</v>
      </c>
    </row>
    <row r="30" spans="1:9" x14ac:dyDescent="0.25">
      <c r="A30" s="20">
        <v>27</v>
      </c>
      <c r="B30" s="21">
        <f>'27'!Q16</f>
        <v>21</v>
      </c>
      <c r="C30" s="21">
        <f>'27'!R16</f>
        <v>6</v>
      </c>
      <c r="D30" s="21">
        <f>'27'!S16</f>
        <v>1</v>
      </c>
      <c r="E30" s="21">
        <f>'27'!T16</f>
        <v>6</v>
      </c>
      <c r="F30" s="21">
        <f>'27'!U16</f>
        <v>3</v>
      </c>
      <c r="G30" s="22">
        <f>'27'!V16</f>
        <v>285</v>
      </c>
      <c r="H30" s="21">
        <f>'27'!W16</f>
        <v>27</v>
      </c>
      <c r="I30" s="22">
        <f>'27'!X16</f>
        <v>2238.67</v>
      </c>
    </row>
    <row r="31" spans="1:9" x14ac:dyDescent="0.25">
      <c r="A31" s="20">
        <v>28</v>
      </c>
      <c r="B31" s="21">
        <f>'28'!Q16</f>
        <v>21</v>
      </c>
      <c r="C31" s="21">
        <f>'28'!R16</f>
        <v>2</v>
      </c>
      <c r="D31" s="21">
        <f>'28'!S16</f>
        <v>0</v>
      </c>
      <c r="E31" s="21">
        <f>'28'!T16</f>
        <v>6</v>
      </c>
      <c r="F31" s="21">
        <f>'28'!U16</f>
        <v>2</v>
      </c>
      <c r="G31" s="22">
        <f>'28'!V16</f>
        <v>121</v>
      </c>
      <c r="H31" s="21">
        <f>'28'!W16</f>
        <v>26</v>
      </c>
      <c r="I31" s="22">
        <f>'28'!X16</f>
        <v>1777.85</v>
      </c>
    </row>
    <row r="32" spans="1:9" x14ac:dyDescent="0.25">
      <c r="A32" s="20">
        <v>29</v>
      </c>
      <c r="B32" s="21">
        <f>'29'!Q16</f>
        <v>17</v>
      </c>
      <c r="C32" s="21">
        <f>'29'!R16</f>
        <v>5</v>
      </c>
      <c r="D32" s="21">
        <f>'29'!S16</f>
        <v>2</v>
      </c>
      <c r="E32" s="21">
        <f>'29'!T16</f>
        <v>10</v>
      </c>
      <c r="F32" s="21">
        <f>'29'!U16</f>
        <v>2</v>
      </c>
      <c r="G32" s="22">
        <f>'29'!V16</f>
        <v>296</v>
      </c>
      <c r="H32" s="21">
        <f>'29'!W16</f>
        <v>24</v>
      </c>
      <c r="I32" s="22">
        <f>'29'!X16</f>
        <v>791.30000000000018</v>
      </c>
    </row>
    <row r="33" spans="1:9" x14ac:dyDescent="0.25">
      <c r="A33" s="20">
        <v>30</v>
      </c>
      <c r="B33" s="21">
        <f>'30'!Q16</f>
        <v>23</v>
      </c>
      <c r="C33" s="21">
        <f>'30'!R16</f>
        <v>5</v>
      </c>
      <c r="D33" s="21">
        <f>'30'!S16</f>
        <v>1</v>
      </c>
      <c r="E33" s="21">
        <f>'30'!T16</f>
        <v>8</v>
      </c>
      <c r="F33" s="21">
        <f>'30'!U16</f>
        <v>1</v>
      </c>
      <c r="G33" s="22">
        <f>'30'!V16</f>
        <v>209</v>
      </c>
      <c r="H33" s="21">
        <f>'30'!W16</f>
        <v>24</v>
      </c>
      <c r="I33" s="22">
        <f>'30'!X16</f>
        <v>1334.5799999999997</v>
      </c>
    </row>
    <row r="34" spans="1:9" x14ac:dyDescent="0.25">
      <c r="A34" s="20">
        <v>31</v>
      </c>
      <c r="B34" s="21">
        <f>'31'!Q16</f>
        <v>16</v>
      </c>
      <c r="C34" s="21">
        <f>'31'!R16</f>
        <v>1</v>
      </c>
      <c r="D34" s="21">
        <f>'31'!S16</f>
        <v>0</v>
      </c>
      <c r="E34" s="21">
        <f>'31'!T16</f>
        <v>6</v>
      </c>
      <c r="F34" s="21">
        <f>'31'!U16</f>
        <v>0</v>
      </c>
      <c r="G34" s="22">
        <f>'31'!V16</f>
        <v>254</v>
      </c>
      <c r="H34" s="21">
        <f>'31'!W16</f>
        <v>16</v>
      </c>
      <c r="I34" s="22">
        <f>'31'!X16</f>
        <v>1358.56</v>
      </c>
    </row>
  </sheetData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showGridLines="0" workbookViewId="0"/>
  </sheetViews>
  <sheetFormatPr defaultRowHeight="15" x14ac:dyDescent="0.25"/>
  <cols>
    <col min="1" max="5" width="14" customWidth="1"/>
  </cols>
  <sheetData>
    <row r="1" spans="1:8" ht="24" customHeight="1" x14ac:dyDescent="0.25">
      <c r="A1" s="15" t="s">
        <v>34</v>
      </c>
      <c r="B1" s="16"/>
      <c r="C1" s="16"/>
      <c r="D1" s="16"/>
      <c r="E1" s="16"/>
    </row>
    <row r="2" spans="1:8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</row>
    <row r="3" spans="1:8" x14ac:dyDescent="0.25">
      <c r="A3" s="18" t="s">
        <v>35</v>
      </c>
      <c r="B3" s="18" t="s">
        <v>36</v>
      </c>
      <c r="C3" s="18" t="s">
        <v>37</v>
      </c>
      <c r="D3" s="18" t="s">
        <v>38</v>
      </c>
      <c r="E3" s="18" t="s">
        <v>39</v>
      </c>
    </row>
    <row r="4" spans="1:8" x14ac:dyDescent="0.25">
      <c r="A4" s="20" t="s">
        <v>23</v>
      </c>
      <c r="B4" s="21">
        <f>SUM('1:31'!Q16)</f>
        <v>583</v>
      </c>
      <c r="C4" s="21">
        <f>Setup!$F$5</f>
        <v>555</v>
      </c>
      <c r="D4" s="23">
        <f t="shared" ref="D4:D11" si="0">IFERROR(B4/C4,0)</f>
        <v>1.0504504504504504</v>
      </c>
      <c r="E4" s="21">
        <f t="shared" ref="E4:E11" si="1">B4-C4</f>
        <v>28</v>
      </c>
    </row>
    <row r="5" spans="1:8" x14ac:dyDescent="0.25">
      <c r="A5" s="20" t="s">
        <v>24</v>
      </c>
      <c r="B5" s="21">
        <f>SUM('1:31'!R16)</f>
        <v>85</v>
      </c>
      <c r="C5" s="21">
        <f>Setup!$F$6</f>
        <v>90</v>
      </c>
      <c r="D5" s="23">
        <f t="shared" si="0"/>
        <v>0.94444444444444442</v>
      </c>
      <c r="E5" s="21">
        <f t="shared" si="1"/>
        <v>-5</v>
      </c>
    </row>
    <row r="6" spans="1:8" x14ac:dyDescent="0.25">
      <c r="A6" s="20" t="s">
        <v>29</v>
      </c>
      <c r="B6" s="21">
        <f>SUM('1:31'!S16)</f>
        <v>22</v>
      </c>
      <c r="C6" s="21">
        <f>Setup!$F$7</f>
        <v>20</v>
      </c>
      <c r="D6" s="23">
        <f t="shared" si="0"/>
        <v>1.1000000000000001</v>
      </c>
      <c r="E6" s="21">
        <f t="shared" si="1"/>
        <v>2</v>
      </c>
    </row>
    <row r="7" spans="1:8" x14ac:dyDescent="0.25">
      <c r="A7" s="20" t="s">
        <v>30</v>
      </c>
      <c r="B7" s="21">
        <f>SUM('1:31'!T16)</f>
        <v>225</v>
      </c>
      <c r="C7" s="21">
        <f>Setup!$F$8</f>
        <v>235</v>
      </c>
      <c r="D7" s="23">
        <f t="shared" si="0"/>
        <v>0.95744680851063835</v>
      </c>
      <c r="E7" s="21">
        <f t="shared" si="1"/>
        <v>-10</v>
      </c>
    </row>
    <row r="8" spans="1:8" x14ac:dyDescent="0.25">
      <c r="A8" s="20" t="s">
        <v>31</v>
      </c>
      <c r="B8" s="21">
        <f>SUM('1:31'!U16)</f>
        <v>31</v>
      </c>
      <c r="C8" s="21">
        <f>Setup!$F$9</f>
        <v>30</v>
      </c>
      <c r="D8" s="23">
        <f t="shared" si="0"/>
        <v>1.0333333333333334</v>
      </c>
      <c r="E8" s="21">
        <f t="shared" si="1"/>
        <v>1</v>
      </c>
    </row>
    <row r="9" spans="1:8" x14ac:dyDescent="0.25">
      <c r="A9" s="20" t="s">
        <v>32</v>
      </c>
      <c r="B9" s="22">
        <f>SUM('1:31'!V16)</f>
        <v>6702</v>
      </c>
      <c r="C9" s="22">
        <f>Setup!$F$10</f>
        <v>6600</v>
      </c>
      <c r="D9" s="23">
        <f t="shared" si="0"/>
        <v>1.0154545454545454</v>
      </c>
      <c r="E9" s="22">
        <f t="shared" si="1"/>
        <v>102</v>
      </c>
    </row>
    <row r="10" spans="1:8" x14ac:dyDescent="0.25">
      <c r="A10" s="20" t="s">
        <v>33</v>
      </c>
      <c r="B10" s="21">
        <f>SUM('1:31'!W16)</f>
        <v>718</v>
      </c>
      <c r="C10" s="21">
        <f>Setup!$F$11</f>
        <v>675</v>
      </c>
      <c r="D10" s="23">
        <f t="shared" si="0"/>
        <v>1.0637037037037036</v>
      </c>
      <c r="E10" s="21">
        <f t="shared" si="1"/>
        <v>43</v>
      </c>
    </row>
    <row r="11" spans="1:8" x14ac:dyDescent="0.25">
      <c r="A11" s="20" t="s">
        <v>26</v>
      </c>
      <c r="B11" s="22">
        <f>SUM('1:31'!X16)</f>
        <v>47740.969999999994</v>
      </c>
      <c r="C11" s="22">
        <f>Setup!$F$12</f>
        <v>48700</v>
      </c>
      <c r="D11" s="23">
        <f t="shared" si="0"/>
        <v>0.98030739219712515</v>
      </c>
      <c r="E11" s="22">
        <f t="shared" si="1"/>
        <v>-959.03000000000611</v>
      </c>
    </row>
  </sheetData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workbookViewId="0"/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9" ht="24" customHeight="1" x14ac:dyDescent="0.25">
      <c r="A1" s="15" t="s">
        <v>40</v>
      </c>
      <c r="B1" s="16"/>
      <c r="C1" s="16"/>
      <c r="D1" s="16"/>
      <c r="E1" s="16"/>
      <c r="F1" s="16"/>
    </row>
    <row r="2" spans="1:9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4" spans="1:9" x14ac:dyDescent="0.25">
      <c r="A4" s="18" t="s">
        <v>41</v>
      </c>
      <c r="C4" s="18" t="s">
        <v>42</v>
      </c>
      <c r="E4" s="18" t="s">
        <v>35</v>
      </c>
      <c r="F4" s="18" t="s">
        <v>37</v>
      </c>
    </row>
    <row r="5" spans="1:9" x14ac:dyDescent="0.25">
      <c r="A5" s="21" t="s">
        <v>43</v>
      </c>
      <c r="C5" s="21" t="s">
        <v>44</v>
      </c>
      <c r="E5" s="21" t="s">
        <v>23</v>
      </c>
      <c r="F5" s="21">
        <v>555</v>
      </c>
    </row>
    <row r="6" spans="1:9" x14ac:dyDescent="0.25">
      <c r="A6" s="21" t="s">
        <v>45</v>
      </c>
      <c r="C6" s="21" t="s">
        <v>46</v>
      </c>
      <c r="E6" s="21" t="s">
        <v>24</v>
      </c>
      <c r="F6" s="21">
        <v>90</v>
      </c>
    </row>
    <row r="7" spans="1:9" x14ac:dyDescent="0.25">
      <c r="A7" s="21" t="s">
        <v>47</v>
      </c>
      <c r="C7" s="21" t="s">
        <v>48</v>
      </c>
      <c r="E7" s="21" t="s">
        <v>29</v>
      </c>
      <c r="F7" s="21">
        <v>20</v>
      </c>
    </row>
    <row r="8" spans="1:9" x14ac:dyDescent="0.25">
      <c r="A8" s="21" t="s">
        <v>49</v>
      </c>
      <c r="C8" s="21" t="s">
        <v>50</v>
      </c>
      <c r="E8" s="21" t="s">
        <v>30</v>
      </c>
      <c r="F8" s="21">
        <v>235</v>
      </c>
    </row>
    <row r="9" spans="1:9" x14ac:dyDescent="0.25">
      <c r="A9" s="21" t="s">
        <v>51</v>
      </c>
      <c r="C9" s="21" t="s">
        <v>52</v>
      </c>
      <c r="E9" s="21" t="s">
        <v>31</v>
      </c>
      <c r="F9" s="21">
        <v>30</v>
      </c>
    </row>
    <row r="10" spans="1:9" x14ac:dyDescent="0.25">
      <c r="A10" s="21" t="s">
        <v>53</v>
      </c>
      <c r="C10" s="21" t="s">
        <v>54</v>
      </c>
      <c r="E10" s="21" t="s">
        <v>32</v>
      </c>
      <c r="F10" s="22">
        <v>6600</v>
      </c>
    </row>
    <row r="11" spans="1:9" x14ac:dyDescent="0.25">
      <c r="A11" s="21" t="s">
        <v>55</v>
      </c>
      <c r="C11" s="21" t="s">
        <v>56</v>
      </c>
      <c r="E11" s="21" t="s">
        <v>33</v>
      </c>
      <c r="F11" s="21">
        <v>675</v>
      </c>
    </row>
    <row r="12" spans="1:9" x14ac:dyDescent="0.25">
      <c r="A12" s="21" t="s">
        <v>57</v>
      </c>
      <c r="C12" s="21" t="s">
        <v>58</v>
      </c>
      <c r="E12" s="21" t="s">
        <v>26</v>
      </c>
      <c r="F12" s="22">
        <v>48700</v>
      </c>
    </row>
    <row r="13" spans="1:9" x14ac:dyDescent="0.25">
      <c r="A13" s="21" t="s">
        <v>59</v>
      </c>
      <c r="C13" s="21" t="s">
        <v>60</v>
      </c>
    </row>
    <row r="14" spans="1:9" x14ac:dyDescent="0.25">
      <c r="A14" s="21" t="s">
        <v>61</v>
      </c>
      <c r="C14" s="21" t="s">
        <v>62</v>
      </c>
    </row>
    <row r="15" spans="1:9" x14ac:dyDescent="0.25">
      <c r="A15" s="21" t="s">
        <v>63</v>
      </c>
      <c r="C15" s="21" t="s">
        <v>64</v>
      </c>
    </row>
    <row r="16" spans="1:9" x14ac:dyDescent="0.25">
      <c r="A16" s="21" t="s">
        <v>65</v>
      </c>
      <c r="C16" s="21" t="s">
        <v>66</v>
      </c>
    </row>
    <row r="17" spans="3:3" x14ac:dyDescent="0.25">
      <c r="C17" s="21" t="s">
        <v>67</v>
      </c>
    </row>
    <row r="18" spans="3:3" x14ac:dyDescent="0.25">
      <c r="C18" s="21" t="s">
        <v>68</v>
      </c>
    </row>
    <row r="19" spans="3:3" x14ac:dyDescent="0.25">
      <c r="C19" s="21" t="s">
        <v>69</v>
      </c>
    </row>
    <row r="20" spans="3:3" x14ac:dyDescent="0.25">
      <c r="C20" s="21" t="s">
        <v>70</v>
      </c>
    </row>
    <row r="21" spans="3:3" x14ac:dyDescent="0.25">
      <c r="C21" s="21" t="s">
        <v>71</v>
      </c>
    </row>
    <row r="22" spans="3:3" x14ac:dyDescent="0.25">
      <c r="C22" s="21" t="s">
        <v>72</v>
      </c>
    </row>
    <row r="23" spans="3:3" x14ac:dyDescent="0.25">
      <c r="C23" s="21" t="s">
        <v>73</v>
      </c>
    </row>
    <row r="24" spans="3:3" x14ac:dyDescent="0.25">
      <c r="C24" s="21" t="s">
        <v>74</v>
      </c>
    </row>
    <row r="25" spans="3:3" x14ac:dyDescent="0.25">
      <c r="C25" s="21" t="s">
        <v>75</v>
      </c>
    </row>
    <row r="26" spans="3:3" x14ac:dyDescent="0.25">
      <c r="C26" s="21" t="s">
        <v>76</v>
      </c>
    </row>
    <row r="27" spans="3:3" x14ac:dyDescent="0.25">
      <c r="C27" s="21" t="s">
        <v>77</v>
      </c>
    </row>
    <row r="28" spans="3:3" x14ac:dyDescent="0.25">
      <c r="C28" s="21" t="s">
        <v>78</v>
      </c>
    </row>
    <row r="29" spans="3:3" x14ac:dyDescent="0.25">
      <c r="C29" s="21" t="s">
        <v>79</v>
      </c>
    </row>
    <row r="30" spans="3:3" x14ac:dyDescent="0.25">
      <c r="C30" s="21" t="s">
        <v>80</v>
      </c>
    </row>
    <row r="33" spans="1:6" ht="14.1" customHeight="1" x14ac:dyDescent="0.25">
      <c r="A33" s="55" t="s">
        <v>81</v>
      </c>
      <c r="B33" s="56"/>
      <c r="C33" s="56"/>
      <c r="D33" s="56"/>
      <c r="E33" s="56"/>
      <c r="F33" s="56"/>
    </row>
    <row r="34" spans="1:6" ht="14.1" customHeight="1" x14ac:dyDescent="0.25">
      <c r="A34" s="56"/>
      <c r="B34" s="56"/>
      <c r="C34" s="56"/>
      <c r="D34" s="56"/>
      <c r="E34" s="56"/>
      <c r="F34" s="56"/>
    </row>
    <row r="35" spans="1:6" ht="14.1" customHeight="1" x14ac:dyDescent="0.25">
      <c r="A35" s="56"/>
      <c r="B35" s="56"/>
      <c r="C35" s="56"/>
      <c r="D35" s="56"/>
      <c r="E35" s="56"/>
      <c r="F35" s="56"/>
    </row>
    <row r="36" spans="1:6" ht="14.1" customHeight="1" x14ac:dyDescent="0.25">
      <c r="A36" s="56"/>
      <c r="B36" s="56"/>
      <c r="C36" s="56"/>
      <c r="D36" s="56"/>
      <c r="E36" s="56"/>
      <c r="F36" s="56"/>
    </row>
    <row r="37" spans="1:6" ht="14.1" customHeight="1" x14ac:dyDescent="0.25">
      <c r="A37" s="56"/>
      <c r="B37" s="56"/>
      <c r="C37" s="56"/>
      <c r="D37" s="56"/>
      <c r="E37" s="56"/>
      <c r="F37" s="56"/>
    </row>
    <row r="38" spans="1:6" ht="14.1" customHeight="1" x14ac:dyDescent="0.25">
      <c r="A38" s="56"/>
      <c r="B38" s="56"/>
      <c r="C38" s="56"/>
      <c r="D38" s="56"/>
      <c r="E38" s="56"/>
      <c r="F38" s="56"/>
    </row>
    <row r="39" spans="1:6" ht="14.1" customHeight="1" x14ac:dyDescent="0.25">
      <c r="A39" s="56"/>
      <c r="B39" s="56"/>
      <c r="C39" s="56"/>
      <c r="D39" s="56"/>
      <c r="E39" s="56"/>
      <c r="F39" s="56"/>
    </row>
    <row r="40" spans="1:6" ht="14.1" customHeight="1" x14ac:dyDescent="0.25">
      <c r="A40" s="56"/>
      <c r="B40" s="56"/>
      <c r="C40" s="56"/>
      <c r="D40" s="56"/>
      <c r="E40" s="56"/>
      <c r="F40" s="56"/>
    </row>
    <row r="41" spans="1:6" ht="14.1" customHeight="1" x14ac:dyDescent="0.25">
      <c r="A41" s="56"/>
      <c r="B41" s="56"/>
      <c r="C41" s="56"/>
      <c r="D41" s="56"/>
      <c r="E41" s="56"/>
      <c r="F41" s="56"/>
    </row>
  </sheetData>
  <mergeCells count="1">
    <mergeCell ref="A33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88</v>
      </c>
      <c r="C4" s="24" t="s">
        <v>89</v>
      </c>
      <c r="D4" s="24" t="s">
        <v>64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16</v>
      </c>
      <c r="K4" s="24">
        <v>1</v>
      </c>
      <c r="L4" s="25">
        <v>29.01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61.61</v>
      </c>
    </row>
    <row r="5" spans="1:24" x14ac:dyDescent="0.25">
      <c r="A5" s="24" t="s">
        <v>65</v>
      </c>
      <c r="B5" s="24" t="s">
        <v>91</v>
      </c>
      <c r="C5" s="24" t="s">
        <v>92</v>
      </c>
      <c r="D5" s="24" t="s">
        <v>58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10.3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1</v>
      </c>
      <c r="X5" s="26">
        <f t="shared" si="7"/>
        <v>144.34</v>
      </c>
    </row>
    <row r="6" spans="1:24" x14ac:dyDescent="0.25">
      <c r="A6" s="24" t="s">
        <v>47</v>
      </c>
      <c r="B6" s="24" t="s">
        <v>93</v>
      </c>
      <c r="C6" s="24" t="s">
        <v>94</v>
      </c>
      <c r="D6" s="24" t="s">
        <v>70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63</v>
      </c>
      <c r="B7" s="24" t="s">
        <v>95</v>
      </c>
      <c r="C7" s="24" t="s">
        <v>96</v>
      </c>
      <c r="D7" s="24" t="s">
        <v>77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69.209999999999994</v>
      </c>
    </row>
    <row r="8" spans="1:24" x14ac:dyDescent="0.25">
      <c r="A8" s="24" t="s">
        <v>57</v>
      </c>
      <c r="B8" s="24" t="s">
        <v>97</v>
      </c>
      <c r="C8" s="24" t="s">
        <v>98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87.29</v>
      </c>
    </row>
    <row r="9" spans="1:24" x14ac:dyDescent="0.25">
      <c r="A9" s="24" t="s">
        <v>53</v>
      </c>
      <c r="B9" s="24" t="s">
        <v>99</v>
      </c>
      <c r="C9" s="24" t="s">
        <v>100</v>
      </c>
      <c r="D9" s="24" t="s">
        <v>79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0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15</v>
      </c>
      <c r="W9" s="21">
        <f t="shared" si="6"/>
        <v>1</v>
      </c>
      <c r="X9" s="26">
        <f t="shared" si="7"/>
        <v>150.51</v>
      </c>
    </row>
    <row r="10" spans="1:24" x14ac:dyDescent="0.25">
      <c r="A10" s="24" t="s">
        <v>65</v>
      </c>
      <c r="B10" s="24" t="s">
        <v>101</v>
      </c>
      <c r="C10" s="24" t="s">
        <v>102</v>
      </c>
      <c r="D10" s="24" t="s">
        <v>46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15</v>
      </c>
      <c r="K10" s="24">
        <v>1</v>
      </c>
      <c r="L10" s="25">
        <v>156.04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24.83</v>
      </c>
    </row>
    <row r="11" spans="1:24" x14ac:dyDescent="0.25">
      <c r="A11" s="24" t="s">
        <v>55</v>
      </c>
      <c r="B11" s="24" t="s">
        <v>103</v>
      </c>
      <c r="C11" s="24" t="s">
        <v>104</v>
      </c>
      <c r="D11" s="24" t="s">
        <v>71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24.83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49</v>
      </c>
      <c r="B12" s="24" t="s">
        <v>105</v>
      </c>
      <c r="C12" s="24" t="s">
        <v>106</v>
      </c>
      <c r="D12" s="24" t="s">
        <v>60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69.209999999999994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16</v>
      </c>
      <c r="W12" s="21">
        <f t="shared" si="6"/>
        <v>1</v>
      </c>
      <c r="X12" s="26">
        <f t="shared" si="7"/>
        <v>211.06</v>
      </c>
    </row>
    <row r="13" spans="1:24" x14ac:dyDescent="0.25">
      <c r="A13" s="24" t="s">
        <v>43</v>
      </c>
      <c r="B13" s="24" t="s">
        <v>107</v>
      </c>
      <c r="C13" s="24" t="s">
        <v>108</v>
      </c>
      <c r="D13" s="24" t="s">
        <v>62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61.61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101.91</v>
      </c>
    </row>
    <row r="14" spans="1:24" x14ac:dyDescent="0.25">
      <c r="A14" s="24" t="s">
        <v>47</v>
      </c>
      <c r="B14" s="24" t="s">
        <v>109</v>
      </c>
      <c r="C14" s="24" t="s">
        <v>110</v>
      </c>
      <c r="D14" s="24" t="s">
        <v>78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0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16</v>
      </c>
      <c r="W14" s="21">
        <f t="shared" si="6"/>
        <v>2</v>
      </c>
      <c r="X14" s="26">
        <f t="shared" si="7"/>
        <v>29.01</v>
      </c>
    </row>
    <row r="15" spans="1:24" x14ac:dyDescent="0.25">
      <c r="A15" s="24" t="s">
        <v>65</v>
      </c>
      <c r="B15" s="24" t="s">
        <v>111</v>
      </c>
      <c r="C15" s="24" t="s">
        <v>112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2</v>
      </c>
      <c r="U15" s="21">
        <f t="shared" si="4"/>
        <v>0</v>
      </c>
      <c r="V15" s="26">
        <f t="shared" si="5"/>
        <v>15</v>
      </c>
      <c r="W15" s="21">
        <f t="shared" si="6"/>
        <v>4</v>
      </c>
      <c r="X15" s="26">
        <f t="shared" si="7"/>
        <v>370.03999999999996</v>
      </c>
    </row>
    <row r="16" spans="1:24" x14ac:dyDescent="0.25">
      <c r="A16" s="24" t="s">
        <v>53</v>
      </c>
      <c r="B16" s="24" t="s">
        <v>113</v>
      </c>
      <c r="C16" s="24" t="s">
        <v>114</v>
      </c>
      <c r="D16" s="24" t="s">
        <v>46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150.51</v>
      </c>
      <c r="M16" s="24" t="s">
        <v>90</v>
      </c>
      <c r="P16" s="27" t="s">
        <v>115</v>
      </c>
      <c r="Q16" s="28">
        <f t="shared" ref="Q16:X16" si="8">SUM(E$4:E$63)</f>
        <v>13</v>
      </c>
      <c r="R16" s="28">
        <f t="shared" si="8"/>
        <v>1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101</v>
      </c>
      <c r="W16" s="28">
        <f t="shared" si="8"/>
        <v>17</v>
      </c>
      <c r="X16" s="29">
        <f t="shared" si="8"/>
        <v>1249.81</v>
      </c>
    </row>
    <row r="17" spans="1:24" x14ac:dyDescent="0.25">
      <c r="A17" s="24" t="s">
        <v>55</v>
      </c>
      <c r="B17" s="24" t="s">
        <v>116</v>
      </c>
      <c r="C17" s="24" t="s">
        <v>117</v>
      </c>
      <c r="D17" s="24" t="s">
        <v>54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65</v>
      </c>
      <c r="B18" s="24" t="s">
        <v>118</v>
      </c>
      <c r="C18" s="24" t="s">
        <v>119</v>
      </c>
      <c r="D18" s="24" t="s">
        <v>69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203.7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121</v>
      </c>
      <c r="C19" s="24" t="s">
        <v>122</v>
      </c>
      <c r="D19" s="24" t="s">
        <v>44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101.91</v>
      </c>
      <c r="M19" s="24" t="s">
        <v>90</v>
      </c>
    </row>
    <row r="20" spans="1:24" x14ac:dyDescent="0.25">
      <c r="A20" s="24" t="s">
        <v>51</v>
      </c>
      <c r="B20" s="24" t="s">
        <v>123</v>
      </c>
      <c r="C20" s="24" t="s">
        <v>124</v>
      </c>
      <c r="D20" s="24" t="s">
        <v>67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87.29</v>
      </c>
      <c r="M20" s="24" t="s">
        <v>90</v>
      </c>
    </row>
    <row r="21" spans="1:24" x14ac:dyDescent="0.25">
      <c r="A21" s="24" t="s">
        <v>59</v>
      </c>
      <c r="B21" s="24" t="s">
        <v>125</v>
      </c>
      <c r="C21" s="24" t="s">
        <v>126</v>
      </c>
      <c r="D21" s="24" t="s">
        <v>73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16</v>
      </c>
      <c r="K21" s="24">
        <v>1</v>
      </c>
      <c r="L21" s="25">
        <v>211.06</v>
      </c>
      <c r="M21" s="24" t="s">
        <v>90</v>
      </c>
    </row>
    <row r="22" spans="1:24" x14ac:dyDescent="0.25">
      <c r="A22" s="24" t="s">
        <v>45</v>
      </c>
      <c r="B22" s="24" t="s">
        <v>127</v>
      </c>
      <c r="C22" s="24" t="s">
        <v>128</v>
      </c>
      <c r="D22" s="24" t="s">
        <v>62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1</v>
      </c>
      <c r="L22" s="25">
        <v>144.34</v>
      </c>
      <c r="M22" s="24" t="s">
        <v>90</v>
      </c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objects="1" scenarios="1" formatCells="0" formatColumns="0"/>
  <mergeCells count="1">
    <mergeCell ref="Q18:X18"/>
  </mergeCells>
  <dataValidations count="1">
    <dataValidation type="list" allowBlank="1" sqref="M4:M6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130</v>
      </c>
      <c r="C4" s="24" t="s">
        <v>131</v>
      </c>
      <c r="D4" s="24" t="s">
        <v>72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181.24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1</v>
      </c>
      <c r="V4" s="26">
        <f t="shared" ref="V4:V15" si="5">SUMIF($A$4:$A$63,$P4,J$4:J$63)</f>
        <v>48</v>
      </c>
      <c r="W4" s="21">
        <f t="shared" ref="W4:W15" si="6">SUMIF($A$4:$A$63,$P4,K$4:K$63)</f>
        <v>4</v>
      </c>
      <c r="X4" s="26">
        <f t="shared" ref="X4:X15" si="7">SUMIF($A$4:$A$63,$P4,L$4:L$63)</f>
        <v>311.58</v>
      </c>
    </row>
    <row r="5" spans="1:24" x14ac:dyDescent="0.25">
      <c r="A5" s="24" t="s">
        <v>59</v>
      </c>
      <c r="B5" s="24" t="s">
        <v>132</v>
      </c>
      <c r="C5" s="24" t="s">
        <v>133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76.040000000000006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48</v>
      </c>
      <c r="W5" s="21">
        <f t="shared" si="6"/>
        <v>2</v>
      </c>
      <c r="X5" s="26">
        <f t="shared" si="7"/>
        <v>179.94</v>
      </c>
    </row>
    <row r="6" spans="1:24" x14ac:dyDescent="0.25">
      <c r="A6" s="24" t="s">
        <v>45</v>
      </c>
      <c r="B6" s="24" t="s">
        <v>134</v>
      </c>
      <c r="C6" s="24" t="s">
        <v>135</v>
      </c>
      <c r="D6" s="24" t="s">
        <v>69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33</v>
      </c>
      <c r="K6" s="24">
        <v>1</v>
      </c>
      <c r="L6" s="25">
        <v>124.48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34</v>
      </c>
      <c r="W6" s="21">
        <f t="shared" si="6"/>
        <v>3</v>
      </c>
      <c r="X6" s="26">
        <f t="shared" si="7"/>
        <v>531.87</v>
      </c>
    </row>
    <row r="7" spans="1:24" x14ac:dyDescent="0.25">
      <c r="A7" s="24" t="s">
        <v>43</v>
      </c>
      <c r="B7" s="24" t="s">
        <v>136</v>
      </c>
      <c r="C7" s="24" t="s">
        <v>137</v>
      </c>
      <c r="D7" s="24" t="s">
        <v>76</v>
      </c>
      <c r="E7" s="24">
        <v>0</v>
      </c>
      <c r="F7" s="24">
        <v>0</v>
      </c>
      <c r="G7" s="24">
        <v>0</v>
      </c>
      <c r="H7" s="24">
        <v>0</v>
      </c>
      <c r="I7" s="24">
        <v>1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16</v>
      </c>
      <c r="W7" s="21">
        <f t="shared" si="6"/>
        <v>2</v>
      </c>
      <c r="X7" s="26">
        <f t="shared" si="7"/>
        <v>54.12</v>
      </c>
    </row>
    <row r="8" spans="1:24" x14ac:dyDescent="0.25">
      <c r="A8" s="24" t="s">
        <v>45</v>
      </c>
      <c r="B8" s="24" t="s">
        <v>138</v>
      </c>
      <c r="C8" s="24" t="s">
        <v>139</v>
      </c>
      <c r="D8" s="24" t="s">
        <v>62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55.46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49</v>
      </c>
      <c r="B9" s="24" t="s">
        <v>140</v>
      </c>
      <c r="C9" s="24" t="s">
        <v>141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54.12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57</v>
      </c>
      <c r="B10" s="24" t="s">
        <v>142</v>
      </c>
      <c r="C10" s="24" t="s">
        <v>143</v>
      </c>
      <c r="D10" s="24" t="s">
        <v>54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16</v>
      </c>
      <c r="K10" s="24">
        <v>1</v>
      </c>
      <c r="L10" s="25">
        <v>135.16999999999999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86.04</v>
      </c>
    </row>
    <row r="11" spans="1:24" x14ac:dyDescent="0.25">
      <c r="A11" s="24" t="s">
        <v>65</v>
      </c>
      <c r="B11" s="24" t="s">
        <v>144</v>
      </c>
      <c r="C11" s="24" t="s">
        <v>145</v>
      </c>
      <c r="D11" s="24" t="s">
        <v>56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16</v>
      </c>
      <c r="W11" s="21">
        <f t="shared" si="6"/>
        <v>2</v>
      </c>
      <c r="X11" s="26">
        <f t="shared" si="7"/>
        <v>135.16999999999999</v>
      </c>
    </row>
    <row r="12" spans="1:24" x14ac:dyDescent="0.25">
      <c r="A12" s="24" t="s">
        <v>47</v>
      </c>
      <c r="B12" s="24" t="s">
        <v>146</v>
      </c>
      <c r="C12" s="24" t="s">
        <v>147</v>
      </c>
      <c r="D12" s="24" t="s">
        <v>67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18</v>
      </c>
      <c r="K12" s="24">
        <v>1</v>
      </c>
      <c r="L12" s="25">
        <v>213.84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33</v>
      </c>
      <c r="W12" s="21">
        <f t="shared" si="6"/>
        <v>4</v>
      </c>
      <c r="X12" s="26">
        <f t="shared" si="7"/>
        <v>76.040000000000006</v>
      </c>
    </row>
    <row r="13" spans="1:24" x14ac:dyDescent="0.25">
      <c r="A13" s="24" t="s">
        <v>63</v>
      </c>
      <c r="B13" s="24" t="s">
        <v>148</v>
      </c>
      <c r="C13" s="24" t="s">
        <v>149</v>
      </c>
      <c r="D13" s="24" t="s">
        <v>72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136.69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0</v>
      </c>
      <c r="W13" s="21">
        <f t="shared" si="6"/>
        <v>3</v>
      </c>
      <c r="X13" s="26">
        <f t="shared" si="7"/>
        <v>142</v>
      </c>
    </row>
    <row r="14" spans="1:24" x14ac:dyDescent="0.25">
      <c r="A14" s="24" t="s">
        <v>55</v>
      </c>
      <c r="B14" s="24" t="s">
        <v>150</v>
      </c>
      <c r="C14" s="24" t="s">
        <v>151</v>
      </c>
      <c r="D14" s="24" t="s">
        <v>77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1</v>
      </c>
      <c r="V14" s="26">
        <f t="shared" si="5"/>
        <v>18</v>
      </c>
      <c r="W14" s="21">
        <f t="shared" si="6"/>
        <v>4</v>
      </c>
      <c r="X14" s="26">
        <f t="shared" si="7"/>
        <v>136.69</v>
      </c>
    </row>
    <row r="15" spans="1:24" x14ac:dyDescent="0.25">
      <c r="A15" s="24" t="s">
        <v>43</v>
      </c>
      <c r="B15" s="24" t="s">
        <v>152</v>
      </c>
      <c r="C15" s="24" t="s">
        <v>153</v>
      </c>
      <c r="D15" s="24" t="s">
        <v>77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1</v>
      </c>
      <c r="V15" s="26">
        <f t="shared" si="5"/>
        <v>15</v>
      </c>
      <c r="W15" s="21">
        <f t="shared" si="6"/>
        <v>3</v>
      </c>
      <c r="X15" s="26">
        <f t="shared" si="7"/>
        <v>206.81</v>
      </c>
    </row>
    <row r="16" spans="1:24" x14ac:dyDescent="0.25">
      <c r="A16" s="24" t="s">
        <v>57</v>
      </c>
      <c r="B16" s="24" t="s">
        <v>154</v>
      </c>
      <c r="C16" s="24" t="s">
        <v>155</v>
      </c>
      <c r="D16" s="24" t="s">
        <v>75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4</v>
      </c>
      <c r="S16" s="28">
        <f t="shared" si="8"/>
        <v>0</v>
      </c>
      <c r="T16" s="28">
        <f t="shared" si="8"/>
        <v>11</v>
      </c>
      <c r="U16" s="28">
        <f t="shared" si="8"/>
        <v>3</v>
      </c>
      <c r="V16" s="29">
        <f t="shared" si="8"/>
        <v>246</v>
      </c>
      <c r="W16" s="28">
        <f t="shared" si="8"/>
        <v>31</v>
      </c>
      <c r="X16" s="29">
        <f t="shared" si="8"/>
        <v>1860.2599999999998</v>
      </c>
    </row>
    <row r="17" spans="1:24" x14ac:dyDescent="0.25">
      <c r="A17" s="24" t="s">
        <v>47</v>
      </c>
      <c r="B17" s="24" t="s">
        <v>156</v>
      </c>
      <c r="C17" s="24" t="s">
        <v>157</v>
      </c>
      <c r="D17" s="24" t="s">
        <v>71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16</v>
      </c>
      <c r="K17" s="24">
        <v>1</v>
      </c>
      <c r="L17" s="25">
        <v>136.79</v>
      </c>
      <c r="M17" s="24" t="s">
        <v>90</v>
      </c>
    </row>
    <row r="18" spans="1:24" x14ac:dyDescent="0.25">
      <c r="A18" s="24" t="s">
        <v>51</v>
      </c>
      <c r="B18" s="24" t="s">
        <v>158</v>
      </c>
      <c r="C18" s="24" t="s">
        <v>159</v>
      </c>
      <c r="D18" s="24" t="s">
        <v>66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160</v>
      </c>
      <c r="C19" s="24" t="s">
        <v>161</v>
      </c>
      <c r="D19" s="24" t="s">
        <v>60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179.1</v>
      </c>
      <c r="M19" s="24" t="s">
        <v>90</v>
      </c>
    </row>
    <row r="20" spans="1:24" x14ac:dyDescent="0.25">
      <c r="A20" s="24" t="s">
        <v>65</v>
      </c>
      <c r="B20" s="24" t="s">
        <v>162</v>
      </c>
      <c r="C20" s="24" t="s">
        <v>163</v>
      </c>
      <c r="D20" s="24" t="s">
        <v>76</v>
      </c>
      <c r="E20" s="24">
        <v>0</v>
      </c>
      <c r="F20" s="24">
        <v>0</v>
      </c>
      <c r="G20" s="24">
        <v>0</v>
      </c>
      <c r="H20" s="24">
        <v>0</v>
      </c>
      <c r="I20" s="24">
        <v>1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61</v>
      </c>
      <c r="B21" s="24" t="s">
        <v>164</v>
      </c>
      <c r="C21" s="24" t="s">
        <v>165</v>
      </c>
      <c r="D21" s="24" t="s">
        <v>46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142</v>
      </c>
      <c r="M21" s="24" t="s">
        <v>90</v>
      </c>
    </row>
    <row r="22" spans="1:24" x14ac:dyDescent="0.25">
      <c r="A22" s="24" t="s">
        <v>63</v>
      </c>
      <c r="B22" s="24" t="s">
        <v>166</v>
      </c>
      <c r="C22" s="24" t="s">
        <v>167</v>
      </c>
      <c r="D22" s="24" t="s">
        <v>56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0</v>
      </c>
      <c r="M22" s="24" t="s">
        <v>168</v>
      </c>
    </row>
    <row r="23" spans="1:24" x14ac:dyDescent="0.25">
      <c r="A23" s="24" t="s">
        <v>61</v>
      </c>
      <c r="B23" s="24" t="s">
        <v>169</v>
      </c>
      <c r="C23" s="24" t="s">
        <v>170</v>
      </c>
      <c r="D23" s="24" t="s">
        <v>70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59</v>
      </c>
      <c r="B24" s="24" t="s">
        <v>171</v>
      </c>
      <c r="C24" s="24" t="s">
        <v>172</v>
      </c>
      <c r="D24" s="24" t="s">
        <v>66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33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55</v>
      </c>
      <c r="B25" s="24" t="s">
        <v>173</v>
      </c>
      <c r="C25" s="24" t="s">
        <v>174</v>
      </c>
      <c r="D25" s="24" t="s">
        <v>52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65</v>
      </c>
      <c r="B26" s="24" t="s">
        <v>175</v>
      </c>
      <c r="C26" s="24" t="s">
        <v>176</v>
      </c>
      <c r="D26" s="24" t="s">
        <v>66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1</v>
      </c>
      <c r="L26" s="25">
        <v>206.81</v>
      </c>
      <c r="M26" s="24" t="s">
        <v>90</v>
      </c>
    </row>
    <row r="27" spans="1:24" x14ac:dyDescent="0.25">
      <c r="A27" s="24" t="s">
        <v>61</v>
      </c>
      <c r="B27" s="24" t="s">
        <v>177</v>
      </c>
      <c r="C27" s="24" t="s">
        <v>178</v>
      </c>
      <c r="D27" s="24" t="s">
        <v>52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63</v>
      </c>
      <c r="B28" s="24" t="s">
        <v>179</v>
      </c>
      <c r="C28" s="24" t="s">
        <v>180</v>
      </c>
      <c r="D28" s="24" t="s">
        <v>46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43</v>
      </c>
      <c r="B29" s="24" t="s">
        <v>181</v>
      </c>
      <c r="C29" s="24" t="s">
        <v>182</v>
      </c>
      <c r="D29" s="24" t="s">
        <v>44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15</v>
      </c>
      <c r="K29" s="24">
        <v>1</v>
      </c>
      <c r="L29" s="25">
        <v>132.47999999999999</v>
      </c>
      <c r="M29" s="24" t="s">
        <v>168</v>
      </c>
    </row>
    <row r="30" spans="1:24" x14ac:dyDescent="0.25">
      <c r="A30" s="24" t="s">
        <v>59</v>
      </c>
      <c r="B30" s="24" t="s">
        <v>183</v>
      </c>
      <c r="C30" s="24" t="s">
        <v>184</v>
      </c>
      <c r="D30" s="24" t="s">
        <v>56</v>
      </c>
      <c r="E30" s="24">
        <v>0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59</v>
      </c>
      <c r="B31" s="24" t="s">
        <v>185</v>
      </c>
      <c r="C31" s="24" t="s">
        <v>186</v>
      </c>
      <c r="D31" s="24" t="s">
        <v>70</v>
      </c>
      <c r="E31" s="24">
        <v>0</v>
      </c>
      <c r="F31" s="24">
        <v>0</v>
      </c>
      <c r="G31" s="24">
        <v>0</v>
      </c>
      <c r="H31" s="24">
        <v>1</v>
      </c>
      <c r="I31" s="24">
        <v>0</v>
      </c>
      <c r="J31" s="25">
        <v>0</v>
      </c>
      <c r="K31" s="24">
        <v>1</v>
      </c>
      <c r="L31" s="25">
        <v>0</v>
      </c>
      <c r="M31" s="24" t="s">
        <v>90</v>
      </c>
    </row>
    <row r="32" spans="1:24" x14ac:dyDescent="0.25">
      <c r="A32" s="24" t="s">
        <v>55</v>
      </c>
      <c r="B32" s="24" t="s">
        <v>187</v>
      </c>
      <c r="C32" s="24" t="s">
        <v>188</v>
      </c>
      <c r="D32" s="24" t="s">
        <v>73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86.04</v>
      </c>
      <c r="M32" s="24" t="s">
        <v>168</v>
      </c>
    </row>
    <row r="33" spans="1:13" x14ac:dyDescent="0.25">
      <c r="A33" s="24" t="s">
        <v>63</v>
      </c>
      <c r="B33" s="24" t="s">
        <v>189</v>
      </c>
      <c r="C33" s="24" t="s">
        <v>190</v>
      </c>
      <c r="D33" s="24" t="s">
        <v>76</v>
      </c>
      <c r="E33" s="24">
        <v>0</v>
      </c>
      <c r="F33" s="24">
        <v>0</v>
      </c>
      <c r="G33" s="24">
        <v>0</v>
      </c>
      <c r="H33" s="24">
        <v>0</v>
      </c>
      <c r="I33" s="24">
        <v>1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49</v>
      </c>
      <c r="B34" s="24" t="s">
        <v>191</v>
      </c>
      <c r="C34" s="24" t="s">
        <v>192</v>
      </c>
      <c r="D34" s="24" t="s">
        <v>67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0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193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194</v>
      </c>
      <c r="C4" s="24" t="s">
        <v>195</v>
      </c>
      <c r="D4" s="24" t="s">
        <v>58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24</v>
      </c>
      <c r="W4" s="21">
        <f t="shared" ref="W4:W15" si="6">SUMIF($A$4:$A$63,$P4,K$4:K$63)</f>
        <v>3</v>
      </c>
      <c r="X4" s="26">
        <f t="shared" ref="X4:X15" si="7">SUMIF($A$4:$A$63,$P4,L$4:L$63)</f>
        <v>143.72</v>
      </c>
    </row>
    <row r="5" spans="1:24" x14ac:dyDescent="0.25">
      <c r="A5" s="24" t="s">
        <v>61</v>
      </c>
      <c r="B5" s="24" t="s">
        <v>196</v>
      </c>
      <c r="C5" s="24" t="s">
        <v>197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63.76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24</v>
      </c>
      <c r="W5" s="21">
        <f t="shared" si="6"/>
        <v>2</v>
      </c>
      <c r="X5" s="26">
        <f t="shared" si="7"/>
        <v>0</v>
      </c>
    </row>
    <row r="6" spans="1:24" x14ac:dyDescent="0.25">
      <c r="A6" s="24" t="s">
        <v>55</v>
      </c>
      <c r="B6" s="24" t="s">
        <v>198</v>
      </c>
      <c r="C6" s="24" t="s">
        <v>199</v>
      </c>
      <c r="D6" s="24" t="s">
        <v>74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101.61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24</v>
      </c>
      <c r="W6" s="21">
        <f t="shared" si="6"/>
        <v>3</v>
      </c>
      <c r="X6" s="26">
        <f t="shared" si="7"/>
        <v>292.89</v>
      </c>
    </row>
    <row r="7" spans="1:24" x14ac:dyDescent="0.25">
      <c r="A7" s="24" t="s">
        <v>45</v>
      </c>
      <c r="B7" s="24" t="s">
        <v>200</v>
      </c>
      <c r="C7" s="24" t="s">
        <v>201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24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4</v>
      </c>
      <c r="R7" s="21">
        <f t="shared" si="1"/>
        <v>0</v>
      </c>
      <c r="S7" s="21">
        <f t="shared" si="2"/>
        <v>0</v>
      </c>
      <c r="T7" s="21">
        <f t="shared" si="3"/>
        <v>2</v>
      </c>
      <c r="U7" s="21">
        <f t="shared" si="4"/>
        <v>0</v>
      </c>
      <c r="V7" s="26">
        <f t="shared" si="5"/>
        <v>72</v>
      </c>
      <c r="W7" s="21">
        <f t="shared" si="6"/>
        <v>3</v>
      </c>
      <c r="X7" s="26">
        <f t="shared" si="7"/>
        <v>111.61</v>
      </c>
    </row>
    <row r="8" spans="1:24" x14ac:dyDescent="0.25">
      <c r="A8" s="24" t="s">
        <v>55</v>
      </c>
      <c r="B8" s="24" t="s">
        <v>202</v>
      </c>
      <c r="C8" s="24" t="s">
        <v>203</v>
      </c>
      <c r="D8" s="24" t="s">
        <v>69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44.94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132.66999999999999</v>
      </c>
    </row>
    <row r="9" spans="1:24" x14ac:dyDescent="0.25">
      <c r="A9" s="24" t="s">
        <v>65</v>
      </c>
      <c r="B9" s="24" t="s">
        <v>204</v>
      </c>
      <c r="C9" s="24" t="s">
        <v>205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56.42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57</v>
      </c>
      <c r="B10" s="24" t="s">
        <v>206</v>
      </c>
      <c r="C10" s="24" t="s">
        <v>207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146.55000000000001</v>
      </c>
    </row>
    <row r="11" spans="1:24" x14ac:dyDescent="0.25">
      <c r="A11" s="24" t="s">
        <v>59</v>
      </c>
      <c r="B11" s="24" t="s">
        <v>208</v>
      </c>
      <c r="C11" s="24" t="s">
        <v>209</v>
      </c>
      <c r="D11" s="24" t="s">
        <v>56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5</v>
      </c>
      <c r="R11" s="21">
        <f t="shared" si="1"/>
        <v>2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47</v>
      </c>
      <c r="W11" s="21">
        <f t="shared" si="6"/>
        <v>7</v>
      </c>
      <c r="X11" s="26">
        <f t="shared" si="7"/>
        <v>352.59000000000003</v>
      </c>
    </row>
    <row r="12" spans="1:24" x14ac:dyDescent="0.25">
      <c r="A12" s="24" t="s">
        <v>57</v>
      </c>
      <c r="B12" s="24" t="s">
        <v>210</v>
      </c>
      <c r="C12" s="24" t="s">
        <v>211</v>
      </c>
      <c r="D12" s="24" t="s">
        <v>48</v>
      </c>
      <c r="E12" s="24">
        <v>0</v>
      </c>
      <c r="F12" s="24">
        <v>1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26.56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18</v>
      </c>
      <c r="W12" s="21">
        <f t="shared" si="6"/>
        <v>3</v>
      </c>
      <c r="X12" s="26">
        <f t="shared" si="7"/>
        <v>208.45</v>
      </c>
    </row>
    <row r="13" spans="1:24" x14ac:dyDescent="0.25">
      <c r="A13" s="24" t="s">
        <v>49</v>
      </c>
      <c r="B13" s="24" t="s">
        <v>212</v>
      </c>
      <c r="C13" s="24" t="s">
        <v>213</v>
      </c>
      <c r="D13" s="24" t="s">
        <v>56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18</v>
      </c>
      <c r="K13" s="24">
        <v>1</v>
      </c>
      <c r="L13" s="25">
        <v>111.61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63.76</v>
      </c>
    </row>
    <row r="14" spans="1:24" x14ac:dyDescent="0.25">
      <c r="A14" s="24" t="s">
        <v>57</v>
      </c>
      <c r="B14" s="24" t="s">
        <v>214</v>
      </c>
      <c r="C14" s="24" t="s">
        <v>215</v>
      </c>
      <c r="D14" s="24" t="s">
        <v>68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16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43</v>
      </c>
      <c r="B15" s="24" t="s">
        <v>216</v>
      </c>
      <c r="C15" s="24" t="s">
        <v>217</v>
      </c>
      <c r="D15" s="24" t="s">
        <v>60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16</v>
      </c>
      <c r="W15" s="21">
        <f t="shared" si="6"/>
        <v>2</v>
      </c>
      <c r="X15" s="26">
        <f t="shared" si="7"/>
        <v>234.88</v>
      </c>
    </row>
    <row r="16" spans="1:24" x14ac:dyDescent="0.25">
      <c r="A16" s="24" t="s">
        <v>57</v>
      </c>
      <c r="B16" s="24" t="s">
        <v>218</v>
      </c>
      <c r="C16" s="24" t="s">
        <v>219</v>
      </c>
      <c r="D16" s="24" t="s">
        <v>66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24</v>
      </c>
      <c r="R16" s="28">
        <f t="shared" si="8"/>
        <v>2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225</v>
      </c>
      <c r="W16" s="28">
        <f t="shared" si="8"/>
        <v>28</v>
      </c>
      <c r="X16" s="29">
        <f t="shared" si="8"/>
        <v>1687.1200000000003</v>
      </c>
    </row>
    <row r="17" spans="1:24" x14ac:dyDescent="0.25">
      <c r="A17" s="24" t="s">
        <v>51</v>
      </c>
      <c r="B17" s="24" t="s">
        <v>220</v>
      </c>
      <c r="C17" s="24" t="s">
        <v>221</v>
      </c>
      <c r="D17" s="24" t="s">
        <v>80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0</v>
      </c>
      <c r="L17" s="25">
        <v>132.66999999999999</v>
      </c>
      <c r="M17" s="24" t="s">
        <v>90</v>
      </c>
    </row>
    <row r="18" spans="1:24" x14ac:dyDescent="0.25">
      <c r="A18" s="24" t="s">
        <v>55</v>
      </c>
      <c r="B18" s="24" t="s">
        <v>222</v>
      </c>
      <c r="C18" s="24" t="s">
        <v>223</v>
      </c>
      <c r="D18" s="24" t="s">
        <v>77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224</v>
      </c>
      <c r="C19" s="24" t="s">
        <v>225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104.87</v>
      </c>
      <c r="M19" s="24" t="s">
        <v>90</v>
      </c>
    </row>
    <row r="20" spans="1:24" x14ac:dyDescent="0.25">
      <c r="A20" s="24" t="s">
        <v>59</v>
      </c>
      <c r="B20" s="24" t="s">
        <v>226</v>
      </c>
      <c r="C20" s="24" t="s">
        <v>227</v>
      </c>
      <c r="D20" s="24" t="s">
        <v>44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208.45</v>
      </c>
      <c r="M20" s="24" t="s">
        <v>90</v>
      </c>
    </row>
    <row r="21" spans="1:24" x14ac:dyDescent="0.25">
      <c r="A21" s="24" t="s">
        <v>47</v>
      </c>
      <c r="B21" s="24" t="s">
        <v>228</v>
      </c>
      <c r="C21" s="24" t="s">
        <v>229</v>
      </c>
      <c r="D21" s="24" t="s">
        <v>44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24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49</v>
      </c>
      <c r="B22" s="24" t="s">
        <v>230</v>
      </c>
      <c r="C22" s="24" t="s">
        <v>231</v>
      </c>
      <c r="D22" s="24" t="s">
        <v>79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47</v>
      </c>
      <c r="B23" s="24" t="s">
        <v>232</v>
      </c>
      <c r="C23" s="24" t="s">
        <v>233</v>
      </c>
      <c r="D23" s="24" t="s">
        <v>80</v>
      </c>
      <c r="E23" s="24">
        <v>0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0</v>
      </c>
      <c r="L23" s="25">
        <v>104.24</v>
      </c>
      <c r="M23" s="24" t="s">
        <v>90</v>
      </c>
    </row>
    <row r="24" spans="1:24" x14ac:dyDescent="0.25">
      <c r="A24" s="24" t="s">
        <v>47</v>
      </c>
      <c r="B24" s="24" t="s">
        <v>234</v>
      </c>
      <c r="C24" s="24" t="s">
        <v>235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57</v>
      </c>
      <c r="B25" s="24" t="s">
        <v>236</v>
      </c>
      <c r="C25" s="24" t="s">
        <v>237</v>
      </c>
      <c r="D25" s="24" t="s">
        <v>74</v>
      </c>
      <c r="E25" s="24">
        <v>0</v>
      </c>
      <c r="F25" s="24">
        <v>1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0</v>
      </c>
      <c r="M25" s="24" t="s">
        <v>168</v>
      </c>
    </row>
    <row r="26" spans="1:24" x14ac:dyDescent="0.25">
      <c r="A26" s="24" t="s">
        <v>65</v>
      </c>
      <c r="B26" s="24" t="s">
        <v>238</v>
      </c>
      <c r="C26" s="24" t="s">
        <v>239</v>
      </c>
      <c r="D26" s="24" t="s">
        <v>48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178.46</v>
      </c>
      <c r="M26" s="24" t="s">
        <v>90</v>
      </c>
    </row>
    <row r="27" spans="1:24" x14ac:dyDescent="0.25">
      <c r="A27" s="24" t="s">
        <v>57</v>
      </c>
      <c r="B27" s="24" t="s">
        <v>240</v>
      </c>
      <c r="C27" s="24" t="s">
        <v>241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216.36</v>
      </c>
      <c r="M27" s="24" t="s">
        <v>90</v>
      </c>
    </row>
    <row r="28" spans="1:24" x14ac:dyDescent="0.25">
      <c r="A28" s="24" t="s">
        <v>49</v>
      </c>
      <c r="B28" s="24" t="s">
        <v>242</v>
      </c>
      <c r="C28" s="24" t="s">
        <v>243</v>
      </c>
      <c r="D28" s="24" t="s">
        <v>74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63</v>
      </c>
      <c r="B29" s="24" t="s">
        <v>244</v>
      </c>
      <c r="C29" s="24" t="s">
        <v>245</v>
      </c>
      <c r="D29" s="24" t="s">
        <v>64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45</v>
      </c>
      <c r="B30" s="24" t="s">
        <v>246</v>
      </c>
      <c r="C30" s="24" t="s">
        <v>247</v>
      </c>
      <c r="D30" s="24" t="s">
        <v>58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43</v>
      </c>
      <c r="B31" s="24" t="s">
        <v>248</v>
      </c>
      <c r="C31" s="24" t="s">
        <v>249</v>
      </c>
      <c r="D31" s="24" t="s">
        <v>50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38.85</v>
      </c>
      <c r="M31" s="24" t="s">
        <v>90</v>
      </c>
    </row>
    <row r="32" spans="1:24" x14ac:dyDescent="0.25">
      <c r="A32" s="24" t="s">
        <v>57</v>
      </c>
      <c r="B32" s="24" t="s">
        <v>250</v>
      </c>
      <c r="C32" s="24" t="s">
        <v>251</v>
      </c>
      <c r="D32" s="24" t="s">
        <v>66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15</v>
      </c>
      <c r="K32" s="24">
        <v>1</v>
      </c>
      <c r="L32" s="25">
        <v>109.67</v>
      </c>
      <c r="M32" s="24" t="s">
        <v>90</v>
      </c>
    </row>
    <row r="33" spans="1:13" x14ac:dyDescent="0.25">
      <c r="A33" s="24" t="s">
        <v>59</v>
      </c>
      <c r="B33" s="24" t="s">
        <v>252</v>
      </c>
      <c r="C33" s="24" t="s">
        <v>253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18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47</v>
      </c>
      <c r="B34" s="24" t="s">
        <v>254</v>
      </c>
      <c r="C34" s="24" t="s">
        <v>255</v>
      </c>
      <c r="D34" s="24" t="s">
        <v>64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188.65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256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257</v>
      </c>
      <c r="C4" s="24" t="s">
        <v>258</v>
      </c>
      <c r="D4" s="24" t="s">
        <v>67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1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179.04</v>
      </c>
    </row>
    <row r="5" spans="1:24" x14ac:dyDescent="0.25">
      <c r="A5" s="24" t="s">
        <v>61</v>
      </c>
      <c r="B5" s="24" t="s">
        <v>259</v>
      </c>
      <c r="C5" s="24" t="s">
        <v>260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94.12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0</v>
      </c>
      <c r="X5" s="26">
        <f t="shared" si="7"/>
        <v>0</v>
      </c>
    </row>
    <row r="6" spans="1:24" x14ac:dyDescent="0.25">
      <c r="A6" s="24" t="s">
        <v>49</v>
      </c>
      <c r="B6" s="24" t="s">
        <v>261</v>
      </c>
      <c r="C6" s="24" t="s">
        <v>262</v>
      </c>
      <c r="D6" s="24" t="s">
        <v>73</v>
      </c>
      <c r="E6" s="24">
        <v>1</v>
      </c>
      <c r="F6" s="24">
        <v>0</v>
      </c>
      <c r="G6" s="24">
        <v>1</v>
      </c>
      <c r="H6" s="24">
        <v>0</v>
      </c>
      <c r="I6" s="24">
        <v>0</v>
      </c>
      <c r="J6" s="25">
        <v>33</v>
      </c>
      <c r="K6" s="24">
        <v>1</v>
      </c>
      <c r="L6" s="25">
        <v>156.05000000000001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2</v>
      </c>
      <c r="X6" s="26">
        <f t="shared" si="7"/>
        <v>0</v>
      </c>
    </row>
    <row r="7" spans="1:24" x14ac:dyDescent="0.25">
      <c r="A7" s="24" t="s">
        <v>49</v>
      </c>
      <c r="B7" s="24" t="s">
        <v>263</v>
      </c>
      <c r="C7" s="24" t="s">
        <v>264</v>
      </c>
      <c r="D7" s="24" t="s">
        <v>52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33</v>
      </c>
      <c r="K7" s="24">
        <v>1</v>
      </c>
      <c r="L7" s="25">
        <v>136.52000000000001</v>
      </c>
      <c r="M7" s="24" t="s">
        <v>90</v>
      </c>
      <c r="P7" s="21" t="str">
        <f>Setup!$A$8</f>
        <v>Expert 04</v>
      </c>
      <c r="Q7" s="21">
        <f t="shared" si="0"/>
        <v>4</v>
      </c>
      <c r="R7" s="21">
        <f t="shared" si="1"/>
        <v>0</v>
      </c>
      <c r="S7" s="21">
        <f t="shared" si="2"/>
        <v>1</v>
      </c>
      <c r="T7" s="21">
        <f t="shared" si="3"/>
        <v>1</v>
      </c>
      <c r="U7" s="21">
        <f t="shared" si="4"/>
        <v>0</v>
      </c>
      <c r="V7" s="26">
        <f t="shared" si="5"/>
        <v>115</v>
      </c>
      <c r="W7" s="21">
        <f t="shared" si="6"/>
        <v>4</v>
      </c>
      <c r="X7" s="26">
        <f t="shared" si="7"/>
        <v>345.39000000000004</v>
      </c>
    </row>
    <row r="8" spans="1:24" x14ac:dyDescent="0.25">
      <c r="A8" s="24" t="s">
        <v>53</v>
      </c>
      <c r="B8" s="24" t="s">
        <v>265</v>
      </c>
      <c r="C8" s="24" t="s">
        <v>266</v>
      </c>
      <c r="D8" s="24" t="s">
        <v>67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33</v>
      </c>
      <c r="K8" s="24">
        <v>1</v>
      </c>
      <c r="L8" s="25">
        <v>73.19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15</v>
      </c>
      <c r="W8" s="21">
        <f t="shared" si="6"/>
        <v>1</v>
      </c>
      <c r="X8" s="26">
        <f t="shared" si="7"/>
        <v>169.36</v>
      </c>
    </row>
    <row r="9" spans="1:24" x14ac:dyDescent="0.25">
      <c r="A9" s="24" t="s">
        <v>63</v>
      </c>
      <c r="B9" s="24" t="s">
        <v>267</v>
      </c>
      <c r="C9" s="24" t="s">
        <v>268</v>
      </c>
      <c r="D9" s="24" t="s">
        <v>80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0</v>
      </c>
      <c r="L9" s="25">
        <v>41.69</v>
      </c>
      <c r="M9" s="24" t="s">
        <v>168</v>
      </c>
      <c r="P9" s="21" t="str">
        <f>Setup!$A$10</f>
        <v>Expert 06</v>
      </c>
      <c r="Q9" s="21">
        <f t="shared" si="0"/>
        <v>5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48</v>
      </c>
      <c r="W9" s="21">
        <f t="shared" si="6"/>
        <v>5</v>
      </c>
      <c r="X9" s="26">
        <f t="shared" si="7"/>
        <v>385.7</v>
      </c>
    </row>
    <row r="10" spans="1:24" x14ac:dyDescent="0.25">
      <c r="A10" s="24" t="s">
        <v>65</v>
      </c>
      <c r="B10" s="24" t="s">
        <v>269</v>
      </c>
      <c r="C10" s="24" t="s">
        <v>270</v>
      </c>
      <c r="D10" s="24" t="s">
        <v>76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5">
        <v>0</v>
      </c>
      <c r="K10" s="24">
        <v>1</v>
      </c>
      <c r="L10" s="25">
        <v>46.35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49</v>
      </c>
      <c r="B11" s="24" t="s">
        <v>271</v>
      </c>
      <c r="C11" s="24" t="s">
        <v>272</v>
      </c>
      <c r="D11" s="24" t="s">
        <v>68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33</v>
      </c>
      <c r="K11" s="24">
        <v>1</v>
      </c>
      <c r="L11" s="25">
        <v>43.13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183.05</v>
      </c>
    </row>
    <row r="12" spans="1:24" x14ac:dyDescent="0.25">
      <c r="A12" s="24" t="s">
        <v>57</v>
      </c>
      <c r="B12" s="24" t="s">
        <v>273</v>
      </c>
      <c r="C12" s="24" t="s">
        <v>274</v>
      </c>
      <c r="D12" s="24" t="s">
        <v>69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183.05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47</v>
      </c>
      <c r="B13" s="24" t="s">
        <v>275</v>
      </c>
      <c r="C13" s="24" t="s">
        <v>276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4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42</v>
      </c>
      <c r="W13" s="21">
        <f t="shared" si="6"/>
        <v>4</v>
      </c>
      <c r="X13" s="26">
        <f t="shared" si="7"/>
        <v>275.35000000000002</v>
      </c>
    </row>
    <row r="14" spans="1:24" x14ac:dyDescent="0.25">
      <c r="A14" s="24" t="s">
        <v>61</v>
      </c>
      <c r="B14" s="24" t="s">
        <v>277</v>
      </c>
      <c r="C14" s="24" t="s">
        <v>278</v>
      </c>
      <c r="D14" s="24" t="s">
        <v>46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18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1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2</v>
      </c>
      <c r="X14" s="26">
        <f t="shared" si="7"/>
        <v>273.76</v>
      </c>
    </row>
    <row r="15" spans="1:24" x14ac:dyDescent="0.25">
      <c r="A15" s="24" t="s">
        <v>43</v>
      </c>
      <c r="B15" s="24" t="s">
        <v>279</v>
      </c>
      <c r="C15" s="24" t="s">
        <v>280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2</v>
      </c>
      <c r="X15" s="26">
        <f t="shared" si="7"/>
        <v>182.12</v>
      </c>
    </row>
    <row r="16" spans="1:24" x14ac:dyDescent="0.25">
      <c r="A16" s="24" t="s">
        <v>43</v>
      </c>
      <c r="B16" s="24" t="s">
        <v>281</v>
      </c>
      <c r="C16" s="24" t="s">
        <v>282</v>
      </c>
      <c r="D16" s="24" t="s">
        <v>69</v>
      </c>
      <c r="E16" s="24">
        <v>1</v>
      </c>
      <c r="F16" s="24">
        <v>0</v>
      </c>
      <c r="G16" s="24">
        <v>1</v>
      </c>
      <c r="H16" s="24">
        <v>0</v>
      </c>
      <c r="I16" s="24">
        <v>0</v>
      </c>
      <c r="J16" s="25">
        <v>0</v>
      </c>
      <c r="K16" s="24">
        <v>1</v>
      </c>
      <c r="L16" s="25">
        <v>179.04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1</v>
      </c>
      <c r="S16" s="28">
        <f t="shared" si="8"/>
        <v>3</v>
      </c>
      <c r="T16" s="28">
        <f t="shared" si="8"/>
        <v>3</v>
      </c>
      <c r="U16" s="28">
        <f t="shared" si="8"/>
        <v>1</v>
      </c>
      <c r="V16" s="29">
        <f t="shared" si="8"/>
        <v>262</v>
      </c>
      <c r="W16" s="28">
        <f t="shared" si="8"/>
        <v>23</v>
      </c>
      <c r="X16" s="29">
        <f t="shared" si="8"/>
        <v>1993.7700000000002</v>
      </c>
    </row>
    <row r="17" spans="1:24" x14ac:dyDescent="0.25">
      <c r="A17" s="24" t="s">
        <v>51</v>
      </c>
      <c r="B17" s="24" t="s">
        <v>283</v>
      </c>
      <c r="C17" s="24" t="s">
        <v>284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15</v>
      </c>
      <c r="K17" s="24">
        <v>1</v>
      </c>
      <c r="L17" s="25">
        <v>169.36</v>
      </c>
      <c r="M17" s="24" t="s">
        <v>90</v>
      </c>
    </row>
    <row r="18" spans="1:24" x14ac:dyDescent="0.25">
      <c r="A18" s="24" t="s">
        <v>53</v>
      </c>
      <c r="B18" s="24" t="s">
        <v>285</v>
      </c>
      <c r="C18" s="24" t="s">
        <v>286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212.72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287</v>
      </c>
      <c r="C19" s="24" t="s">
        <v>288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99.79</v>
      </c>
      <c r="M19" s="24" t="s">
        <v>90</v>
      </c>
    </row>
    <row r="20" spans="1:24" x14ac:dyDescent="0.25">
      <c r="A20" s="24" t="s">
        <v>61</v>
      </c>
      <c r="B20" s="24" t="s">
        <v>289</v>
      </c>
      <c r="C20" s="24" t="s">
        <v>290</v>
      </c>
      <c r="D20" s="24" t="s">
        <v>44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61</v>
      </c>
      <c r="B21" s="24" t="s">
        <v>291</v>
      </c>
      <c r="C21" s="24" t="s">
        <v>292</v>
      </c>
      <c r="D21" s="24" t="s">
        <v>66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181.23</v>
      </c>
      <c r="M21" s="24" t="s">
        <v>90</v>
      </c>
    </row>
    <row r="22" spans="1:24" x14ac:dyDescent="0.25">
      <c r="A22" s="24" t="s">
        <v>63</v>
      </c>
      <c r="B22" s="24" t="s">
        <v>293</v>
      </c>
      <c r="C22" s="24" t="s">
        <v>294</v>
      </c>
      <c r="D22" s="24" t="s">
        <v>74</v>
      </c>
      <c r="E22" s="24">
        <v>1</v>
      </c>
      <c r="F22" s="24">
        <v>0</v>
      </c>
      <c r="G22" s="24">
        <v>1</v>
      </c>
      <c r="H22" s="24">
        <v>0</v>
      </c>
      <c r="I22" s="24">
        <v>0</v>
      </c>
      <c r="J22" s="25">
        <v>0</v>
      </c>
      <c r="K22" s="24">
        <v>1</v>
      </c>
      <c r="L22" s="25">
        <v>178.4</v>
      </c>
      <c r="M22" s="24" t="s">
        <v>90</v>
      </c>
    </row>
    <row r="23" spans="1:24" x14ac:dyDescent="0.25">
      <c r="A23" s="24" t="s">
        <v>65</v>
      </c>
      <c r="B23" s="24" t="s">
        <v>295</v>
      </c>
      <c r="C23" s="24" t="s">
        <v>296</v>
      </c>
      <c r="D23" s="24" t="s">
        <v>62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135.77000000000001</v>
      </c>
      <c r="M23" s="24" t="s">
        <v>90</v>
      </c>
    </row>
    <row r="24" spans="1:24" x14ac:dyDescent="0.25">
      <c r="A24" s="24" t="s">
        <v>47</v>
      </c>
      <c r="B24" s="24" t="s">
        <v>297</v>
      </c>
      <c r="C24" s="24" t="s">
        <v>298</v>
      </c>
      <c r="D24" s="24" t="s">
        <v>48</v>
      </c>
      <c r="E24" s="24">
        <v>0</v>
      </c>
      <c r="F24" s="24">
        <v>1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63</v>
      </c>
      <c r="B25" s="24" t="s">
        <v>299</v>
      </c>
      <c r="C25" s="24" t="s">
        <v>300</v>
      </c>
      <c r="D25" s="24" t="s">
        <v>44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18</v>
      </c>
      <c r="K25" s="24">
        <v>1</v>
      </c>
      <c r="L25" s="25">
        <v>53.67</v>
      </c>
      <c r="M25" s="24" t="s">
        <v>168</v>
      </c>
    </row>
    <row r="26" spans="1:24" x14ac:dyDescent="0.25">
      <c r="A26" s="24" t="s">
        <v>49</v>
      </c>
      <c r="B26" s="24" t="s">
        <v>301</v>
      </c>
      <c r="C26" s="24" t="s">
        <v>302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9.69</v>
      </c>
      <c r="M26" s="24" t="s">
        <v>90</v>
      </c>
    </row>
    <row r="27" spans="1:24" x14ac:dyDescent="0.25">
      <c r="A27" s="24" t="s">
        <v>53</v>
      </c>
      <c r="B27" s="24" t="s">
        <v>303</v>
      </c>
      <c r="C27" s="24" t="s">
        <v>304</v>
      </c>
      <c r="D27" s="24" t="s">
        <v>68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305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306</v>
      </c>
      <c r="C4" s="24" t="s">
        <v>307</v>
      </c>
      <c r="D4" s="24" t="s">
        <v>46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153.75</v>
      </c>
    </row>
    <row r="5" spans="1:24" x14ac:dyDescent="0.25">
      <c r="A5" s="24" t="s">
        <v>61</v>
      </c>
      <c r="B5" s="24" t="s">
        <v>308</v>
      </c>
      <c r="C5" s="24" t="s">
        <v>309</v>
      </c>
      <c r="D5" s="24" t="s">
        <v>70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4</v>
      </c>
      <c r="U5" s="21">
        <f t="shared" si="4"/>
        <v>0</v>
      </c>
      <c r="V5" s="26">
        <f t="shared" si="5"/>
        <v>24</v>
      </c>
      <c r="W5" s="21">
        <f t="shared" si="6"/>
        <v>4</v>
      </c>
      <c r="X5" s="26">
        <f t="shared" si="7"/>
        <v>186.56</v>
      </c>
    </row>
    <row r="6" spans="1:24" x14ac:dyDescent="0.25">
      <c r="A6" s="24" t="s">
        <v>45</v>
      </c>
      <c r="B6" s="24" t="s">
        <v>310</v>
      </c>
      <c r="C6" s="24" t="s">
        <v>311</v>
      </c>
      <c r="D6" s="24" t="s">
        <v>71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3</v>
      </c>
      <c r="X6" s="26">
        <f t="shared" si="7"/>
        <v>170.09</v>
      </c>
    </row>
    <row r="7" spans="1:24" x14ac:dyDescent="0.25">
      <c r="A7" s="24" t="s">
        <v>53</v>
      </c>
      <c r="B7" s="24" t="s">
        <v>312</v>
      </c>
      <c r="C7" s="24" t="s">
        <v>313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123.38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2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0</v>
      </c>
    </row>
    <row r="8" spans="1:24" x14ac:dyDescent="0.25">
      <c r="A8" s="24" t="s">
        <v>43</v>
      </c>
      <c r="B8" s="24" t="s">
        <v>314</v>
      </c>
      <c r="C8" s="24" t="s">
        <v>315</v>
      </c>
      <c r="D8" s="24" t="s">
        <v>78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0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211.6</v>
      </c>
    </row>
    <row r="9" spans="1:24" x14ac:dyDescent="0.25">
      <c r="A9" s="24" t="s">
        <v>49</v>
      </c>
      <c r="B9" s="24" t="s">
        <v>316</v>
      </c>
      <c r="C9" s="24" t="s">
        <v>317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24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42</v>
      </c>
      <c r="W9" s="21">
        <f t="shared" si="6"/>
        <v>3</v>
      </c>
      <c r="X9" s="26">
        <f t="shared" si="7"/>
        <v>354.63</v>
      </c>
    </row>
    <row r="10" spans="1:24" x14ac:dyDescent="0.25">
      <c r="A10" s="24" t="s">
        <v>51</v>
      </c>
      <c r="B10" s="24" t="s">
        <v>318</v>
      </c>
      <c r="C10" s="24" t="s">
        <v>319</v>
      </c>
      <c r="D10" s="24" t="s">
        <v>80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0</v>
      </c>
      <c r="L10" s="25">
        <v>211.6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1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33</v>
      </c>
      <c r="W10" s="21">
        <f t="shared" si="6"/>
        <v>3</v>
      </c>
      <c r="X10" s="26">
        <f t="shared" si="7"/>
        <v>148.93</v>
      </c>
    </row>
    <row r="11" spans="1:24" x14ac:dyDescent="0.25">
      <c r="A11" s="24" t="s">
        <v>47</v>
      </c>
      <c r="B11" s="24" t="s">
        <v>320</v>
      </c>
      <c r="C11" s="24" t="s">
        <v>321</v>
      </c>
      <c r="D11" s="24" t="s">
        <v>64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36</v>
      </c>
      <c r="W11" s="21">
        <f t="shared" si="6"/>
        <v>4</v>
      </c>
      <c r="X11" s="26">
        <f t="shared" si="7"/>
        <v>307.44</v>
      </c>
    </row>
    <row r="12" spans="1:24" x14ac:dyDescent="0.25">
      <c r="A12" s="24" t="s">
        <v>45</v>
      </c>
      <c r="B12" s="24" t="s">
        <v>322</v>
      </c>
      <c r="C12" s="24" t="s">
        <v>323</v>
      </c>
      <c r="D12" s="24" t="s">
        <v>56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24</v>
      </c>
      <c r="K12" s="24">
        <v>1</v>
      </c>
      <c r="L12" s="25">
        <v>106.73</v>
      </c>
      <c r="M12" s="24" t="s">
        <v>90</v>
      </c>
      <c r="P12" s="21" t="str">
        <f>Setup!$A$13</f>
        <v>Expert 09</v>
      </c>
      <c r="Q12" s="21">
        <f t="shared" si="0"/>
        <v>3</v>
      </c>
      <c r="R12" s="21">
        <f t="shared" si="1"/>
        <v>1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4</v>
      </c>
      <c r="X12" s="26">
        <f t="shared" si="7"/>
        <v>625.22</v>
      </c>
    </row>
    <row r="13" spans="1:24" x14ac:dyDescent="0.25">
      <c r="A13" s="24" t="s">
        <v>59</v>
      </c>
      <c r="B13" s="24" t="s">
        <v>324</v>
      </c>
      <c r="C13" s="24" t="s">
        <v>325</v>
      </c>
      <c r="D13" s="24" t="s">
        <v>70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103.58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219.21</v>
      </c>
    </row>
    <row r="14" spans="1:24" x14ac:dyDescent="0.25">
      <c r="A14" s="24" t="s">
        <v>49</v>
      </c>
      <c r="B14" s="24" t="s">
        <v>326</v>
      </c>
      <c r="C14" s="24" t="s">
        <v>327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132.88</v>
      </c>
    </row>
    <row r="15" spans="1:24" x14ac:dyDescent="0.25">
      <c r="A15" s="24" t="s">
        <v>65</v>
      </c>
      <c r="B15" s="24" t="s">
        <v>328</v>
      </c>
      <c r="C15" s="24" t="s">
        <v>329</v>
      </c>
      <c r="D15" s="24" t="s">
        <v>75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0</v>
      </c>
    </row>
    <row r="16" spans="1:24" x14ac:dyDescent="0.25">
      <c r="A16" s="24" t="s">
        <v>55</v>
      </c>
      <c r="B16" s="24" t="s">
        <v>330</v>
      </c>
      <c r="C16" s="24" t="s">
        <v>331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148.93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5</v>
      </c>
      <c r="S16" s="28">
        <f t="shared" si="8"/>
        <v>0</v>
      </c>
      <c r="T16" s="28">
        <f t="shared" si="8"/>
        <v>12</v>
      </c>
      <c r="U16" s="28">
        <f t="shared" si="8"/>
        <v>0</v>
      </c>
      <c r="V16" s="29">
        <f t="shared" si="8"/>
        <v>216</v>
      </c>
      <c r="W16" s="28">
        <f t="shared" si="8"/>
        <v>31</v>
      </c>
      <c r="X16" s="29">
        <f t="shared" si="8"/>
        <v>2510.31</v>
      </c>
    </row>
    <row r="17" spans="1:24" x14ac:dyDescent="0.25">
      <c r="A17" s="24" t="s">
        <v>45</v>
      </c>
      <c r="B17" s="24" t="s">
        <v>332</v>
      </c>
      <c r="C17" s="24" t="s">
        <v>333</v>
      </c>
      <c r="D17" s="24" t="s">
        <v>71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79.83</v>
      </c>
      <c r="M17" s="24" t="s">
        <v>90</v>
      </c>
    </row>
    <row r="18" spans="1:24" x14ac:dyDescent="0.25">
      <c r="A18" s="24" t="s">
        <v>43</v>
      </c>
      <c r="B18" s="24" t="s">
        <v>334</v>
      </c>
      <c r="C18" s="24" t="s">
        <v>335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92.3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57</v>
      </c>
      <c r="B19" s="24" t="s">
        <v>336</v>
      </c>
      <c r="C19" s="24" t="s">
        <v>337</v>
      </c>
      <c r="D19" s="24" t="s">
        <v>71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53</v>
      </c>
      <c r="B20" s="24" t="s">
        <v>338</v>
      </c>
      <c r="C20" s="24" t="s">
        <v>339</v>
      </c>
      <c r="D20" s="24" t="s">
        <v>72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76.099999999999994</v>
      </c>
      <c r="M20" s="24" t="s">
        <v>90</v>
      </c>
    </row>
    <row r="21" spans="1:24" x14ac:dyDescent="0.25">
      <c r="A21" s="24" t="s">
        <v>43</v>
      </c>
      <c r="B21" s="24" t="s">
        <v>340</v>
      </c>
      <c r="C21" s="24" t="s">
        <v>341</v>
      </c>
      <c r="D21" s="24" t="s">
        <v>74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61.45</v>
      </c>
      <c r="M21" s="24" t="s">
        <v>90</v>
      </c>
    </row>
    <row r="22" spans="1:24" x14ac:dyDescent="0.25">
      <c r="A22" s="24" t="s">
        <v>57</v>
      </c>
      <c r="B22" s="24" t="s">
        <v>342</v>
      </c>
      <c r="C22" s="24" t="s">
        <v>343</v>
      </c>
      <c r="D22" s="24" t="s">
        <v>46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92.1</v>
      </c>
      <c r="M22" s="24" t="s">
        <v>90</v>
      </c>
    </row>
    <row r="23" spans="1:24" x14ac:dyDescent="0.25">
      <c r="A23" s="24" t="s">
        <v>63</v>
      </c>
      <c r="B23" s="24" t="s">
        <v>344</v>
      </c>
      <c r="C23" s="24" t="s">
        <v>345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132.88</v>
      </c>
      <c r="M23" s="24" t="s">
        <v>90</v>
      </c>
    </row>
    <row r="24" spans="1:24" x14ac:dyDescent="0.25">
      <c r="A24" s="24" t="s">
        <v>57</v>
      </c>
      <c r="B24" s="24" t="s">
        <v>346</v>
      </c>
      <c r="C24" s="24" t="s">
        <v>347</v>
      </c>
      <c r="D24" s="24" t="s">
        <v>50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18</v>
      </c>
      <c r="K24" s="24">
        <v>1</v>
      </c>
      <c r="L24" s="25">
        <v>183.35</v>
      </c>
      <c r="M24" s="24" t="s">
        <v>90</v>
      </c>
    </row>
    <row r="25" spans="1:24" x14ac:dyDescent="0.25">
      <c r="A25" s="24" t="s">
        <v>59</v>
      </c>
      <c r="B25" s="24" t="s">
        <v>348</v>
      </c>
      <c r="C25" s="24" t="s">
        <v>349</v>
      </c>
      <c r="D25" s="24" t="s">
        <v>69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200.14</v>
      </c>
      <c r="M25" s="24" t="s">
        <v>90</v>
      </c>
    </row>
    <row r="26" spans="1:24" x14ac:dyDescent="0.25">
      <c r="A26" s="24" t="s">
        <v>65</v>
      </c>
      <c r="B26" s="24" t="s">
        <v>350</v>
      </c>
      <c r="C26" s="24" t="s">
        <v>351</v>
      </c>
      <c r="D26" s="24" t="s">
        <v>48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53</v>
      </c>
      <c r="B27" s="24" t="s">
        <v>352</v>
      </c>
      <c r="C27" s="24" t="s">
        <v>353</v>
      </c>
      <c r="D27" s="24" t="s">
        <v>74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18</v>
      </c>
      <c r="K27" s="24">
        <v>1</v>
      </c>
      <c r="L27" s="25">
        <v>155.15</v>
      </c>
      <c r="M27" s="24" t="s">
        <v>168</v>
      </c>
    </row>
    <row r="28" spans="1:24" x14ac:dyDescent="0.25">
      <c r="A28" s="24" t="s">
        <v>47</v>
      </c>
      <c r="B28" s="24" t="s">
        <v>354</v>
      </c>
      <c r="C28" s="24" t="s">
        <v>355</v>
      </c>
      <c r="D28" s="24" t="s">
        <v>77</v>
      </c>
      <c r="E28" s="24">
        <v>0</v>
      </c>
      <c r="F28" s="24">
        <v>0</v>
      </c>
      <c r="G28" s="24">
        <v>0</v>
      </c>
      <c r="H28" s="24">
        <v>1</v>
      </c>
      <c r="I28" s="24">
        <v>0</v>
      </c>
      <c r="J28" s="25">
        <v>0</v>
      </c>
      <c r="K28" s="24">
        <v>1</v>
      </c>
      <c r="L28" s="25">
        <v>42.51</v>
      </c>
      <c r="M28" s="24" t="s">
        <v>90</v>
      </c>
    </row>
    <row r="29" spans="1:24" x14ac:dyDescent="0.25">
      <c r="A29" s="24" t="s">
        <v>55</v>
      </c>
      <c r="B29" s="24" t="s">
        <v>356</v>
      </c>
      <c r="C29" s="24" t="s">
        <v>357</v>
      </c>
      <c r="D29" s="24" t="s">
        <v>58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61</v>
      </c>
      <c r="B30" s="24" t="s">
        <v>358</v>
      </c>
      <c r="C30" s="24" t="s">
        <v>359</v>
      </c>
      <c r="D30" s="24" t="s">
        <v>66</v>
      </c>
      <c r="E30" s="24">
        <v>0</v>
      </c>
      <c r="F30" s="24">
        <v>1</v>
      </c>
      <c r="G30" s="24">
        <v>0</v>
      </c>
      <c r="H30" s="24">
        <v>0</v>
      </c>
      <c r="I30" s="24">
        <v>0</v>
      </c>
      <c r="J30" s="25">
        <v>0</v>
      </c>
      <c r="K30" s="24">
        <v>1</v>
      </c>
      <c r="L30" s="25">
        <v>219.21</v>
      </c>
      <c r="M30" s="24" t="s">
        <v>90</v>
      </c>
    </row>
    <row r="31" spans="1:24" x14ac:dyDescent="0.25">
      <c r="A31" s="24" t="s">
        <v>59</v>
      </c>
      <c r="B31" s="24" t="s">
        <v>360</v>
      </c>
      <c r="C31" s="24" t="s">
        <v>361</v>
      </c>
      <c r="D31" s="24" t="s">
        <v>67</v>
      </c>
      <c r="E31" s="24">
        <v>0</v>
      </c>
      <c r="F31" s="24">
        <v>1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0</v>
      </c>
      <c r="M31" s="24" t="s">
        <v>90</v>
      </c>
    </row>
    <row r="32" spans="1:24" x14ac:dyDescent="0.25">
      <c r="A32" s="24" t="s">
        <v>45</v>
      </c>
      <c r="B32" s="24" t="s">
        <v>362</v>
      </c>
      <c r="C32" s="24" t="s">
        <v>363</v>
      </c>
      <c r="D32" s="24" t="s">
        <v>56</v>
      </c>
      <c r="E32" s="24">
        <v>0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0</v>
      </c>
      <c r="M32" s="24" t="s">
        <v>168</v>
      </c>
    </row>
    <row r="33" spans="1:13" x14ac:dyDescent="0.25">
      <c r="A33" s="24" t="s">
        <v>47</v>
      </c>
      <c r="B33" s="24" t="s">
        <v>364</v>
      </c>
      <c r="C33" s="24" t="s">
        <v>365</v>
      </c>
      <c r="D33" s="24" t="s">
        <v>66</v>
      </c>
      <c r="E33" s="24">
        <v>0</v>
      </c>
      <c r="F33" s="24">
        <v>1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127.58</v>
      </c>
      <c r="M33" s="24" t="s">
        <v>90</v>
      </c>
    </row>
    <row r="34" spans="1:13" x14ac:dyDescent="0.25">
      <c r="A34" s="24" t="s">
        <v>57</v>
      </c>
      <c r="B34" s="24" t="s">
        <v>366</v>
      </c>
      <c r="C34" s="24" t="s">
        <v>367</v>
      </c>
      <c r="D34" s="24" t="s">
        <v>69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31.99</v>
      </c>
      <c r="M34" s="24" t="s">
        <v>90</v>
      </c>
    </row>
    <row r="35" spans="1:13" x14ac:dyDescent="0.25">
      <c r="A35" s="24" t="s">
        <v>59</v>
      </c>
      <c r="B35" s="24" t="s">
        <v>368</v>
      </c>
      <c r="C35" s="24" t="s">
        <v>369</v>
      </c>
      <c r="D35" s="24" t="s">
        <v>66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153.41999999999999</v>
      </c>
      <c r="M35" s="24" t="s">
        <v>90</v>
      </c>
    </row>
    <row r="36" spans="1:13" x14ac:dyDescent="0.25">
      <c r="A36" s="24" t="s">
        <v>59</v>
      </c>
      <c r="B36" s="24" t="s">
        <v>370</v>
      </c>
      <c r="C36" s="24" t="s">
        <v>371</v>
      </c>
      <c r="D36" s="24" t="s">
        <v>80</v>
      </c>
      <c r="E36" s="24">
        <v>0</v>
      </c>
      <c r="F36" s="24">
        <v>0</v>
      </c>
      <c r="G36" s="24">
        <v>0</v>
      </c>
      <c r="H36" s="24">
        <v>0</v>
      </c>
      <c r="I36" s="24">
        <v>0</v>
      </c>
      <c r="J36" s="25">
        <v>0</v>
      </c>
      <c r="K36" s="24">
        <v>0</v>
      </c>
      <c r="L36" s="25">
        <v>168.08</v>
      </c>
      <c r="M36" s="24" t="s">
        <v>90</v>
      </c>
    </row>
    <row r="37" spans="1:13" x14ac:dyDescent="0.25">
      <c r="A37" s="24" t="s">
        <v>65</v>
      </c>
      <c r="B37" s="24" t="s">
        <v>372</v>
      </c>
      <c r="C37" s="24" t="s">
        <v>373</v>
      </c>
      <c r="D37" s="24" t="s">
        <v>50</v>
      </c>
      <c r="E37" s="24">
        <v>1</v>
      </c>
      <c r="F37" s="24">
        <v>0</v>
      </c>
      <c r="G37" s="24">
        <v>0</v>
      </c>
      <c r="H37" s="24">
        <v>0</v>
      </c>
      <c r="I37" s="24">
        <v>0</v>
      </c>
      <c r="J37" s="25">
        <v>0</v>
      </c>
      <c r="K37" s="24">
        <v>1</v>
      </c>
      <c r="L37" s="25">
        <v>0</v>
      </c>
      <c r="M37" s="24" t="s">
        <v>90</v>
      </c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374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375</v>
      </c>
      <c r="C4" s="24" t="s">
        <v>376</v>
      </c>
      <c r="D4" s="24" t="s">
        <v>73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0</v>
      </c>
    </row>
    <row r="5" spans="1:24" x14ac:dyDescent="0.25">
      <c r="A5" s="24" t="s">
        <v>43</v>
      </c>
      <c r="B5" s="24" t="s">
        <v>377</v>
      </c>
      <c r="C5" s="24" t="s">
        <v>378</v>
      </c>
      <c r="D5" s="24" t="s">
        <v>73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1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0</v>
      </c>
    </row>
    <row r="6" spans="1:24" x14ac:dyDescent="0.25">
      <c r="A6" s="24" t="s">
        <v>51</v>
      </c>
      <c r="B6" s="24" t="s">
        <v>379</v>
      </c>
      <c r="C6" s="24" t="s">
        <v>380</v>
      </c>
      <c r="D6" s="24" t="s">
        <v>66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30</v>
      </c>
      <c r="W6" s="21">
        <f t="shared" si="6"/>
        <v>2</v>
      </c>
      <c r="X6" s="26">
        <f t="shared" si="7"/>
        <v>310.65999999999997</v>
      </c>
    </row>
    <row r="7" spans="1:24" x14ac:dyDescent="0.25">
      <c r="A7" s="24" t="s">
        <v>51</v>
      </c>
      <c r="B7" s="24" t="s">
        <v>381</v>
      </c>
      <c r="C7" s="24" t="s">
        <v>382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38.99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2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40</v>
      </c>
      <c r="W7" s="21">
        <f t="shared" si="6"/>
        <v>4</v>
      </c>
      <c r="X7" s="26">
        <f t="shared" si="7"/>
        <v>135.65</v>
      </c>
    </row>
    <row r="8" spans="1:24" x14ac:dyDescent="0.25">
      <c r="A8" s="24" t="s">
        <v>63</v>
      </c>
      <c r="B8" s="24" t="s">
        <v>383</v>
      </c>
      <c r="C8" s="24" t="s">
        <v>384</v>
      </c>
      <c r="D8" s="24" t="s">
        <v>69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16</v>
      </c>
      <c r="K8" s="24">
        <v>1</v>
      </c>
      <c r="L8" s="25">
        <v>16.36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24</v>
      </c>
      <c r="W8" s="21">
        <f t="shared" si="6"/>
        <v>2</v>
      </c>
      <c r="X8" s="26">
        <f t="shared" si="7"/>
        <v>38.99</v>
      </c>
    </row>
    <row r="9" spans="1:24" x14ac:dyDescent="0.25">
      <c r="A9" s="24" t="s">
        <v>49</v>
      </c>
      <c r="B9" s="24" t="s">
        <v>385</v>
      </c>
      <c r="C9" s="24" t="s">
        <v>386</v>
      </c>
      <c r="D9" s="24" t="s">
        <v>50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16</v>
      </c>
      <c r="W9" s="21">
        <f t="shared" si="6"/>
        <v>0</v>
      </c>
      <c r="X9" s="26">
        <f t="shared" si="7"/>
        <v>60.24</v>
      </c>
    </row>
    <row r="10" spans="1:24" x14ac:dyDescent="0.25">
      <c r="A10" s="24" t="s">
        <v>49</v>
      </c>
      <c r="B10" s="24" t="s">
        <v>387</v>
      </c>
      <c r="C10" s="24" t="s">
        <v>388</v>
      </c>
      <c r="D10" s="24" t="s">
        <v>62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59.77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30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57</v>
      </c>
      <c r="B11" s="24" t="s">
        <v>389</v>
      </c>
      <c r="C11" s="24" t="s">
        <v>390</v>
      </c>
      <c r="D11" s="24" t="s">
        <v>69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58.92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58.92</v>
      </c>
    </row>
    <row r="12" spans="1:24" x14ac:dyDescent="0.25">
      <c r="A12" s="24" t="s">
        <v>59</v>
      </c>
      <c r="B12" s="24" t="s">
        <v>391</v>
      </c>
      <c r="C12" s="24" t="s">
        <v>392</v>
      </c>
      <c r="D12" s="24" t="s">
        <v>66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1</v>
      </c>
      <c r="L12" s="25">
        <v>142.57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33</v>
      </c>
      <c r="W12" s="21">
        <f t="shared" si="6"/>
        <v>2</v>
      </c>
      <c r="X12" s="26">
        <f t="shared" si="7"/>
        <v>234.25</v>
      </c>
    </row>
    <row r="13" spans="1:24" x14ac:dyDescent="0.25">
      <c r="A13" s="24" t="s">
        <v>61</v>
      </c>
      <c r="B13" s="24" t="s">
        <v>393</v>
      </c>
      <c r="C13" s="24" t="s">
        <v>394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16</v>
      </c>
      <c r="K13" s="24">
        <v>1</v>
      </c>
      <c r="L13" s="25">
        <v>22.15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31</v>
      </c>
      <c r="W13" s="21">
        <f t="shared" si="6"/>
        <v>2</v>
      </c>
      <c r="X13" s="26">
        <f t="shared" si="7"/>
        <v>159.07</v>
      </c>
    </row>
    <row r="14" spans="1:24" x14ac:dyDescent="0.25">
      <c r="A14" s="24" t="s">
        <v>45</v>
      </c>
      <c r="B14" s="24" t="s">
        <v>395</v>
      </c>
      <c r="C14" s="24" t="s">
        <v>396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16</v>
      </c>
      <c r="W14" s="21">
        <f t="shared" si="6"/>
        <v>1</v>
      </c>
      <c r="X14" s="26">
        <f t="shared" si="7"/>
        <v>16.36</v>
      </c>
    </row>
    <row r="15" spans="1:24" x14ac:dyDescent="0.25">
      <c r="A15" s="24" t="s">
        <v>49</v>
      </c>
      <c r="B15" s="24" t="s">
        <v>397</v>
      </c>
      <c r="C15" s="24" t="s">
        <v>398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75.88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47</v>
      </c>
      <c r="B16" s="24" t="s">
        <v>399</v>
      </c>
      <c r="C16" s="24" t="s">
        <v>400</v>
      </c>
      <c r="D16" s="24" t="s">
        <v>44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15</v>
      </c>
      <c r="K16" s="24">
        <v>1</v>
      </c>
      <c r="L16" s="25">
        <v>157.44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4</v>
      </c>
      <c r="S16" s="28">
        <f t="shared" si="8"/>
        <v>0</v>
      </c>
      <c r="T16" s="28">
        <f t="shared" si="8"/>
        <v>6</v>
      </c>
      <c r="U16" s="28">
        <f t="shared" si="8"/>
        <v>0</v>
      </c>
      <c r="V16" s="29">
        <f t="shared" si="8"/>
        <v>253</v>
      </c>
      <c r="W16" s="28">
        <f t="shared" si="8"/>
        <v>20</v>
      </c>
      <c r="X16" s="29">
        <f t="shared" si="8"/>
        <v>1014.14</v>
      </c>
    </row>
    <row r="17" spans="1:24" x14ac:dyDescent="0.25">
      <c r="A17" s="24" t="s">
        <v>59</v>
      </c>
      <c r="B17" s="24" t="s">
        <v>401</v>
      </c>
      <c r="C17" s="24" t="s">
        <v>402</v>
      </c>
      <c r="D17" s="24" t="s">
        <v>62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91.68</v>
      </c>
      <c r="M17" s="24" t="s">
        <v>90</v>
      </c>
    </row>
    <row r="18" spans="1:24" x14ac:dyDescent="0.25">
      <c r="A18" s="24" t="s">
        <v>55</v>
      </c>
      <c r="B18" s="24" t="s">
        <v>403</v>
      </c>
      <c r="C18" s="24" t="s">
        <v>404</v>
      </c>
      <c r="D18" s="24" t="s">
        <v>77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15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65</v>
      </c>
      <c r="B19" s="24" t="s">
        <v>405</v>
      </c>
      <c r="C19" s="24" t="s">
        <v>406</v>
      </c>
      <c r="D19" s="24" t="s">
        <v>58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61</v>
      </c>
      <c r="B20" s="24" t="s">
        <v>407</v>
      </c>
      <c r="C20" s="24" t="s">
        <v>408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136.91999999999999</v>
      </c>
      <c r="M20" s="24" t="s">
        <v>90</v>
      </c>
    </row>
    <row r="21" spans="1:24" x14ac:dyDescent="0.25">
      <c r="A21" s="24" t="s">
        <v>53</v>
      </c>
      <c r="B21" s="24" t="s">
        <v>409</v>
      </c>
      <c r="C21" s="24" t="s">
        <v>410</v>
      </c>
      <c r="D21" s="24" t="s">
        <v>78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16</v>
      </c>
      <c r="K21" s="24">
        <v>0</v>
      </c>
      <c r="L21" s="25">
        <v>60.24</v>
      </c>
      <c r="M21" s="24" t="s">
        <v>90</v>
      </c>
    </row>
    <row r="22" spans="1:24" x14ac:dyDescent="0.25">
      <c r="A22" s="24" t="s">
        <v>49</v>
      </c>
      <c r="B22" s="24" t="s">
        <v>411</v>
      </c>
      <c r="C22" s="24" t="s">
        <v>412</v>
      </c>
      <c r="D22" s="24" t="s">
        <v>54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16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45</v>
      </c>
      <c r="B23" s="24" t="s">
        <v>413</v>
      </c>
      <c r="C23" s="24" t="s">
        <v>414</v>
      </c>
      <c r="D23" s="24" t="s">
        <v>75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33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47</v>
      </c>
      <c r="B24" s="24" t="s">
        <v>415</v>
      </c>
      <c r="C24" s="24" t="s">
        <v>416</v>
      </c>
      <c r="D24" s="24" t="s">
        <v>46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153.22</v>
      </c>
      <c r="M24" s="24" t="s">
        <v>90</v>
      </c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417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51</v>
      </c>
      <c r="B4" s="24" t="s">
        <v>418</v>
      </c>
      <c r="C4" s="24" t="s">
        <v>419</v>
      </c>
      <c r="D4" s="24" t="s">
        <v>54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72.98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5</v>
      </c>
      <c r="R4" s="21">
        <f t="shared" ref="R4:R15" si="1">SUMIF($A$4:$A$63,$P4,F$4:F$63)</f>
        <v>0</v>
      </c>
      <c r="S4" s="21">
        <f t="shared" ref="S4:S15" si="2">SUMIF($A$4:$A$63,$P4,G$4:G$63)</f>
        <v>2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33</v>
      </c>
      <c r="W4" s="21">
        <f t="shared" ref="W4:W15" si="6">SUMIF($A$4:$A$63,$P4,K$4:K$63)</f>
        <v>5</v>
      </c>
      <c r="X4" s="26">
        <f t="shared" ref="X4:X15" si="7">SUMIF($A$4:$A$63,$P4,L$4:L$63)</f>
        <v>537.64</v>
      </c>
    </row>
    <row r="5" spans="1:24" x14ac:dyDescent="0.25">
      <c r="A5" s="24" t="s">
        <v>61</v>
      </c>
      <c r="B5" s="24" t="s">
        <v>420</v>
      </c>
      <c r="C5" s="24" t="s">
        <v>421</v>
      </c>
      <c r="D5" s="24" t="s">
        <v>79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99.12</v>
      </c>
    </row>
    <row r="6" spans="1:24" x14ac:dyDescent="0.25">
      <c r="A6" s="24" t="s">
        <v>45</v>
      </c>
      <c r="B6" s="24" t="s">
        <v>422</v>
      </c>
      <c r="C6" s="24" t="s">
        <v>423</v>
      </c>
      <c r="D6" s="24" t="s">
        <v>54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0.15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16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65</v>
      </c>
      <c r="B7" s="24" t="s">
        <v>424</v>
      </c>
      <c r="C7" s="24" t="s">
        <v>425</v>
      </c>
      <c r="D7" s="24" t="s">
        <v>76</v>
      </c>
      <c r="E7" s="24">
        <v>0</v>
      </c>
      <c r="F7" s="24">
        <v>0</v>
      </c>
      <c r="G7" s="24">
        <v>0</v>
      </c>
      <c r="H7" s="24">
        <v>0</v>
      </c>
      <c r="I7" s="24">
        <v>1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55</v>
      </c>
      <c r="B8" s="24" t="s">
        <v>426</v>
      </c>
      <c r="C8" s="24" t="s">
        <v>427</v>
      </c>
      <c r="D8" s="24" t="s">
        <v>78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69.62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1</v>
      </c>
      <c r="T8" s="21">
        <f t="shared" si="3"/>
        <v>1</v>
      </c>
      <c r="U8" s="21">
        <f t="shared" si="4"/>
        <v>0</v>
      </c>
      <c r="V8" s="26">
        <f t="shared" si="5"/>
        <v>33</v>
      </c>
      <c r="W8" s="21">
        <f t="shared" si="6"/>
        <v>4</v>
      </c>
      <c r="X8" s="26">
        <f t="shared" si="7"/>
        <v>373.83</v>
      </c>
    </row>
    <row r="9" spans="1:24" x14ac:dyDescent="0.25">
      <c r="A9" s="24" t="s">
        <v>45</v>
      </c>
      <c r="B9" s="24" t="s">
        <v>428</v>
      </c>
      <c r="C9" s="24" t="s">
        <v>429</v>
      </c>
      <c r="D9" s="24" t="s">
        <v>64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1</v>
      </c>
      <c r="L9" s="25">
        <v>98.97</v>
      </c>
      <c r="M9" s="24" t="s">
        <v>90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33</v>
      </c>
      <c r="W9" s="21">
        <f t="shared" si="6"/>
        <v>3</v>
      </c>
      <c r="X9" s="26">
        <f t="shared" si="7"/>
        <v>296.44</v>
      </c>
    </row>
    <row r="10" spans="1:24" x14ac:dyDescent="0.25">
      <c r="A10" s="24" t="s">
        <v>43</v>
      </c>
      <c r="B10" s="24" t="s">
        <v>430</v>
      </c>
      <c r="C10" s="24" t="s">
        <v>431</v>
      </c>
      <c r="D10" s="24" t="s">
        <v>74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157.16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1</v>
      </c>
      <c r="T10" s="21">
        <f t="shared" si="3"/>
        <v>0</v>
      </c>
      <c r="U10" s="21">
        <f t="shared" si="4"/>
        <v>0</v>
      </c>
      <c r="V10" s="26">
        <f t="shared" si="5"/>
        <v>18</v>
      </c>
      <c r="W10" s="21">
        <f t="shared" si="6"/>
        <v>3</v>
      </c>
      <c r="X10" s="26">
        <f t="shared" si="7"/>
        <v>364.19</v>
      </c>
    </row>
    <row r="11" spans="1:24" x14ac:dyDescent="0.25">
      <c r="A11" s="24" t="s">
        <v>57</v>
      </c>
      <c r="B11" s="24" t="s">
        <v>432</v>
      </c>
      <c r="C11" s="24" t="s">
        <v>433</v>
      </c>
      <c r="D11" s="24" t="s">
        <v>56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43.03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43.03</v>
      </c>
    </row>
    <row r="12" spans="1:24" x14ac:dyDescent="0.25">
      <c r="A12" s="24" t="s">
        <v>55</v>
      </c>
      <c r="B12" s="24" t="s">
        <v>434</v>
      </c>
      <c r="C12" s="24" t="s">
        <v>435</v>
      </c>
      <c r="D12" s="24" t="s">
        <v>73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137.56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55</v>
      </c>
      <c r="B13" s="24" t="s">
        <v>436</v>
      </c>
      <c r="C13" s="24" t="s">
        <v>437</v>
      </c>
      <c r="D13" s="24" t="s">
        <v>74</v>
      </c>
      <c r="E13" s="24">
        <v>1</v>
      </c>
      <c r="F13" s="24">
        <v>0</v>
      </c>
      <c r="G13" s="24">
        <v>1</v>
      </c>
      <c r="H13" s="24">
        <v>0</v>
      </c>
      <c r="I13" s="24">
        <v>0</v>
      </c>
      <c r="J13" s="25">
        <v>0</v>
      </c>
      <c r="K13" s="24">
        <v>1</v>
      </c>
      <c r="L13" s="25">
        <v>40.75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24.38</v>
      </c>
    </row>
    <row r="14" spans="1:24" x14ac:dyDescent="0.25">
      <c r="A14" s="24" t="s">
        <v>61</v>
      </c>
      <c r="B14" s="24" t="s">
        <v>438</v>
      </c>
      <c r="C14" s="24" t="s">
        <v>439</v>
      </c>
      <c r="D14" s="24" t="s">
        <v>58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24.38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0</v>
      </c>
      <c r="W14" s="21">
        <f t="shared" si="6"/>
        <v>2</v>
      </c>
      <c r="X14" s="26">
        <f t="shared" si="7"/>
        <v>69.25</v>
      </c>
    </row>
    <row r="15" spans="1:24" x14ac:dyDescent="0.25">
      <c r="A15" s="24" t="s">
        <v>43</v>
      </c>
      <c r="B15" s="24" t="s">
        <v>440</v>
      </c>
      <c r="C15" s="24" t="s">
        <v>441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33</v>
      </c>
      <c r="K15" s="24">
        <v>1</v>
      </c>
      <c r="L15" s="25">
        <v>0.61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3</v>
      </c>
      <c r="X15" s="26">
        <f t="shared" si="7"/>
        <v>154.15</v>
      </c>
    </row>
    <row r="16" spans="1:24" x14ac:dyDescent="0.25">
      <c r="A16" s="24" t="s">
        <v>47</v>
      </c>
      <c r="B16" s="24" t="s">
        <v>442</v>
      </c>
      <c r="C16" s="24" t="s">
        <v>443</v>
      </c>
      <c r="D16" s="24" t="s">
        <v>62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27</v>
      </c>
      <c r="R16" s="28">
        <f t="shared" si="8"/>
        <v>1</v>
      </c>
      <c r="S16" s="28">
        <f t="shared" si="8"/>
        <v>5</v>
      </c>
      <c r="T16" s="28">
        <f t="shared" si="8"/>
        <v>8</v>
      </c>
      <c r="U16" s="28">
        <f t="shared" si="8"/>
        <v>1</v>
      </c>
      <c r="V16" s="29">
        <f t="shared" si="8"/>
        <v>199</v>
      </c>
      <c r="W16" s="28">
        <f t="shared" si="8"/>
        <v>27</v>
      </c>
      <c r="X16" s="29">
        <f t="shared" si="8"/>
        <v>1962.0300000000002</v>
      </c>
    </row>
    <row r="17" spans="1:24" x14ac:dyDescent="0.25">
      <c r="A17" s="24" t="s">
        <v>65</v>
      </c>
      <c r="B17" s="24" t="s">
        <v>444</v>
      </c>
      <c r="C17" s="24" t="s">
        <v>445</v>
      </c>
      <c r="D17" s="24" t="s">
        <v>68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110.42</v>
      </c>
      <c r="M17" s="24" t="s">
        <v>90</v>
      </c>
    </row>
    <row r="18" spans="1:24" x14ac:dyDescent="0.25">
      <c r="A18" s="24" t="s">
        <v>43</v>
      </c>
      <c r="B18" s="24" t="s">
        <v>446</v>
      </c>
      <c r="C18" s="24" t="s">
        <v>447</v>
      </c>
      <c r="D18" s="24" t="s">
        <v>73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0</v>
      </c>
      <c r="K18" s="24">
        <v>1</v>
      </c>
      <c r="L18" s="25">
        <v>84.82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448</v>
      </c>
      <c r="C19" s="24" t="s">
        <v>449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65</v>
      </c>
      <c r="B20" s="24" t="s">
        <v>450</v>
      </c>
      <c r="C20" s="24" t="s">
        <v>451</v>
      </c>
      <c r="D20" s="24" t="s">
        <v>48</v>
      </c>
      <c r="E20" s="24">
        <v>1</v>
      </c>
      <c r="F20" s="24">
        <v>0</v>
      </c>
      <c r="G20" s="24">
        <v>1</v>
      </c>
      <c r="H20" s="24">
        <v>0</v>
      </c>
      <c r="I20" s="24">
        <v>0</v>
      </c>
      <c r="J20" s="25">
        <v>0</v>
      </c>
      <c r="K20" s="24">
        <v>1</v>
      </c>
      <c r="L20" s="25">
        <v>43.73</v>
      </c>
      <c r="M20" s="24" t="s">
        <v>90</v>
      </c>
    </row>
    <row r="21" spans="1:24" x14ac:dyDescent="0.25">
      <c r="A21" s="24" t="s">
        <v>53</v>
      </c>
      <c r="B21" s="24" t="s">
        <v>452</v>
      </c>
      <c r="C21" s="24" t="s">
        <v>453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218.6</v>
      </c>
      <c r="M21" s="24" t="s">
        <v>90</v>
      </c>
    </row>
    <row r="22" spans="1:24" x14ac:dyDescent="0.25">
      <c r="A22" s="24" t="s">
        <v>55</v>
      </c>
      <c r="B22" s="24" t="s">
        <v>454</v>
      </c>
      <c r="C22" s="24" t="s">
        <v>455</v>
      </c>
      <c r="D22" s="24" t="s">
        <v>46</v>
      </c>
      <c r="E22" s="24">
        <v>0</v>
      </c>
      <c r="F22" s="24">
        <v>1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116.26</v>
      </c>
      <c r="M22" s="24" t="s">
        <v>90</v>
      </c>
    </row>
    <row r="23" spans="1:24" x14ac:dyDescent="0.25">
      <c r="A23" s="24" t="s">
        <v>63</v>
      </c>
      <c r="B23" s="24" t="s">
        <v>456</v>
      </c>
      <c r="C23" s="24" t="s">
        <v>457</v>
      </c>
      <c r="D23" s="24" t="s">
        <v>58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59</v>
      </c>
      <c r="B24" s="24" t="s">
        <v>458</v>
      </c>
      <c r="C24" s="24" t="s">
        <v>459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33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43</v>
      </c>
      <c r="B25" s="24" t="s">
        <v>460</v>
      </c>
      <c r="C25" s="24" t="s">
        <v>461</v>
      </c>
      <c r="D25" s="24" t="s">
        <v>66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137.16999999999999</v>
      </c>
      <c r="M25" s="24" t="s">
        <v>90</v>
      </c>
    </row>
    <row r="26" spans="1:24" x14ac:dyDescent="0.25">
      <c r="A26" s="24" t="s">
        <v>45</v>
      </c>
      <c r="B26" s="24" t="s">
        <v>462</v>
      </c>
      <c r="C26" s="24" t="s">
        <v>463</v>
      </c>
      <c r="D26" s="24" t="s">
        <v>78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0</v>
      </c>
      <c r="L26" s="25">
        <v>0</v>
      </c>
      <c r="M26" s="24" t="s">
        <v>90</v>
      </c>
    </row>
    <row r="27" spans="1:24" x14ac:dyDescent="0.25">
      <c r="A27" s="24" t="s">
        <v>49</v>
      </c>
      <c r="B27" s="24" t="s">
        <v>464</v>
      </c>
      <c r="C27" s="24" t="s">
        <v>465</v>
      </c>
      <c r="D27" s="24" t="s">
        <v>44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51</v>
      </c>
      <c r="B28" s="24" t="s">
        <v>466</v>
      </c>
      <c r="C28" s="24" t="s">
        <v>467</v>
      </c>
      <c r="D28" s="24" t="s">
        <v>44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0</v>
      </c>
      <c r="M28" s="24" t="s">
        <v>168</v>
      </c>
    </row>
    <row r="29" spans="1:24" x14ac:dyDescent="0.25">
      <c r="A29" s="24" t="s">
        <v>63</v>
      </c>
      <c r="B29" s="24" t="s">
        <v>468</v>
      </c>
      <c r="C29" s="24" t="s">
        <v>469</v>
      </c>
      <c r="D29" s="24" t="s">
        <v>71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69.25</v>
      </c>
      <c r="M29" s="24" t="s">
        <v>90</v>
      </c>
    </row>
    <row r="30" spans="1:24" x14ac:dyDescent="0.25">
      <c r="A30" s="24" t="s">
        <v>53</v>
      </c>
      <c r="B30" s="24" t="s">
        <v>470</v>
      </c>
      <c r="C30" s="24" t="s">
        <v>471</v>
      </c>
      <c r="D30" s="24" t="s">
        <v>64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15</v>
      </c>
      <c r="K30" s="24">
        <v>1</v>
      </c>
      <c r="L30" s="25">
        <v>77.84</v>
      </c>
      <c r="M30" s="24" t="s">
        <v>90</v>
      </c>
    </row>
    <row r="31" spans="1:24" x14ac:dyDescent="0.25">
      <c r="A31" s="24" t="s">
        <v>51</v>
      </c>
      <c r="B31" s="24" t="s">
        <v>472</v>
      </c>
      <c r="C31" s="24" t="s">
        <v>473</v>
      </c>
      <c r="D31" s="24" t="s">
        <v>68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114.16</v>
      </c>
      <c r="M31" s="24" t="s">
        <v>90</v>
      </c>
    </row>
    <row r="32" spans="1:24" x14ac:dyDescent="0.25">
      <c r="A32" s="24" t="s">
        <v>51</v>
      </c>
      <c r="B32" s="24" t="s">
        <v>474</v>
      </c>
      <c r="C32" s="24" t="s">
        <v>475</v>
      </c>
      <c r="D32" s="24" t="s">
        <v>69</v>
      </c>
      <c r="E32" s="24">
        <v>1</v>
      </c>
      <c r="F32" s="24">
        <v>0</v>
      </c>
      <c r="G32" s="24">
        <v>1</v>
      </c>
      <c r="H32" s="24">
        <v>0</v>
      </c>
      <c r="I32" s="24">
        <v>0</v>
      </c>
      <c r="J32" s="25">
        <v>33</v>
      </c>
      <c r="K32" s="24">
        <v>1</v>
      </c>
      <c r="L32" s="25">
        <v>186.69</v>
      </c>
      <c r="M32" s="24" t="s">
        <v>90</v>
      </c>
    </row>
    <row r="33" spans="1:13" x14ac:dyDescent="0.25">
      <c r="A33" s="24" t="s">
        <v>43</v>
      </c>
      <c r="B33" s="24" t="s">
        <v>476</v>
      </c>
      <c r="C33" s="24" t="s">
        <v>477</v>
      </c>
      <c r="D33" s="24" t="s">
        <v>50</v>
      </c>
      <c r="E33" s="24">
        <v>1</v>
      </c>
      <c r="F33" s="24">
        <v>0</v>
      </c>
      <c r="G33" s="24">
        <v>1</v>
      </c>
      <c r="H33" s="24">
        <v>0</v>
      </c>
      <c r="I33" s="24">
        <v>0</v>
      </c>
      <c r="J33" s="25">
        <v>0</v>
      </c>
      <c r="K33" s="24">
        <v>1</v>
      </c>
      <c r="L33" s="25">
        <v>157.88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478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479</v>
      </c>
      <c r="C4" s="24" t="s">
        <v>480</v>
      </c>
      <c r="D4" s="24" t="s">
        <v>62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201.36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2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108.4</v>
      </c>
    </row>
    <row r="5" spans="1:24" x14ac:dyDescent="0.25">
      <c r="A5" s="24" t="s">
        <v>49</v>
      </c>
      <c r="B5" s="24" t="s">
        <v>481</v>
      </c>
      <c r="C5" s="24" t="s">
        <v>482</v>
      </c>
      <c r="D5" s="24" t="s">
        <v>56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5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6</v>
      </c>
      <c r="X5" s="26">
        <f t="shared" si="7"/>
        <v>878.18</v>
      </c>
    </row>
    <row r="6" spans="1:24" x14ac:dyDescent="0.25">
      <c r="A6" s="24" t="s">
        <v>63</v>
      </c>
      <c r="B6" s="24" t="s">
        <v>483</v>
      </c>
      <c r="C6" s="24" t="s">
        <v>484</v>
      </c>
      <c r="D6" s="24" t="s">
        <v>54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100.35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45</v>
      </c>
      <c r="B7" s="24" t="s">
        <v>485</v>
      </c>
      <c r="C7" s="24" t="s">
        <v>486</v>
      </c>
      <c r="D7" s="24" t="s">
        <v>69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205.06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4</v>
      </c>
      <c r="X7" s="26">
        <f t="shared" si="7"/>
        <v>241.24</v>
      </c>
    </row>
    <row r="8" spans="1:24" x14ac:dyDescent="0.25">
      <c r="A8" s="24" t="s">
        <v>49</v>
      </c>
      <c r="B8" s="24" t="s">
        <v>487</v>
      </c>
      <c r="C8" s="24" t="s">
        <v>488</v>
      </c>
      <c r="D8" s="24" t="s">
        <v>46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14.34</v>
      </c>
      <c r="M8" s="24" t="s">
        <v>90</v>
      </c>
      <c r="P8" s="21" t="str">
        <f>Setup!$A$9</f>
        <v>Expert 05</v>
      </c>
      <c r="Q8" s="21">
        <f t="shared" si="0"/>
        <v>3</v>
      </c>
      <c r="R8" s="21">
        <f t="shared" si="1"/>
        <v>0</v>
      </c>
      <c r="S8" s="21">
        <f t="shared" si="2"/>
        <v>0</v>
      </c>
      <c r="T8" s="21">
        <f t="shared" si="3"/>
        <v>3</v>
      </c>
      <c r="U8" s="21">
        <f t="shared" si="4"/>
        <v>0</v>
      </c>
      <c r="V8" s="26">
        <f t="shared" si="5"/>
        <v>16</v>
      </c>
      <c r="W8" s="21">
        <f t="shared" si="6"/>
        <v>5</v>
      </c>
      <c r="X8" s="26">
        <f t="shared" si="7"/>
        <v>114.62</v>
      </c>
    </row>
    <row r="9" spans="1:24" x14ac:dyDescent="0.25">
      <c r="A9" s="24" t="s">
        <v>51</v>
      </c>
      <c r="B9" s="24" t="s">
        <v>489</v>
      </c>
      <c r="C9" s="24" t="s">
        <v>490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92.89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45</v>
      </c>
      <c r="B10" s="24" t="s">
        <v>491</v>
      </c>
      <c r="C10" s="24" t="s">
        <v>492</v>
      </c>
      <c r="D10" s="24" t="s">
        <v>67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39.75</v>
      </c>
      <c r="M10" s="24" t="s">
        <v>168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36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63</v>
      </c>
      <c r="B11" s="24" t="s">
        <v>493</v>
      </c>
      <c r="C11" s="24" t="s">
        <v>494</v>
      </c>
      <c r="D11" s="24" t="s">
        <v>77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2</v>
      </c>
      <c r="X11" s="26">
        <f t="shared" si="7"/>
        <v>30.12</v>
      </c>
    </row>
    <row r="12" spans="1:24" x14ac:dyDescent="0.25">
      <c r="A12" s="24" t="s">
        <v>51</v>
      </c>
      <c r="B12" s="24" t="s">
        <v>495</v>
      </c>
      <c r="C12" s="24" t="s">
        <v>496</v>
      </c>
      <c r="D12" s="24" t="s">
        <v>48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45</v>
      </c>
      <c r="B13" s="24" t="s">
        <v>497</v>
      </c>
      <c r="C13" s="24" t="s">
        <v>498</v>
      </c>
      <c r="D13" s="24" t="s">
        <v>44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174.52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200.61</v>
      </c>
    </row>
    <row r="14" spans="1:24" x14ac:dyDescent="0.25">
      <c r="A14" s="24" t="s">
        <v>63</v>
      </c>
      <c r="B14" s="24" t="s">
        <v>499</v>
      </c>
      <c r="C14" s="24" t="s">
        <v>500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18</v>
      </c>
      <c r="K14" s="24">
        <v>1</v>
      </c>
      <c r="L14" s="25">
        <v>163.13999999999999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18</v>
      </c>
      <c r="W14" s="21">
        <f t="shared" si="6"/>
        <v>3</v>
      </c>
      <c r="X14" s="26">
        <f t="shared" si="7"/>
        <v>263.49</v>
      </c>
    </row>
    <row r="15" spans="1:24" x14ac:dyDescent="0.25">
      <c r="A15" s="24" t="s">
        <v>47</v>
      </c>
      <c r="B15" s="24" t="s">
        <v>501</v>
      </c>
      <c r="C15" s="24" t="s">
        <v>502</v>
      </c>
      <c r="D15" s="24" t="s">
        <v>78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45</v>
      </c>
      <c r="B16" s="24" t="s">
        <v>503</v>
      </c>
      <c r="C16" s="24" t="s">
        <v>504</v>
      </c>
      <c r="D16" s="24" t="s">
        <v>80</v>
      </c>
      <c r="E16" s="24">
        <v>0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0</v>
      </c>
      <c r="L16" s="25">
        <v>55.21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1</v>
      </c>
      <c r="S16" s="28">
        <f t="shared" si="8"/>
        <v>0</v>
      </c>
      <c r="T16" s="28">
        <f t="shared" si="8"/>
        <v>11</v>
      </c>
      <c r="U16" s="28">
        <f t="shared" si="8"/>
        <v>0</v>
      </c>
      <c r="V16" s="29">
        <f t="shared" si="8"/>
        <v>103</v>
      </c>
      <c r="W16" s="28">
        <f t="shared" si="8"/>
        <v>25</v>
      </c>
      <c r="X16" s="29">
        <f t="shared" si="8"/>
        <v>1836.66</v>
      </c>
    </row>
    <row r="17" spans="1:24" x14ac:dyDescent="0.25">
      <c r="A17" s="24" t="s">
        <v>57</v>
      </c>
      <c r="B17" s="24" t="s">
        <v>505</v>
      </c>
      <c r="C17" s="24" t="s">
        <v>506</v>
      </c>
      <c r="D17" s="24" t="s">
        <v>67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30.12</v>
      </c>
      <c r="M17" s="24" t="s">
        <v>90</v>
      </c>
    </row>
    <row r="18" spans="1:24" x14ac:dyDescent="0.25">
      <c r="A18" s="24" t="s">
        <v>43</v>
      </c>
      <c r="B18" s="24" t="s">
        <v>507</v>
      </c>
      <c r="C18" s="24" t="s">
        <v>508</v>
      </c>
      <c r="D18" s="24" t="s">
        <v>70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108.4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57</v>
      </c>
      <c r="B19" s="24" t="s">
        <v>509</v>
      </c>
      <c r="C19" s="24" t="s">
        <v>510</v>
      </c>
      <c r="D19" s="24" t="s">
        <v>54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511</v>
      </c>
      <c r="C20" s="24" t="s">
        <v>512</v>
      </c>
      <c r="D20" s="24" t="s">
        <v>50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51</v>
      </c>
      <c r="B21" s="24" t="s">
        <v>513</v>
      </c>
      <c r="C21" s="24" t="s">
        <v>514</v>
      </c>
      <c r="D21" s="24" t="s">
        <v>52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51</v>
      </c>
      <c r="B22" s="24" t="s">
        <v>515</v>
      </c>
      <c r="C22" s="24" t="s">
        <v>516</v>
      </c>
      <c r="D22" s="24" t="s">
        <v>56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21.73</v>
      </c>
      <c r="M22" s="24" t="s">
        <v>168</v>
      </c>
    </row>
    <row r="23" spans="1:24" x14ac:dyDescent="0.25">
      <c r="A23" s="24" t="s">
        <v>51</v>
      </c>
      <c r="B23" s="24" t="s">
        <v>517</v>
      </c>
      <c r="C23" s="24" t="s">
        <v>518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43</v>
      </c>
      <c r="B24" s="24" t="s">
        <v>519</v>
      </c>
      <c r="C24" s="24" t="s">
        <v>520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45</v>
      </c>
      <c r="B25" s="24" t="s">
        <v>521</v>
      </c>
      <c r="C25" s="24" t="s">
        <v>522</v>
      </c>
      <c r="D25" s="24" t="s">
        <v>74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102.06</v>
      </c>
      <c r="M25" s="24" t="s">
        <v>90</v>
      </c>
    </row>
    <row r="26" spans="1:24" x14ac:dyDescent="0.25">
      <c r="A26" s="24" t="s">
        <v>61</v>
      </c>
      <c r="B26" s="24" t="s">
        <v>523</v>
      </c>
      <c r="C26" s="24" t="s">
        <v>524</v>
      </c>
      <c r="D26" s="24" t="s">
        <v>75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200.61</v>
      </c>
      <c r="M26" s="24" t="s">
        <v>90</v>
      </c>
    </row>
    <row r="27" spans="1:24" x14ac:dyDescent="0.25">
      <c r="A27" s="24" t="s">
        <v>45</v>
      </c>
      <c r="B27" s="24" t="s">
        <v>525</v>
      </c>
      <c r="C27" s="24" t="s">
        <v>526</v>
      </c>
      <c r="D27" s="24" t="s">
        <v>70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110.92</v>
      </c>
      <c r="M27" s="24" t="s">
        <v>90</v>
      </c>
    </row>
    <row r="28" spans="1:24" x14ac:dyDescent="0.25">
      <c r="A28" s="24" t="s">
        <v>55</v>
      </c>
      <c r="B28" s="24" t="s">
        <v>527</v>
      </c>
      <c r="C28" s="24" t="s">
        <v>528</v>
      </c>
      <c r="D28" s="24" t="s">
        <v>58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63</v>
      </c>
      <c r="B29" s="24" t="s">
        <v>529</v>
      </c>
      <c r="C29" s="24" t="s">
        <v>530</v>
      </c>
      <c r="D29" s="24" t="s">
        <v>78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49</v>
      </c>
      <c r="B30" s="24" t="s">
        <v>531</v>
      </c>
      <c r="C30" s="24" t="s">
        <v>532</v>
      </c>
      <c r="D30" s="24" t="s">
        <v>44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0</v>
      </c>
      <c r="K30" s="24">
        <v>1</v>
      </c>
      <c r="L30" s="25">
        <v>25.54</v>
      </c>
      <c r="M30" s="24" t="s">
        <v>90</v>
      </c>
    </row>
    <row r="31" spans="1:24" x14ac:dyDescent="0.25">
      <c r="A31" s="24" t="s">
        <v>45</v>
      </c>
      <c r="B31" s="24" t="s">
        <v>533</v>
      </c>
      <c r="C31" s="24" t="s">
        <v>534</v>
      </c>
      <c r="D31" s="24" t="s">
        <v>46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15</v>
      </c>
      <c r="K31" s="24">
        <v>1</v>
      </c>
      <c r="L31" s="25">
        <v>190.66</v>
      </c>
      <c r="M31" s="24" t="s">
        <v>90</v>
      </c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535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536</v>
      </c>
      <c r="C4" s="24" t="s">
        <v>537</v>
      </c>
      <c r="D4" s="24" t="s">
        <v>70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42</v>
      </c>
      <c r="W4" s="21">
        <f t="shared" ref="W4:W15" si="6">SUMIF($A$4:$A$63,$P4,K$4:K$63)</f>
        <v>1</v>
      </c>
      <c r="X4" s="26">
        <f t="shared" ref="X4:X15" si="7">SUMIF($A$4:$A$63,$P4,L$4:L$63)</f>
        <v>100.75</v>
      </c>
    </row>
    <row r="5" spans="1:24" x14ac:dyDescent="0.25">
      <c r="A5" s="24" t="s">
        <v>45</v>
      </c>
      <c r="B5" s="24" t="s">
        <v>538</v>
      </c>
      <c r="C5" s="24" t="s">
        <v>539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15.25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2</v>
      </c>
      <c r="X5" s="26">
        <f t="shared" si="7"/>
        <v>49.78</v>
      </c>
    </row>
    <row r="6" spans="1:24" x14ac:dyDescent="0.25">
      <c r="A6" s="24" t="s">
        <v>45</v>
      </c>
      <c r="B6" s="24" t="s">
        <v>540</v>
      </c>
      <c r="C6" s="24" t="s">
        <v>541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34.53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15</v>
      </c>
      <c r="W6" s="21">
        <f t="shared" si="6"/>
        <v>2</v>
      </c>
      <c r="X6" s="26">
        <f t="shared" si="7"/>
        <v>0</v>
      </c>
    </row>
    <row r="7" spans="1:24" x14ac:dyDescent="0.25">
      <c r="A7" s="24" t="s">
        <v>59</v>
      </c>
      <c r="B7" s="24" t="s">
        <v>542</v>
      </c>
      <c r="C7" s="24" t="s">
        <v>543</v>
      </c>
      <c r="D7" s="24" t="s">
        <v>58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16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2</v>
      </c>
      <c r="X7" s="26">
        <f t="shared" si="7"/>
        <v>194.39</v>
      </c>
    </row>
    <row r="8" spans="1:24" x14ac:dyDescent="0.25">
      <c r="A8" s="24" t="s">
        <v>55</v>
      </c>
      <c r="B8" s="24" t="s">
        <v>544</v>
      </c>
      <c r="C8" s="24" t="s">
        <v>545</v>
      </c>
      <c r="D8" s="24" t="s">
        <v>48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88.05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184.32</v>
      </c>
    </row>
    <row r="9" spans="1:24" x14ac:dyDescent="0.25">
      <c r="A9" s="24" t="s">
        <v>51</v>
      </c>
      <c r="B9" s="24" t="s">
        <v>546</v>
      </c>
      <c r="C9" s="24" t="s">
        <v>547</v>
      </c>
      <c r="D9" s="24" t="s">
        <v>66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18</v>
      </c>
      <c r="K9" s="24">
        <v>1</v>
      </c>
      <c r="L9" s="25">
        <v>184.32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136.41999999999999</v>
      </c>
    </row>
    <row r="10" spans="1:24" x14ac:dyDescent="0.25">
      <c r="A10" s="24" t="s">
        <v>59</v>
      </c>
      <c r="B10" s="24" t="s">
        <v>548</v>
      </c>
      <c r="C10" s="24" t="s">
        <v>549</v>
      </c>
      <c r="D10" s="24" t="s">
        <v>71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33</v>
      </c>
      <c r="K10" s="24">
        <v>1</v>
      </c>
      <c r="L10" s="25">
        <v>83.87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39</v>
      </c>
      <c r="W10" s="21">
        <f t="shared" si="6"/>
        <v>3</v>
      </c>
      <c r="X10" s="26">
        <f t="shared" si="7"/>
        <v>88.05</v>
      </c>
    </row>
    <row r="11" spans="1:24" x14ac:dyDescent="0.25">
      <c r="A11" s="24" t="s">
        <v>61</v>
      </c>
      <c r="B11" s="24" t="s">
        <v>550</v>
      </c>
      <c r="C11" s="24" t="s">
        <v>551</v>
      </c>
      <c r="D11" s="24" t="s">
        <v>67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18</v>
      </c>
      <c r="K11" s="24">
        <v>1</v>
      </c>
      <c r="L11" s="25">
        <v>89.47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2</v>
      </c>
      <c r="X11" s="26">
        <f t="shared" si="7"/>
        <v>6.26</v>
      </c>
    </row>
    <row r="12" spans="1:24" x14ac:dyDescent="0.25">
      <c r="A12" s="24" t="s">
        <v>45</v>
      </c>
      <c r="B12" s="24" t="s">
        <v>552</v>
      </c>
      <c r="C12" s="24" t="s">
        <v>553</v>
      </c>
      <c r="D12" s="24" t="s">
        <v>75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89</v>
      </c>
      <c r="W12" s="21">
        <f t="shared" si="6"/>
        <v>4</v>
      </c>
      <c r="X12" s="26">
        <f t="shared" si="7"/>
        <v>372.61</v>
      </c>
    </row>
    <row r="13" spans="1:24" x14ac:dyDescent="0.25">
      <c r="A13" s="24" t="s">
        <v>65</v>
      </c>
      <c r="B13" s="24" t="s">
        <v>554</v>
      </c>
      <c r="C13" s="24" t="s">
        <v>555</v>
      </c>
      <c r="D13" s="24" t="s">
        <v>58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12.12</v>
      </c>
      <c r="M13" s="24" t="s">
        <v>90</v>
      </c>
      <c r="P13" s="21" t="str">
        <f>Setup!$A$14</f>
        <v>Expert 10</v>
      </c>
      <c r="Q13" s="21">
        <f t="shared" si="0"/>
        <v>4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48</v>
      </c>
      <c r="W13" s="21">
        <f t="shared" si="6"/>
        <v>4</v>
      </c>
      <c r="X13" s="26">
        <f t="shared" si="7"/>
        <v>267.51</v>
      </c>
    </row>
    <row r="14" spans="1:24" x14ac:dyDescent="0.25">
      <c r="A14" s="24" t="s">
        <v>63</v>
      </c>
      <c r="B14" s="24" t="s">
        <v>556</v>
      </c>
      <c r="C14" s="24" t="s">
        <v>557</v>
      </c>
      <c r="D14" s="24" t="s">
        <v>46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16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31</v>
      </c>
      <c r="W14" s="21">
        <f t="shared" si="6"/>
        <v>2</v>
      </c>
      <c r="X14" s="26">
        <f t="shared" si="7"/>
        <v>0</v>
      </c>
    </row>
    <row r="15" spans="1:24" x14ac:dyDescent="0.25">
      <c r="A15" s="24" t="s">
        <v>59</v>
      </c>
      <c r="B15" s="24" t="s">
        <v>558</v>
      </c>
      <c r="C15" s="24" t="s">
        <v>559</v>
      </c>
      <c r="D15" s="24" t="s">
        <v>46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143.4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12.12</v>
      </c>
    </row>
    <row r="16" spans="1:24" x14ac:dyDescent="0.25">
      <c r="A16" s="24" t="s">
        <v>61</v>
      </c>
      <c r="B16" s="24" t="s">
        <v>560</v>
      </c>
      <c r="C16" s="24" t="s">
        <v>561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3</v>
      </c>
      <c r="S16" s="28">
        <f t="shared" si="8"/>
        <v>0</v>
      </c>
      <c r="T16" s="28">
        <f t="shared" si="8"/>
        <v>11</v>
      </c>
      <c r="U16" s="28">
        <f t="shared" si="8"/>
        <v>0</v>
      </c>
      <c r="V16" s="29">
        <f t="shared" si="8"/>
        <v>306</v>
      </c>
      <c r="W16" s="28">
        <f t="shared" si="8"/>
        <v>25</v>
      </c>
      <c r="X16" s="29">
        <f t="shared" si="8"/>
        <v>1412.21</v>
      </c>
    </row>
    <row r="17" spans="1:24" x14ac:dyDescent="0.25">
      <c r="A17" s="24" t="s">
        <v>57</v>
      </c>
      <c r="B17" s="24" t="s">
        <v>562</v>
      </c>
      <c r="C17" s="24" t="s">
        <v>563</v>
      </c>
      <c r="D17" s="24" t="s">
        <v>72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59</v>
      </c>
      <c r="B18" s="24" t="s">
        <v>564</v>
      </c>
      <c r="C18" s="24" t="s">
        <v>565</v>
      </c>
      <c r="D18" s="24" t="s">
        <v>48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16</v>
      </c>
      <c r="K18" s="24">
        <v>1</v>
      </c>
      <c r="L18" s="25">
        <v>145.34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47</v>
      </c>
      <c r="B19" s="24" t="s">
        <v>566</v>
      </c>
      <c r="C19" s="24" t="s">
        <v>567</v>
      </c>
      <c r="D19" s="24" t="s">
        <v>52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568</v>
      </c>
      <c r="C20" s="24" t="s">
        <v>569</v>
      </c>
      <c r="D20" s="24" t="s">
        <v>68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47</v>
      </c>
      <c r="B21" s="24" t="s">
        <v>570</v>
      </c>
      <c r="C21" s="24" t="s">
        <v>571</v>
      </c>
      <c r="D21" s="24" t="s">
        <v>58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15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572</v>
      </c>
      <c r="C22" s="24" t="s">
        <v>573</v>
      </c>
      <c r="D22" s="24" t="s">
        <v>44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100.75</v>
      </c>
      <c r="M22" s="24" t="s">
        <v>90</v>
      </c>
    </row>
    <row r="23" spans="1:24" x14ac:dyDescent="0.25">
      <c r="A23" s="24" t="s">
        <v>43</v>
      </c>
      <c r="B23" s="24" t="s">
        <v>574</v>
      </c>
      <c r="C23" s="24" t="s">
        <v>575</v>
      </c>
      <c r="D23" s="24" t="s">
        <v>79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24</v>
      </c>
      <c r="K23" s="24">
        <v>0</v>
      </c>
      <c r="L23" s="25">
        <v>0</v>
      </c>
      <c r="M23" s="24" t="s">
        <v>90</v>
      </c>
    </row>
    <row r="24" spans="1:24" x14ac:dyDescent="0.25">
      <c r="A24" s="24" t="s">
        <v>57</v>
      </c>
      <c r="B24" s="24" t="s">
        <v>576</v>
      </c>
      <c r="C24" s="24" t="s">
        <v>577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6.26</v>
      </c>
      <c r="M24" s="24" t="s">
        <v>90</v>
      </c>
    </row>
    <row r="25" spans="1:24" x14ac:dyDescent="0.25">
      <c r="A25" s="24" t="s">
        <v>49</v>
      </c>
      <c r="B25" s="24" t="s">
        <v>578</v>
      </c>
      <c r="C25" s="24" t="s">
        <v>579</v>
      </c>
      <c r="D25" s="24" t="s">
        <v>64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194.39</v>
      </c>
      <c r="M25" s="24" t="s">
        <v>90</v>
      </c>
    </row>
    <row r="26" spans="1:24" x14ac:dyDescent="0.25">
      <c r="A26" s="24" t="s">
        <v>61</v>
      </c>
      <c r="B26" s="24" t="s">
        <v>580</v>
      </c>
      <c r="C26" s="24" t="s">
        <v>581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1</v>
      </c>
      <c r="L26" s="25">
        <v>178.04</v>
      </c>
      <c r="M26" s="24" t="s">
        <v>90</v>
      </c>
    </row>
    <row r="27" spans="1:24" x14ac:dyDescent="0.25">
      <c r="A27" s="24" t="s">
        <v>55</v>
      </c>
      <c r="B27" s="24" t="s">
        <v>582</v>
      </c>
      <c r="C27" s="24" t="s">
        <v>583</v>
      </c>
      <c r="D27" s="24" t="s">
        <v>70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63</v>
      </c>
      <c r="B28" s="24" t="s">
        <v>584</v>
      </c>
      <c r="C28" s="24" t="s">
        <v>585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53</v>
      </c>
      <c r="B29" s="24" t="s">
        <v>586</v>
      </c>
      <c r="C29" s="24" t="s">
        <v>587</v>
      </c>
      <c r="D29" s="24" t="s">
        <v>68</v>
      </c>
      <c r="E29" s="24">
        <v>0</v>
      </c>
      <c r="F29" s="24">
        <v>1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136.41999999999999</v>
      </c>
      <c r="M29" s="24" t="s">
        <v>90</v>
      </c>
    </row>
    <row r="30" spans="1:24" x14ac:dyDescent="0.25">
      <c r="A30" s="24" t="s">
        <v>61</v>
      </c>
      <c r="B30" s="24" t="s">
        <v>588</v>
      </c>
      <c r="C30" s="24" t="s">
        <v>589</v>
      </c>
      <c r="D30" s="24" t="s">
        <v>54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591</v>
      </c>
      <c r="C4" s="24" t="s">
        <v>592</v>
      </c>
      <c r="D4" s="24" t="s">
        <v>46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18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13.09</v>
      </c>
    </row>
    <row r="5" spans="1:24" x14ac:dyDescent="0.25">
      <c r="A5" s="24" t="s">
        <v>63</v>
      </c>
      <c r="B5" s="24" t="s">
        <v>593</v>
      </c>
      <c r="C5" s="24" t="s">
        <v>594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18</v>
      </c>
      <c r="K5" s="24">
        <v>1</v>
      </c>
      <c r="L5" s="25">
        <v>94.12</v>
      </c>
      <c r="M5" s="24" t="s">
        <v>168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18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43</v>
      </c>
      <c r="B6" s="24" t="s">
        <v>595</v>
      </c>
      <c r="C6" s="24" t="s">
        <v>596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16</v>
      </c>
      <c r="W6" s="21">
        <f t="shared" si="6"/>
        <v>4</v>
      </c>
      <c r="X6" s="26">
        <f t="shared" si="7"/>
        <v>214.49</v>
      </c>
    </row>
    <row r="7" spans="1:24" x14ac:dyDescent="0.25">
      <c r="A7" s="24" t="s">
        <v>53</v>
      </c>
      <c r="B7" s="24" t="s">
        <v>597</v>
      </c>
      <c r="C7" s="24" t="s">
        <v>598</v>
      </c>
      <c r="D7" s="24" t="s">
        <v>66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61</v>
      </c>
      <c r="B8" s="24" t="s">
        <v>599</v>
      </c>
      <c r="C8" s="24" t="s">
        <v>600</v>
      </c>
      <c r="D8" s="24" t="s">
        <v>73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129.32</v>
      </c>
      <c r="M8" s="24" t="s">
        <v>168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1</v>
      </c>
      <c r="V8" s="26">
        <f t="shared" si="5"/>
        <v>0</v>
      </c>
      <c r="W8" s="21">
        <f t="shared" si="6"/>
        <v>1</v>
      </c>
      <c r="X8" s="26">
        <f t="shared" si="7"/>
        <v>24.55</v>
      </c>
    </row>
    <row r="9" spans="1:24" x14ac:dyDescent="0.25">
      <c r="A9" s="24" t="s">
        <v>65</v>
      </c>
      <c r="B9" s="24" t="s">
        <v>601</v>
      </c>
      <c r="C9" s="24" t="s">
        <v>602</v>
      </c>
      <c r="D9" s="24" t="s">
        <v>56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33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128.5</v>
      </c>
    </row>
    <row r="10" spans="1:24" x14ac:dyDescent="0.25">
      <c r="A10" s="24" t="s">
        <v>59</v>
      </c>
      <c r="B10" s="24" t="s">
        <v>603</v>
      </c>
      <c r="C10" s="24" t="s">
        <v>604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18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65</v>
      </c>
      <c r="B11" s="24" t="s">
        <v>605</v>
      </c>
      <c r="C11" s="24" t="s">
        <v>606</v>
      </c>
      <c r="D11" s="24" t="s">
        <v>67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193.05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0</v>
      </c>
      <c r="X11" s="26">
        <f t="shared" si="7"/>
        <v>0</v>
      </c>
    </row>
    <row r="12" spans="1:24" x14ac:dyDescent="0.25">
      <c r="A12" s="24" t="s">
        <v>61</v>
      </c>
      <c r="B12" s="24" t="s">
        <v>607</v>
      </c>
      <c r="C12" s="24" t="s">
        <v>608</v>
      </c>
      <c r="D12" s="24" t="s">
        <v>54</v>
      </c>
      <c r="E12" s="24">
        <v>0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49</v>
      </c>
      <c r="W12" s="21">
        <f t="shared" si="6"/>
        <v>3</v>
      </c>
      <c r="X12" s="26">
        <f t="shared" si="7"/>
        <v>85.73</v>
      </c>
    </row>
    <row r="13" spans="1:24" x14ac:dyDescent="0.25">
      <c r="A13" s="24" t="s">
        <v>47</v>
      </c>
      <c r="B13" s="24" t="s">
        <v>609</v>
      </c>
      <c r="C13" s="24" t="s">
        <v>610</v>
      </c>
      <c r="D13" s="24" t="s">
        <v>56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39.33</v>
      </c>
      <c r="M13" s="24" t="s">
        <v>90</v>
      </c>
      <c r="P13" s="21" t="str">
        <f>Setup!$A$14</f>
        <v>Expert 10</v>
      </c>
      <c r="Q13" s="21">
        <f t="shared" si="0"/>
        <v>3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4</v>
      </c>
      <c r="X13" s="26">
        <f t="shared" si="7"/>
        <v>482.29999999999995</v>
      </c>
    </row>
    <row r="14" spans="1:24" x14ac:dyDescent="0.25">
      <c r="A14" s="24" t="s">
        <v>43</v>
      </c>
      <c r="B14" s="24" t="s">
        <v>611</v>
      </c>
      <c r="C14" s="24" t="s">
        <v>612</v>
      </c>
      <c r="D14" s="24" t="s">
        <v>76</v>
      </c>
      <c r="E14" s="24">
        <v>0</v>
      </c>
      <c r="F14" s="24">
        <v>0</v>
      </c>
      <c r="G14" s="24">
        <v>0</v>
      </c>
      <c r="H14" s="24">
        <v>0</v>
      </c>
      <c r="I14" s="24">
        <v>1</v>
      </c>
      <c r="J14" s="25">
        <v>0</v>
      </c>
      <c r="K14" s="24">
        <v>1</v>
      </c>
      <c r="L14" s="25">
        <v>13.09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3</v>
      </c>
      <c r="X14" s="26">
        <f t="shared" si="7"/>
        <v>284.21000000000004</v>
      </c>
    </row>
    <row r="15" spans="1:24" x14ac:dyDescent="0.25">
      <c r="A15" s="24" t="s">
        <v>43</v>
      </c>
      <c r="B15" s="24" t="s">
        <v>613</v>
      </c>
      <c r="C15" s="24" t="s">
        <v>614</v>
      </c>
      <c r="D15" s="24" t="s">
        <v>78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33</v>
      </c>
      <c r="W15" s="21">
        <f t="shared" si="6"/>
        <v>2</v>
      </c>
      <c r="X15" s="26">
        <f t="shared" si="7"/>
        <v>193.05</v>
      </c>
    </row>
    <row r="16" spans="1:24" x14ac:dyDescent="0.25">
      <c r="A16" s="24" t="s">
        <v>47</v>
      </c>
      <c r="B16" s="24" t="s">
        <v>615</v>
      </c>
      <c r="C16" s="24" t="s">
        <v>616</v>
      </c>
      <c r="D16" s="24" t="s">
        <v>73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16.28</v>
      </c>
      <c r="M16" s="24" t="s">
        <v>90</v>
      </c>
      <c r="P16" s="27" t="s">
        <v>115</v>
      </c>
      <c r="Q16" s="28">
        <f t="shared" ref="Q16:X16" si="8">SUM(E$4:E$63)</f>
        <v>19</v>
      </c>
      <c r="R16" s="28">
        <f t="shared" si="8"/>
        <v>2</v>
      </c>
      <c r="S16" s="28">
        <f t="shared" si="8"/>
        <v>0</v>
      </c>
      <c r="T16" s="28">
        <f t="shared" si="8"/>
        <v>5</v>
      </c>
      <c r="U16" s="28">
        <f t="shared" si="8"/>
        <v>2</v>
      </c>
      <c r="V16" s="29">
        <f t="shared" si="8"/>
        <v>200</v>
      </c>
      <c r="W16" s="28">
        <f t="shared" si="8"/>
        <v>23</v>
      </c>
      <c r="X16" s="29">
        <f t="shared" si="8"/>
        <v>1425.9199999999998</v>
      </c>
    </row>
    <row r="17" spans="1:24" x14ac:dyDescent="0.25">
      <c r="A17" s="24" t="s">
        <v>59</v>
      </c>
      <c r="B17" s="24" t="s">
        <v>617</v>
      </c>
      <c r="C17" s="24" t="s">
        <v>618</v>
      </c>
      <c r="D17" s="24" t="s">
        <v>79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0</v>
      </c>
      <c r="L17" s="25">
        <v>26.01</v>
      </c>
      <c r="M17" s="24" t="s">
        <v>90</v>
      </c>
    </row>
    <row r="18" spans="1:24" x14ac:dyDescent="0.25">
      <c r="A18" s="24" t="s">
        <v>45</v>
      </c>
      <c r="B18" s="24" t="s">
        <v>619</v>
      </c>
      <c r="C18" s="24" t="s">
        <v>620</v>
      </c>
      <c r="D18" s="24" t="s">
        <v>75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59</v>
      </c>
      <c r="B19" s="24" t="s">
        <v>621</v>
      </c>
      <c r="C19" s="24" t="s">
        <v>622</v>
      </c>
      <c r="D19" s="24" t="s">
        <v>74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59.72</v>
      </c>
      <c r="M19" s="24" t="s">
        <v>90</v>
      </c>
    </row>
    <row r="20" spans="1:24" x14ac:dyDescent="0.25">
      <c r="A20" s="24" t="s">
        <v>59</v>
      </c>
      <c r="B20" s="24" t="s">
        <v>623</v>
      </c>
      <c r="C20" s="24" t="s">
        <v>624</v>
      </c>
      <c r="D20" s="24" t="s">
        <v>56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16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625</v>
      </c>
      <c r="C21" s="24" t="s">
        <v>626</v>
      </c>
      <c r="D21" s="24" t="s">
        <v>68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190.09</v>
      </c>
      <c r="M21" s="24" t="s">
        <v>168</v>
      </c>
    </row>
    <row r="22" spans="1:24" x14ac:dyDescent="0.25">
      <c r="A22" s="24" t="s">
        <v>61</v>
      </c>
      <c r="B22" s="24" t="s">
        <v>627</v>
      </c>
      <c r="C22" s="24" t="s">
        <v>628</v>
      </c>
      <c r="D22" s="24" t="s">
        <v>48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162.44999999999999</v>
      </c>
      <c r="M22" s="24" t="s">
        <v>90</v>
      </c>
    </row>
    <row r="23" spans="1:24" x14ac:dyDescent="0.25">
      <c r="A23" s="24" t="s">
        <v>51</v>
      </c>
      <c r="B23" s="24" t="s">
        <v>629</v>
      </c>
      <c r="C23" s="24" t="s">
        <v>630</v>
      </c>
      <c r="D23" s="24" t="s">
        <v>76</v>
      </c>
      <c r="E23" s="24">
        <v>0</v>
      </c>
      <c r="F23" s="24">
        <v>0</v>
      </c>
      <c r="G23" s="24">
        <v>0</v>
      </c>
      <c r="H23" s="24">
        <v>0</v>
      </c>
      <c r="I23" s="24">
        <v>1</v>
      </c>
      <c r="J23" s="25">
        <v>0</v>
      </c>
      <c r="K23" s="24">
        <v>1</v>
      </c>
      <c r="L23" s="25">
        <v>24.55</v>
      </c>
      <c r="M23" s="24" t="s">
        <v>90</v>
      </c>
    </row>
    <row r="24" spans="1:24" x14ac:dyDescent="0.25">
      <c r="A24" s="24" t="s">
        <v>47</v>
      </c>
      <c r="B24" s="24" t="s">
        <v>631</v>
      </c>
      <c r="C24" s="24" t="s">
        <v>632</v>
      </c>
      <c r="D24" s="24" t="s">
        <v>48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158.88</v>
      </c>
      <c r="M24" s="24" t="s">
        <v>90</v>
      </c>
    </row>
    <row r="25" spans="1:24" x14ac:dyDescent="0.25">
      <c r="A25" s="24" t="s">
        <v>47</v>
      </c>
      <c r="B25" s="24" t="s">
        <v>633</v>
      </c>
      <c r="C25" s="24" t="s">
        <v>634</v>
      </c>
      <c r="D25" s="24" t="s">
        <v>52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635</v>
      </c>
      <c r="C26" s="24" t="s">
        <v>636</v>
      </c>
      <c r="D26" s="24" t="s">
        <v>62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49</v>
      </c>
      <c r="B27" s="24" t="s">
        <v>637</v>
      </c>
      <c r="C27" s="24" t="s">
        <v>638</v>
      </c>
      <c r="D27" s="24" t="s">
        <v>68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15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61</v>
      </c>
      <c r="B28" s="24" t="s">
        <v>639</v>
      </c>
      <c r="C28" s="24" t="s">
        <v>640</v>
      </c>
      <c r="D28" s="24" t="s">
        <v>67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190.53</v>
      </c>
      <c r="M28" s="24" t="s">
        <v>90</v>
      </c>
    </row>
    <row r="29" spans="1:24" x14ac:dyDescent="0.25">
      <c r="A29" s="24" t="s">
        <v>53</v>
      </c>
      <c r="B29" s="24" t="s">
        <v>641</v>
      </c>
      <c r="C29" s="24" t="s">
        <v>642</v>
      </c>
      <c r="D29" s="24" t="s">
        <v>80</v>
      </c>
      <c r="E29" s="24">
        <v>0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128.5</v>
      </c>
      <c r="M29" s="24" t="s">
        <v>168</v>
      </c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643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51</v>
      </c>
      <c r="B4" s="24" t="s">
        <v>644</v>
      </c>
      <c r="C4" s="24" t="s">
        <v>645</v>
      </c>
      <c r="D4" s="24" t="s">
        <v>46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19.260000000000002</v>
      </c>
    </row>
    <row r="5" spans="1:24" x14ac:dyDescent="0.25">
      <c r="A5" s="24" t="s">
        <v>55</v>
      </c>
      <c r="B5" s="24" t="s">
        <v>646</v>
      </c>
      <c r="C5" s="24" t="s">
        <v>647</v>
      </c>
      <c r="D5" s="24" t="s">
        <v>78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47.27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15</v>
      </c>
      <c r="W5" s="21">
        <f t="shared" si="6"/>
        <v>0</v>
      </c>
      <c r="X5" s="26">
        <f t="shared" si="7"/>
        <v>19.52</v>
      </c>
    </row>
    <row r="6" spans="1:24" x14ac:dyDescent="0.25">
      <c r="A6" s="24" t="s">
        <v>63</v>
      </c>
      <c r="B6" s="24" t="s">
        <v>648</v>
      </c>
      <c r="C6" s="24" t="s">
        <v>649</v>
      </c>
      <c r="D6" s="24" t="s">
        <v>52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136.94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1</v>
      </c>
      <c r="X6" s="26">
        <f t="shared" si="7"/>
        <v>26.24</v>
      </c>
    </row>
    <row r="7" spans="1:24" x14ac:dyDescent="0.25">
      <c r="A7" s="24" t="s">
        <v>51</v>
      </c>
      <c r="B7" s="24" t="s">
        <v>650</v>
      </c>
      <c r="C7" s="24" t="s">
        <v>651</v>
      </c>
      <c r="D7" s="24" t="s">
        <v>54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89.08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1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150.71</v>
      </c>
    </row>
    <row r="8" spans="1:24" x14ac:dyDescent="0.25">
      <c r="A8" s="24" t="s">
        <v>57</v>
      </c>
      <c r="B8" s="24" t="s">
        <v>652</v>
      </c>
      <c r="C8" s="24" t="s">
        <v>653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0</v>
      </c>
      <c r="T8" s="21">
        <f t="shared" si="3"/>
        <v>3</v>
      </c>
      <c r="U8" s="21">
        <f t="shared" si="4"/>
        <v>0</v>
      </c>
      <c r="V8" s="26">
        <f t="shared" si="5"/>
        <v>0</v>
      </c>
      <c r="W8" s="21">
        <f t="shared" si="6"/>
        <v>5</v>
      </c>
      <c r="X8" s="26">
        <f t="shared" si="7"/>
        <v>373.18</v>
      </c>
    </row>
    <row r="9" spans="1:24" x14ac:dyDescent="0.25">
      <c r="A9" s="24" t="s">
        <v>55</v>
      </c>
      <c r="B9" s="24" t="s">
        <v>654</v>
      </c>
      <c r="C9" s="24" t="s">
        <v>655</v>
      </c>
      <c r="D9" s="24" t="s">
        <v>69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1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18</v>
      </c>
      <c r="W9" s="21">
        <f t="shared" si="6"/>
        <v>2</v>
      </c>
      <c r="X9" s="26">
        <f t="shared" si="7"/>
        <v>158.98999999999998</v>
      </c>
    </row>
    <row r="10" spans="1:24" x14ac:dyDescent="0.25">
      <c r="A10" s="24" t="s">
        <v>53</v>
      </c>
      <c r="B10" s="24" t="s">
        <v>656</v>
      </c>
      <c r="C10" s="24" t="s">
        <v>657</v>
      </c>
      <c r="D10" s="24" t="s">
        <v>44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5.51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39</v>
      </c>
      <c r="W10" s="21">
        <f t="shared" si="6"/>
        <v>3</v>
      </c>
      <c r="X10" s="26">
        <f t="shared" si="7"/>
        <v>343.88</v>
      </c>
    </row>
    <row r="11" spans="1:24" x14ac:dyDescent="0.25">
      <c r="A11" s="24" t="s">
        <v>43</v>
      </c>
      <c r="B11" s="24" t="s">
        <v>658</v>
      </c>
      <c r="C11" s="24" t="s">
        <v>659</v>
      </c>
      <c r="D11" s="24" t="s">
        <v>66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1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177.66</v>
      </c>
    </row>
    <row r="12" spans="1:24" x14ac:dyDescent="0.25">
      <c r="A12" s="24" t="s">
        <v>55</v>
      </c>
      <c r="B12" s="24" t="s">
        <v>660</v>
      </c>
      <c r="C12" s="24" t="s">
        <v>661</v>
      </c>
      <c r="D12" s="24" t="s">
        <v>64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71.489999999999995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135.56</v>
      </c>
    </row>
    <row r="13" spans="1:24" x14ac:dyDescent="0.25">
      <c r="A13" s="24" t="s">
        <v>51</v>
      </c>
      <c r="B13" s="24" t="s">
        <v>662</v>
      </c>
      <c r="C13" s="24" t="s">
        <v>663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18</v>
      </c>
      <c r="W13" s="21">
        <f t="shared" si="6"/>
        <v>1</v>
      </c>
      <c r="X13" s="26">
        <f t="shared" si="7"/>
        <v>195.92</v>
      </c>
    </row>
    <row r="14" spans="1:24" x14ac:dyDescent="0.25">
      <c r="A14" s="24" t="s">
        <v>43</v>
      </c>
      <c r="B14" s="24" t="s">
        <v>664</v>
      </c>
      <c r="C14" s="24" t="s">
        <v>665</v>
      </c>
      <c r="D14" s="24" t="s">
        <v>58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19.260000000000002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18</v>
      </c>
      <c r="W14" s="21">
        <f t="shared" si="6"/>
        <v>2</v>
      </c>
      <c r="X14" s="26">
        <f t="shared" si="7"/>
        <v>243.74</v>
      </c>
    </row>
    <row r="15" spans="1:24" x14ac:dyDescent="0.25">
      <c r="A15" s="24" t="s">
        <v>45</v>
      </c>
      <c r="B15" s="24" t="s">
        <v>666</v>
      </c>
      <c r="C15" s="24" t="s">
        <v>667</v>
      </c>
      <c r="D15" s="24" t="s">
        <v>79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15</v>
      </c>
      <c r="K15" s="24">
        <v>0</v>
      </c>
      <c r="L15" s="25">
        <v>19.52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43</v>
      </c>
      <c r="B16" s="24" t="s">
        <v>668</v>
      </c>
      <c r="C16" s="24" t="s">
        <v>669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3</v>
      </c>
      <c r="S16" s="28">
        <f t="shared" si="8"/>
        <v>1</v>
      </c>
      <c r="T16" s="28">
        <f t="shared" si="8"/>
        <v>7</v>
      </c>
      <c r="U16" s="28">
        <f t="shared" si="8"/>
        <v>0</v>
      </c>
      <c r="V16" s="29">
        <f t="shared" si="8"/>
        <v>180</v>
      </c>
      <c r="W16" s="28">
        <f t="shared" si="8"/>
        <v>21</v>
      </c>
      <c r="X16" s="29">
        <f t="shared" si="8"/>
        <v>1844.66</v>
      </c>
    </row>
    <row r="17" spans="1:24" x14ac:dyDescent="0.25">
      <c r="A17" s="24" t="s">
        <v>57</v>
      </c>
      <c r="B17" s="24" t="s">
        <v>670</v>
      </c>
      <c r="C17" s="24" t="s">
        <v>671</v>
      </c>
      <c r="D17" s="24" t="s">
        <v>73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24</v>
      </c>
      <c r="K17" s="24">
        <v>1</v>
      </c>
      <c r="L17" s="25">
        <v>177.66</v>
      </c>
      <c r="M17" s="24" t="s">
        <v>90</v>
      </c>
    </row>
    <row r="18" spans="1:24" x14ac:dyDescent="0.25">
      <c r="A18" s="24" t="s">
        <v>63</v>
      </c>
      <c r="B18" s="24" t="s">
        <v>672</v>
      </c>
      <c r="C18" s="24" t="s">
        <v>673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674</v>
      </c>
      <c r="C19" s="24" t="s">
        <v>675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195.92</v>
      </c>
      <c r="M19" s="24" t="s">
        <v>90</v>
      </c>
    </row>
    <row r="20" spans="1:24" x14ac:dyDescent="0.25">
      <c r="A20" s="24" t="s">
        <v>49</v>
      </c>
      <c r="B20" s="24" t="s">
        <v>676</v>
      </c>
      <c r="C20" s="24" t="s">
        <v>677</v>
      </c>
      <c r="D20" s="24" t="s">
        <v>60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150.71</v>
      </c>
      <c r="M20" s="24" t="s">
        <v>90</v>
      </c>
    </row>
    <row r="21" spans="1:24" x14ac:dyDescent="0.25">
      <c r="A21" s="24" t="s">
        <v>55</v>
      </c>
      <c r="B21" s="24" t="s">
        <v>678</v>
      </c>
      <c r="C21" s="24" t="s">
        <v>679</v>
      </c>
      <c r="D21" s="24" t="s">
        <v>69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146.96</v>
      </c>
      <c r="M21" s="24" t="s">
        <v>90</v>
      </c>
    </row>
    <row r="22" spans="1:24" x14ac:dyDescent="0.25">
      <c r="A22" s="24" t="s">
        <v>63</v>
      </c>
      <c r="B22" s="24" t="s">
        <v>680</v>
      </c>
      <c r="C22" s="24" t="s">
        <v>681</v>
      </c>
      <c r="D22" s="24" t="s">
        <v>78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47</v>
      </c>
      <c r="B23" s="24" t="s">
        <v>682</v>
      </c>
      <c r="C23" s="24" t="s">
        <v>683</v>
      </c>
      <c r="D23" s="24" t="s">
        <v>79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33</v>
      </c>
      <c r="K23" s="24">
        <v>0</v>
      </c>
      <c r="L23" s="25">
        <v>26.24</v>
      </c>
      <c r="M23" s="24" t="s">
        <v>90</v>
      </c>
    </row>
    <row r="24" spans="1:24" x14ac:dyDescent="0.25">
      <c r="A24" s="24" t="s">
        <v>51</v>
      </c>
      <c r="B24" s="24" t="s">
        <v>684</v>
      </c>
      <c r="C24" s="24" t="s">
        <v>685</v>
      </c>
      <c r="D24" s="24" t="s">
        <v>75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204.61</v>
      </c>
      <c r="M24" s="24" t="s">
        <v>90</v>
      </c>
    </row>
    <row r="25" spans="1:24" x14ac:dyDescent="0.25">
      <c r="A25" s="24" t="s">
        <v>51</v>
      </c>
      <c r="B25" s="24" t="s">
        <v>686</v>
      </c>
      <c r="C25" s="24" t="s">
        <v>687</v>
      </c>
      <c r="D25" s="24" t="s">
        <v>56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79.489999999999995</v>
      </c>
      <c r="M25" s="24" t="s">
        <v>90</v>
      </c>
    </row>
    <row r="26" spans="1:24" x14ac:dyDescent="0.25">
      <c r="A26" s="24" t="s">
        <v>59</v>
      </c>
      <c r="B26" s="24" t="s">
        <v>688</v>
      </c>
      <c r="C26" s="24" t="s">
        <v>689</v>
      </c>
      <c r="D26" s="24" t="s">
        <v>58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135.56</v>
      </c>
      <c r="M26" s="24" t="s">
        <v>90</v>
      </c>
    </row>
    <row r="27" spans="1:24" x14ac:dyDescent="0.25">
      <c r="A27" s="24" t="s">
        <v>63</v>
      </c>
      <c r="B27" s="24" t="s">
        <v>690</v>
      </c>
      <c r="C27" s="24" t="s">
        <v>691</v>
      </c>
      <c r="D27" s="24" t="s">
        <v>80</v>
      </c>
      <c r="E27" s="24">
        <v>0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106.8</v>
      </c>
      <c r="M27" s="24" t="s">
        <v>90</v>
      </c>
    </row>
    <row r="28" spans="1:24" x14ac:dyDescent="0.25">
      <c r="A28" s="24" t="s">
        <v>47</v>
      </c>
      <c r="B28" s="24" t="s">
        <v>692</v>
      </c>
      <c r="C28" s="24" t="s">
        <v>693</v>
      </c>
      <c r="D28" s="24" t="s">
        <v>50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53</v>
      </c>
      <c r="B29" s="24" t="s">
        <v>694</v>
      </c>
      <c r="C29" s="24" t="s">
        <v>695</v>
      </c>
      <c r="D29" s="24" t="s">
        <v>75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153.47999999999999</v>
      </c>
      <c r="M29" s="24" t="s">
        <v>90</v>
      </c>
    </row>
    <row r="30" spans="1:24" x14ac:dyDescent="0.25">
      <c r="A30" s="24" t="s">
        <v>55</v>
      </c>
      <c r="B30" s="24" t="s">
        <v>696</v>
      </c>
      <c r="C30" s="24" t="s">
        <v>697</v>
      </c>
      <c r="D30" s="24" t="s">
        <v>78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24</v>
      </c>
      <c r="K30" s="24">
        <v>0</v>
      </c>
      <c r="L30" s="25">
        <v>78.16</v>
      </c>
      <c r="M30" s="24" t="s">
        <v>90</v>
      </c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698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699</v>
      </c>
      <c r="C4" s="24" t="s">
        <v>700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38.380000000000003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280.77</v>
      </c>
    </row>
    <row r="5" spans="1:24" x14ac:dyDescent="0.25">
      <c r="A5" s="24" t="s">
        <v>43</v>
      </c>
      <c r="B5" s="24" t="s">
        <v>701</v>
      </c>
      <c r="C5" s="24" t="s">
        <v>702</v>
      </c>
      <c r="D5" s="24" t="s">
        <v>54</v>
      </c>
      <c r="E5" s="24">
        <v>1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71.709999999999994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33</v>
      </c>
      <c r="W5" s="21">
        <f t="shared" si="6"/>
        <v>3</v>
      </c>
      <c r="X5" s="26">
        <f t="shared" si="7"/>
        <v>187.68</v>
      </c>
    </row>
    <row r="6" spans="1:24" x14ac:dyDescent="0.25">
      <c r="A6" s="24" t="s">
        <v>61</v>
      </c>
      <c r="B6" s="24" t="s">
        <v>703</v>
      </c>
      <c r="C6" s="24" t="s">
        <v>704</v>
      </c>
      <c r="D6" s="24" t="s">
        <v>56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67</v>
      </c>
      <c r="W6" s="21">
        <f t="shared" si="6"/>
        <v>1</v>
      </c>
      <c r="X6" s="26">
        <f t="shared" si="7"/>
        <v>101.85</v>
      </c>
    </row>
    <row r="7" spans="1:24" x14ac:dyDescent="0.25">
      <c r="A7" s="24" t="s">
        <v>49</v>
      </c>
      <c r="B7" s="24" t="s">
        <v>705</v>
      </c>
      <c r="C7" s="24" t="s">
        <v>706</v>
      </c>
      <c r="D7" s="24" t="s">
        <v>46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18</v>
      </c>
      <c r="W7" s="21">
        <f t="shared" si="6"/>
        <v>3</v>
      </c>
      <c r="X7" s="26">
        <f t="shared" si="7"/>
        <v>36.06</v>
      </c>
    </row>
    <row r="8" spans="1:24" x14ac:dyDescent="0.25">
      <c r="A8" s="24" t="s">
        <v>43</v>
      </c>
      <c r="B8" s="24" t="s">
        <v>707</v>
      </c>
      <c r="C8" s="24" t="s">
        <v>708</v>
      </c>
      <c r="D8" s="24" t="s">
        <v>44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209.06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53</v>
      </c>
      <c r="B9" s="24" t="s">
        <v>709</v>
      </c>
      <c r="C9" s="24" t="s">
        <v>710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205.63</v>
      </c>
    </row>
    <row r="10" spans="1:24" x14ac:dyDescent="0.25">
      <c r="A10" s="24" t="s">
        <v>63</v>
      </c>
      <c r="B10" s="24" t="s">
        <v>711</v>
      </c>
      <c r="C10" s="24" t="s">
        <v>712</v>
      </c>
      <c r="D10" s="24" t="s">
        <v>67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131.34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1</v>
      </c>
      <c r="V10" s="26">
        <f t="shared" si="5"/>
        <v>18</v>
      </c>
      <c r="W10" s="21">
        <f t="shared" si="6"/>
        <v>3</v>
      </c>
      <c r="X10" s="26">
        <f t="shared" si="7"/>
        <v>38.380000000000003</v>
      </c>
    </row>
    <row r="11" spans="1:24" x14ac:dyDescent="0.25">
      <c r="A11" s="24" t="s">
        <v>45</v>
      </c>
      <c r="B11" s="24" t="s">
        <v>713</v>
      </c>
      <c r="C11" s="24" t="s">
        <v>714</v>
      </c>
      <c r="D11" s="24" t="s">
        <v>58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33</v>
      </c>
      <c r="K11" s="24">
        <v>1</v>
      </c>
      <c r="L11" s="25">
        <v>131.81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47</v>
      </c>
      <c r="B12" s="24" t="s">
        <v>715</v>
      </c>
      <c r="C12" s="24" t="s">
        <v>716</v>
      </c>
      <c r="D12" s="24" t="s">
        <v>79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0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119.4</v>
      </c>
    </row>
    <row r="13" spans="1:24" x14ac:dyDescent="0.25">
      <c r="A13" s="24" t="s">
        <v>43</v>
      </c>
      <c r="B13" s="24" t="s">
        <v>717</v>
      </c>
      <c r="C13" s="24" t="s">
        <v>718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16</v>
      </c>
      <c r="W13" s="21">
        <f t="shared" si="6"/>
        <v>3</v>
      </c>
      <c r="X13" s="26">
        <f t="shared" si="7"/>
        <v>28.8</v>
      </c>
    </row>
    <row r="14" spans="1:24" x14ac:dyDescent="0.25">
      <c r="A14" s="24" t="s">
        <v>49</v>
      </c>
      <c r="B14" s="24" t="s">
        <v>719</v>
      </c>
      <c r="C14" s="24" t="s">
        <v>720</v>
      </c>
      <c r="D14" s="24" t="s">
        <v>52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20.98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131.34</v>
      </c>
    </row>
    <row r="15" spans="1:24" x14ac:dyDescent="0.25">
      <c r="A15" s="24" t="s">
        <v>47</v>
      </c>
      <c r="B15" s="24" t="s">
        <v>721</v>
      </c>
      <c r="C15" s="24" t="s">
        <v>722</v>
      </c>
      <c r="D15" s="24" t="s">
        <v>79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16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61</v>
      </c>
      <c r="B16" s="24" t="s">
        <v>723</v>
      </c>
      <c r="C16" s="24" t="s">
        <v>724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28.8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3</v>
      </c>
      <c r="S16" s="28">
        <f t="shared" si="8"/>
        <v>0</v>
      </c>
      <c r="T16" s="28">
        <f t="shared" si="8"/>
        <v>8</v>
      </c>
      <c r="U16" s="28">
        <f t="shared" si="8"/>
        <v>2</v>
      </c>
      <c r="V16" s="29">
        <f t="shared" si="8"/>
        <v>218</v>
      </c>
      <c r="W16" s="28">
        <f t="shared" si="8"/>
        <v>22</v>
      </c>
      <c r="X16" s="29">
        <f t="shared" si="8"/>
        <v>1129.9099999999999</v>
      </c>
    </row>
    <row r="17" spans="1:24" x14ac:dyDescent="0.25">
      <c r="A17" s="24" t="s">
        <v>57</v>
      </c>
      <c r="B17" s="24" t="s">
        <v>725</v>
      </c>
      <c r="C17" s="24" t="s">
        <v>726</v>
      </c>
      <c r="D17" s="24" t="s">
        <v>58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33</v>
      </c>
      <c r="K17" s="24">
        <v>1</v>
      </c>
      <c r="L17" s="25">
        <v>0</v>
      </c>
      <c r="M17" s="24" t="s">
        <v>168</v>
      </c>
    </row>
    <row r="18" spans="1:24" x14ac:dyDescent="0.25">
      <c r="A18" s="24" t="s">
        <v>47</v>
      </c>
      <c r="B18" s="24" t="s">
        <v>727</v>
      </c>
      <c r="C18" s="24" t="s">
        <v>728</v>
      </c>
      <c r="D18" s="24" t="s">
        <v>48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101.85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729</v>
      </c>
      <c r="C19" s="24" t="s">
        <v>730</v>
      </c>
      <c r="D19" s="24" t="s">
        <v>74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205.63</v>
      </c>
      <c r="M19" s="24" t="s">
        <v>90</v>
      </c>
    </row>
    <row r="20" spans="1:24" x14ac:dyDescent="0.25">
      <c r="A20" s="24" t="s">
        <v>45</v>
      </c>
      <c r="B20" s="24" t="s">
        <v>731</v>
      </c>
      <c r="C20" s="24" t="s">
        <v>732</v>
      </c>
      <c r="D20" s="24" t="s">
        <v>69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168</v>
      </c>
    </row>
    <row r="21" spans="1:24" x14ac:dyDescent="0.25">
      <c r="A21" s="24" t="s">
        <v>55</v>
      </c>
      <c r="B21" s="24" t="s">
        <v>733</v>
      </c>
      <c r="C21" s="24" t="s">
        <v>734</v>
      </c>
      <c r="D21" s="24" t="s">
        <v>50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18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61</v>
      </c>
      <c r="B22" s="24" t="s">
        <v>735</v>
      </c>
      <c r="C22" s="24" t="s">
        <v>736</v>
      </c>
      <c r="D22" s="24" t="s">
        <v>76</v>
      </c>
      <c r="E22" s="24">
        <v>0</v>
      </c>
      <c r="F22" s="24">
        <v>0</v>
      </c>
      <c r="G22" s="24">
        <v>0</v>
      </c>
      <c r="H22" s="24">
        <v>0</v>
      </c>
      <c r="I22" s="24">
        <v>1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59</v>
      </c>
      <c r="B23" s="24" t="s">
        <v>737</v>
      </c>
      <c r="C23" s="24" t="s">
        <v>738</v>
      </c>
      <c r="D23" s="24" t="s">
        <v>44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119.4</v>
      </c>
      <c r="M23" s="24" t="s">
        <v>90</v>
      </c>
    </row>
    <row r="24" spans="1:24" x14ac:dyDescent="0.25">
      <c r="A24" s="24" t="s">
        <v>55</v>
      </c>
      <c r="B24" s="24" t="s">
        <v>739</v>
      </c>
      <c r="C24" s="24" t="s">
        <v>740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49</v>
      </c>
      <c r="B25" s="24" t="s">
        <v>741</v>
      </c>
      <c r="C25" s="24" t="s">
        <v>742</v>
      </c>
      <c r="D25" s="24" t="s">
        <v>74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18</v>
      </c>
      <c r="K25" s="24">
        <v>1</v>
      </c>
      <c r="L25" s="25">
        <v>15.08</v>
      </c>
      <c r="M25" s="24" t="s">
        <v>90</v>
      </c>
    </row>
    <row r="26" spans="1:24" x14ac:dyDescent="0.25">
      <c r="A26" s="24" t="s">
        <v>45</v>
      </c>
      <c r="B26" s="24" t="s">
        <v>743</v>
      </c>
      <c r="C26" s="24" t="s">
        <v>744</v>
      </c>
      <c r="D26" s="24" t="s">
        <v>70</v>
      </c>
      <c r="E26" s="24">
        <v>0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55.87</v>
      </c>
      <c r="M26" s="24" t="s">
        <v>90</v>
      </c>
    </row>
    <row r="27" spans="1:24" x14ac:dyDescent="0.25">
      <c r="A27" s="24" t="s">
        <v>51</v>
      </c>
      <c r="B27" s="24" t="s">
        <v>745</v>
      </c>
      <c r="C27" s="24" t="s">
        <v>746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33</v>
      </c>
      <c r="K27" s="24">
        <v>1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747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748</v>
      </c>
      <c r="C4" s="24" t="s">
        <v>749</v>
      </c>
      <c r="D4" s="24" t="s">
        <v>68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24</v>
      </c>
      <c r="K4" s="24">
        <v>1</v>
      </c>
      <c r="L4" s="25">
        <v>10.210000000000001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0</v>
      </c>
    </row>
    <row r="5" spans="1:24" x14ac:dyDescent="0.25">
      <c r="A5" s="24" t="s">
        <v>49</v>
      </c>
      <c r="B5" s="24" t="s">
        <v>750</v>
      </c>
      <c r="C5" s="24" t="s">
        <v>751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20.72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18</v>
      </c>
      <c r="W5" s="21">
        <f t="shared" si="6"/>
        <v>1</v>
      </c>
      <c r="X5" s="26">
        <f t="shared" si="7"/>
        <v>41.05</v>
      </c>
    </row>
    <row r="6" spans="1:24" x14ac:dyDescent="0.25">
      <c r="A6" s="24" t="s">
        <v>53</v>
      </c>
      <c r="B6" s="24" t="s">
        <v>752</v>
      </c>
      <c r="C6" s="24" t="s">
        <v>753</v>
      </c>
      <c r="D6" s="24" t="s">
        <v>64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6</v>
      </c>
      <c r="R6" s="21">
        <f t="shared" si="1"/>
        <v>1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99</v>
      </c>
      <c r="W6" s="21">
        <f t="shared" si="6"/>
        <v>9</v>
      </c>
      <c r="X6" s="26">
        <f t="shared" si="7"/>
        <v>820.26</v>
      </c>
    </row>
    <row r="7" spans="1:24" x14ac:dyDescent="0.25">
      <c r="A7" s="24" t="s">
        <v>57</v>
      </c>
      <c r="B7" s="24" t="s">
        <v>754</v>
      </c>
      <c r="C7" s="24" t="s">
        <v>755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18</v>
      </c>
      <c r="K7" s="24">
        <v>1</v>
      </c>
      <c r="L7" s="25">
        <v>129.36000000000001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20.72</v>
      </c>
    </row>
    <row r="8" spans="1:24" x14ac:dyDescent="0.25">
      <c r="A8" s="24" t="s">
        <v>65</v>
      </c>
      <c r="B8" s="24" t="s">
        <v>756</v>
      </c>
      <c r="C8" s="24" t="s">
        <v>757</v>
      </c>
      <c r="D8" s="24" t="s">
        <v>76</v>
      </c>
      <c r="E8" s="24">
        <v>0</v>
      </c>
      <c r="F8" s="24">
        <v>0</v>
      </c>
      <c r="G8" s="24">
        <v>0</v>
      </c>
      <c r="H8" s="24">
        <v>0</v>
      </c>
      <c r="I8" s="24">
        <v>1</v>
      </c>
      <c r="J8" s="25">
        <v>0</v>
      </c>
      <c r="K8" s="24">
        <v>1</v>
      </c>
      <c r="L8" s="25">
        <v>13.15</v>
      </c>
      <c r="M8" s="24" t="s">
        <v>168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150.9</v>
      </c>
    </row>
    <row r="9" spans="1:24" x14ac:dyDescent="0.25">
      <c r="A9" s="24" t="s">
        <v>57</v>
      </c>
      <c r="B9" s="24" t="s">
        <v>758</v>
      </c>
      <c r="C9" s="24" t="s">
        <v>759</v>
      </c>
      <c r="D9" s="24" t="s">
        <v>56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112.83</v>
      </c>
      <c r="M9" s="24" t="s">
        <v>90</v>
      </c>
      <c r="P9" s="21" t="str">
        <f>Setup!$A$10</f>
        <v>Expert 06</v>
      </c>
      <c r="Q9" s="21">
        <f t="shared" si="0"/>
        <v>5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96</v>
      </c>
      <c r="W9" s="21">
        <f t="shared" si="6"/>
        <v>4</v>
      </c>
      <c r="X9" s="26">
        <f t="shared" si="7"/>
        <v>136.85</v>
      </c>
    </row>
    <row r="10" spans="1:24" x14ac:dyDescent="0.25">
      <c r="A10" s="24" t="s">
        <v>47</v>
      </c>
      <c r="B10" s="24" t="s">
        <v>760</v>
      </c>
      <c r="C10" s="24" t="s">
        <v>761</v>
      </c>
      <c r="D10" s="24" t="s">
        <v>71</v>
      </c>
      <c r="E10" s="24">
        <v>0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129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1</v>
      </c>
      <c r="V10" s="26">
        <f t="shared" si="5"/>
        <v>18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49</v>
      </c>
      <c r="B11" s="24" t="s">
        <v>762</v>
      </c>
      <c r="C11" s="24" t="s">
        <v>763</v>
      </c>
      <c r="D11" s="24" t="s">
        <v>74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3</v>
      </c>
      <c r="R11" s="21">
        <f t="shared" si="1"/>
        <v>1</v>
      </c>
      <c r="S11" s="21">
        <f t="shared" si="2"/>
        <v>0</v>
      </c>
      <c r="T11" s="21">
        <f t="shared" si="3"/>
        <v>2</v>
      </c>
      <c r="U11" s="21">
        <f t="shared" si="4"/>
        <v>0</v>
      </c>
      <c r="V11" s="26">
        <f t="shared" si="5"/>
        <v>33</v>
      </c>
      <c r="W11" s="21">
        <f t="shared" si="6"/>
        <v>5</v>
      </c>
      <c r="X11" s="26">
        <f t="shared" si="7"/>
        <v>439.62</v>
      </c>
    </row>
    <row r="12" spans="1:24" x14ac:dyDescent="0.25">
      <c r="A12" s="24" t="s">
        <v>43</v>
      </c>
      <c r="B12" s="24" t="s">
        <v>764</v>
      </c>
      <c r="C12" s="24" t="s">
        <v>765</v>
      </c>
      <c r="D12" s="24" t="s">
        <v>70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2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3</v>
      </c>
      <c r="X12" s="26">
        <f t="shared" si="7"/>
        <v>177.37</v>
      </c>
    </row>
    <row r="13" spans="1:24" x14ac:dyDescent="0.25">
      <c r="A13" s="24" t="s">
        <v>47</v>
      </c>
      <c r="B13" s="24" t="s">
        <v>766</v>
      </c>
      <c r="C13" s="24" t="s">
        <v>767</v>
      </c>
      <c r="D13" s="24" t="s">
        <v>64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18</v>
      </c>
      <c r="K13" s="24">
        <v>1</v>
      </c>
      <c r="L13" s="25">
        <v>63.23</v>
      </c>
      <c r="M13" s="24" t="s">
        <v>168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54.54</v>
      </c>
    </row>
    <row r="14" spans="1:24" x14ac:dyDescent="0.25">
      <c r="A14" s="24" t="s">
        <v>47</v>
      </c>
      <c r="B14" s="24" t="s">
        <v>768</v>
      </c>
      <c r="C14" s="24" t="s">
        <v>769</v>
      </c>
      <c r="D14" s="24" t="s">
        <v>62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33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47</v>
      </c>
      <c r="B15" s="24" t="s">
        <v>770</v>
      </c>
      <c r="C15" s="24" t="s">
        <v>771</v>
      </c>
      <c r="D15" s="24" t="s">
        <v>54</v>
      </c>
      <c r="E15" s="24">
        <v>0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94.82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2</v>
      </c>
      <c r="X15" s="26">
        <f t="shared" si="7"/>
        <v>215.69</v>
      </c>
    </row>
    <row r="16" spans="1:24" x14ac:dyDescent="0.25">
      <c r="A16" s="24" t="s">
        <v>57</v>
      </c>
      <c r="B16" s="24" t="s">
        <v>772</v>
      </c>
      <c r="C16" s="24" t="s">
        <v>773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5</v>
      </c>
      <c r="S16" s="28">
        <f t="shared" si="8"/>
        <v>0</v>
      </c>
      <c r="T16" s="28">
        <f t="shared" si="8"/>
        <v>6</v>
      </c>
      <c r="U16" s="28">
        <f t="shared" si="8"/>
        <v>2</v>
      </c>
      <c r="V16" s="29">
        <f t="shared" si="8"/>
        <v>288</v>
      </c>
      <c r="W16" s="28">
        <f t="shared" si="8"/>
        <v>31</v>
      </c>
      <c r="X16" s="29">
        <f t="shared" si="8"/>
        <v>2057</v>
      </c>
    </row>
    <row r="17" spans="1:24" x14ac:dyDescent="0.25">
      <c r="A17" s="24" t="s">
        <v>51</v>
      </c>
      <c r="B17" s="24" t="s">
        <v>774</v>
      </c>
      <c r="C17" s="24" t="s">
        <v>775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150.9</v>
      </c>
      <c r="M17" s="24" t="s">
        <v>90</v>
      </c>
    </row>
    <row r="18" spans="1:24" x14ac:dyDescent="0.25">
      <c r="A18" s="24" t="s">
        <v>55</v>
      </c>
      <c r="B18" s="24" t="s">
        <v>776</v>
      </c>
      <c r="C18" s="24" t="s">
        <v>777</v>
      </c>
      <c r="D18" s="24" t="s">
        <v>76</v>
      </c>
      <c r="E18" s="24">
        <v>0</v>
      </c>
      <c r="F18" s="24">
        <v>0</v>
      </c>
      <c r="G18" s="24">
        <v>0</v>
      </c>
      <c r="H18" s="24">
        <v>0</v>
      </c>
      <c r="I18" s="24">
        <v>1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778</v>
      </c>
      <c r="C19" s="24" t="s">
        <v>779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89.35</v>
      </c>
      <c r="M19" s="24" t="s">
        <v>90</v>
      </c>
    </row>
    <row r="20" spans="1:24" x14ac:dyDescent="0.25">
      <c r="A20" s="24" t="s">
        <v>47</v>
      </c>
      <c r="B20" s="24" t="s">
        <v>780</v>
      </c>
      <c r="C20" s="24" t="s">
        <v>781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208.58</v>
      </c>
      <c r="M20" s="24" t="s">
        <v>168</v>
      </c>
    </row>
    <row r="21" spans="1:24" x14ac:dyDescent="0.25">
      <c r="A21" s="24" t="s">
        <v>59</v>
      </c>
      <c r="B21" s="24" t="s">
        <v>782</v>
      </c>
      <c r="C21" s="24" t="s">
        <v>783</v>
      </c>
      <c r="D21" s="24" t="s">
        <v>74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177.37</v>
      </c>
      <c r="M21" s="24" t="s">
        <v>90</v>
      </c>
    </row>
    <row r="22" spans="1:24" x14ac:dyDescent="0.25">
      <c r="A22" s="24" t="s">
        <v>47</v>
      </c>
      <c r="B22" s="24" t="s">
        <v>784</v>
      </c>
      <c r="C22" s="24" t="s">
        <v>785</v>
      </c>
      <c r="D22" s="24" t="s">
        <v>68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1</v>
      </c>
      <c r="L22" s="25">
        <v>67.42</v>
      </c>
      <c r="M22" s="24" t="s">
        <v>90</v>
      </c>
    </row>
    <row r="23" spans="1:24" x14ac:dyDescent="0.25">
      <c r="A23" s="24" t="s">
        <v>45</v>
      </c>
      <c r="B23" s="24" t="s">
        <v>786</v>
      </c>
      <c r="C23" s="24" t="s">
        <v>787</v>
      </c>
      <c r="D23" s="24" t="s">
        <v>44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18</v>
      </c>
      <c r="K23" s="24">
        <v>1</v>
      </c>
      <c r="L23" s="25">
        <v>41.05</v>
      </c>
      <c r="M23" s="24" t="s">
        <v>90</v>
      </c>
    </row>
    <row r="24" spans="1:24" x14ac:dyDescent="0.25">
      <c r="A24" s="24" t="s">
        <v>59</v>
      </c>
      <c r="B24" s="24" t="s">
        <v>788</v>
      </c>
      <c r="C24" s="24" t="s">
        <v>789</v>
      </c>
      <c r="D24" s="24" t="s">
        <v>62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53</v>
      </c>
      <c r="B25" s="24" t="s">
        <v>790</v>
      </c>
      <c r="C25" s="24" t="s">
        <v>791</v>
      </c>
      <c r="D25" s="24" t="s">
        <v>69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33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59</v>
      </c>
      <c r="B26" s="24" t="s">
        <v>792</v>
      </c>
      <c r="C26" s="24" t="s">
        <v>793</v>
      </c>
      <c r="D26" s="24" t="s">
        <v>68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47</v>
      </c>
      <c r="B27" s="24" t="s">
        <v>794</v>
      </c>
      <c r="C27" s="24" t="s">
        <v>795</v>
      </c>
      <c r="D27" s="24" t="s">
        <v>66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173.41</v>
      </c>
      <c r="M27" s="24" t="s">
        <v>168</v>
      </c>
    </row>
    <row r="28" spans="1:24" x14ac:dyDescent="0.25">
      <c r="A28" s="24" t="s">
        <v>55</v>
      </c>
      <c r="B28" s="24" t="s">
        <v>796</v>
      </c>
      <c r="C28" s="24" t="s">
        <v>797</v>
      </c>
      <c r="D28" s="24" t="s">
        <v>60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47</v>
      </c>
      <c r="B29" s="24" t="s">
        <v>798</v>
      </c>
      <c r="C29" s="24" t="s">
        <v>799</v>
      </c>
      <c r="D29" s="24" t="s">
        <v>75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73.59</v>
      </c>
      <c r="M29" s="24" t="s">
        <v>90</v>
      </c>
    </row>
    <row r="30" spans="1:24" x14ac:dyDescent="0.25">
      <c r="A30" s="24" t="s">
        <v>53</v>
      </c>
      <c r="B30" s="24" t="s">
        <v>800</v>
      </c>
      <c r="C30" s="24" t="s">
        <v>801</v>
      </c>
      <c r="D30" s="24" t="s">
        <v>52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15</v>
      </c>
      <c r="K30" s="24">
        <v>1</v>
      </c>
      <c r="L30" s="25">
        <v>47.5</v>
      </c>
      <c r="M30" s="24" t="s">
        <v>90</v>
      </c>
    </row>
    <row r="31" spans="1:24" x14ac:dyDescent="0.25">
      <c r="A31" s="24" t="s">
        <v>57</v>
      </c>
      <c r="B31" s="24" t="s">
        <v>802</v>
      </c>
      <c r="C31" s="24" t="s">
        <v>803</v>
      </c>
      <c r="D31" s="24" t="s">
        <v>50</v>
      </c>
      <c r="E31" s="24">
        <v>0</v>
      </c>
      <c r="F31" s="24">
        <v>1</v>
      </c>
      <c r="G31" s="24">
        <v>0</v>
      </c>
      <c r="H31" s="24">
        <v>0</v>
      </c>
      <c r="I31" s="24">
        <v>0</v>
      </c>
      <c r="J31" s="25">
        <v>15</v>
      </c>
      <c r="K31" s="24">
        <v>1</v>
      </c>
      <c r="L31" s="25">
        <v>197.43</v>
      </c>
      <c r="M31" s="24" t="s">
        <v>90</v>
      </c>
    </row>
    <row r="32" spans="1:24" x14ac:dyDescent="0.25">
      <c r="A32" s="24" t="s">
        <v>65</v>
      </c>
      <c r="B32" s="24" t="s">
        <v>804</v>
      </c>
      <c r="C32" s="24" t="s">
        <v>805</v>
      </c>
      <c r="D32" s="24" t="s">
        <v>64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202.54</v>
      </c>
      <c r="M32" s="24" t="s">
        <v>168</v>
      </c>
    </row>
    <row r="33" spans="1:13" x14ac:dyDescent="0.25">
      <c r="A33" s="24" t="s">
        <v>61</v>
      </c>
      <c r="B33" s="24" t="s">
        <v>806</v>
      </c>
      <c r="C33" s="24" t="s">
        <v>807</v>
      </c>
      <c r="D33" s="24" t="s">
        <v>46</v>
      </c>
      <c r="E33" s="24">
        <v>0</v>
      </c>
      <c r="F33" s="24">
        <v>1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54.54</v>
      </c>
      <c r="M33" s="24" t="s">
        <v>90</v>
      </c>
    </row>
    <row r="34" spans="1:13" x14ac:dyDescent="0.25">
      <c r="A34" s="24" t="s">
        <v>57</v>
      </c>
      <c r="B34" s="24" t="s">
        <v>808</v>
      </c>
      <c r="C34" s="24" t="s">
        <v>809</v>
      </c>
      <c r="D34" s="24" t="s">
        <v>74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0</v>
      </c>
      <c r="M34" s="24" t="s">
        <v>90</v>
      </c>
    </row>
    <row r="35" spans="1:13" x14ac:dyDescent="0.25">
      <c r="A35" s="24" t="s">
        <v>53</v>
      </c>
      <c r="B35" s="24" t="s">
        <v>810</v>
      </c>
      <c r="C35" s="24" t="s">
        <v>811</v>
      </c>
      <c r="D35" s="24" t="s">
        <v>60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24</v>
      </c>
      <c r="K35" s="24">
        <v>1</v>
      </c>
      <c r="L35" s="25">
        <v>0</v>
      </c>
      <c r="M35" s="24" t="s">
        <v>90</v>
      </c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813</v>
      </c>
      <c r="C4" s="24" t="s">
        <v>814</v>
      </c>
      <c r="D4" s="24" t="s">
        <v>75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173.43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15</v>
      </c>
      <c r="W4" s="21">
        <f t="shared" ref="W4:W15" si="6">SUMIF($A$4:$A$63,$P4,K$4:K$63)</f>
        <v>1</v>
      </c>
      <c r="X4" s="26">
        <f t="shared" ref="X4:X15" si="7">SUMIF($A$4:$A$63,$P4,L$4:L$63)</f>
        <v>214.87</v>
      </c>
    </row>
    <row r="5" spans="1:24" x14ac:dyDescent="0.25">
      <c r="A5" s="24" t="s">
        <v>65</v>
      </c>
      <c r="B5" s="24" t="s">
        <v>815</v>
      </c>
      <c r="C5" s="24" t="s">
        <v>816</v>
      </c>
      <c r="D5" s="24" t="s">
        <v>72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48</v>
      </c>
      <c r="W5" s="21">
        <f t="shared" si="6"/>
        <v>4</v>
      </c>
      <c r="X5" s="26">
        <f t="shared" si="7"/>
        <v>70.38</v>
      </c>
    </row>
    <row r="6" spans="1:24" x14ac:dyDescent="0.25">
      <c r="A6" s="24" t="s">
        <v>65</v>
      </c>
      <c r="B6" s="24" t="s">
        <v>817</v>
      </c>
      <c r="C6" s="24" t="s">
        <v>818</v>
      </c>
      <c r="D6" s="24" t="s">
        <v>80</v>
      </c>
      <c r="E6" s="24">
        <v>0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0</v>
      </c>
      <c r="L6" s="25">
        <v>114.5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43</v>
      </c>
      <c r="B7" s="24" t="s">
        <v>819</v>
      </c>
      <c r="C7" s="24" t="s">
        <v>820</v>
      </c>
      <c r="D7" s="24" t="s">
        <v>73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15</v>
      </c>
      <c r="K7" s="24">
        <v>1</v>
      </c>
      <c r="L7" s="25">
        <v>214.87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149.94999999999999</v>
      </c>
    </row>
    <row r="8" spans="1:24" x14ac:dyDescent="0.25">
      <c r="A8" s="24" t="s">
        <v>45</v>
      </c>
      <c r="B8" s="24" t="s">
        <v>821</v>
      </c>
      <c r="C8" s="24" t="s">
        <v>822</v>
      </c>
      <c r="D8" s="24" t="s">
        <v>77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0</v>
      </c>
    </row>
    <row r="9" spans="1:24" x14ac:dyDescent="0.25">
      <c r="A9" s="24" t="s">
        <v>45</v>
      </c>
      <c r="B9" s="24" t="s">
        <v>823</v>
      </c>
      <c r="C9" s="24" t="s">
        <v>824</v>
      </c>
      <c r="D9" s="24" t="s">
        <v>48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1</v>
      </c>
      <c r="L9" s="25">
        <v>61.26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304.72000000000003</v>
      </c>
    </row>
    <row r="10" spans="1:24" x14ac:dyDescent="0.25">
      <c r="A10" s="24" t="s">
        <v>57</v>
      </c>
      <c r="B10" s="24" t="s">
        <v>825</v>
      </c>
      <c r="C10" s="24" t="s">
        <v>826</v>
      </c>
      <c r="D10" s="24" t="s">
        <v>66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24</v>
      </c>
      <c r="W10" s="21">
        <f t="shared" si="6"/>
        <v>3</v>
      </c>
      <c r="X10" s="26">
        <f t="shared" si="7"/>
        <v>90.22</v>
      </c>
    </row>
    <row r="11" spans="1:24" x14ac:dyDescent="0.25">
      <c r="A11" s="24" t="s">
        <v>45</v>
      </c>
      <c r="B11" s="24" t="s">
        <v>827</v>
      </c>
      <c r="C11" s="24" t="s">
        <v>828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9.1199999999999992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0</v>
      </c>
    </row>
    <row r="12" spans="1:24" x14ac:dyDescent="0.25">
      <c r="A12" s="24" t="s">
        <v>55</v>
      </c>
      <c r="B12" s="24" t="s">
        <v>829</v>
      </c>
      <c r="C12" s="24" t="s">
        <v>830</v>
      </c>
      <c r="D12" s="24" t="s">
        <v>77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24</v>
      </c>
      <c r="W12" s="21">
        <f t="shared" si="6"/>
        <v>1</v>
      </c>
      <c r="X12" s="26">
        <f t="shared" si="7"/>
        <v>35.340000000000003</v>
      </c>
    </row>
    <row r="13" spans="1:24" x14ac:dyDescent="0.25">
      <c r="A13" s="24" t="s">
        <v>63</v>
      </c>
      <c r="B13" s="24" t="s">
        <v>831</v>
      </c>
      <c r="C13" s="24" t="s">
        <v>832</v>
      </c>
      <c r="D13" s="24" t="s">
        <v>46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27.38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49</v>
      </c>
      <c r="W13" s="21">
        <f t="shared" si="6"/>
        <v>2</v>
      </c>
      <c r="X13" s="26">
        <f t="shared" si="7"/>
        <v>58.37</v>
      </c>
    </row>
    <row r="14" spans="1:24" x14ac:dyDescent="0.25">
      <c r="A14" s="24" t="s">
        <v>59</v>
      </c>
      <c r="B14" s="24" t="s">
        <v>833</v>
      </c>
      <c r="C14" s="24" t="s">
        <v>834</v>
      </c>
      <c r="D14" s="24" t="s">
        <v>74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1</v>
      </c>
      <c r="L14" s="25">
        <v>35.340000000000003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3</v>
      </c>
      <c r="X14" s="26">
        <f t="shared" si="7"/>
        <v>114.50999999999999</v>
      </c>
    </row>
    <row r="15" spans="1:24" x14ac:dyDescent="0.25">
      <c r="A15" s="24" t="s">
        <v>53</v>
      </c>
      <c r="B15" s="24" t="s">
        <v>835</v>
      </c>
      <c r="C15" s="24" t="s">
        <v>836</v>
      </c>
      <c r="D15" s="24" t="s">
        <v>77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131.29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114.5</v>
      </c>
    </row>
    <row r="16" spans="1:24" x14ac:dyDescent="0.25">
      <c r="A16" s="24" t="s">
        <v>63</v>
      </c>
      <c r="B16" s="24" t="s">
        <v>837</v>
      </c>
      <c r="C16" s="24" t="s">
        <v>838</v>
      </c>
      <c r="D16" s="24" t="s">
        <v>58</v>
      </c>
      <c r="E16" s="24">
        <v>0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31.52</v>
      </c>
      <c r="M16" s="24" t="s">
        <v>168</v>
      </c>
      <c r="P16" s="27" t="s">
        <v>115</v>
      </c>
      <c r="Q16" s="28">
        <f t="shared" ref="Q16:X16" si="8">SUM(E$4:E$63)</f>
        <v>18</v>
      </c>
      <c r="R16" s="28">
        <f t="shared" si="8"/>
        <v>1</v>
      </c>
      <c r="S16" s="28">
        <f t="shared" si="8"/>
        <v>0</v>
      </c>
      <c r="T16" s="28">
        <f t="shared" si="8"/>
        <v>5</v>
      </c>
      <c r="U16" s="28">
        <f t="shared" si="8"/>
        <v>0</v>
      </c>
      <c r="V16" s="29">
        <f t="shared" si="8"/>
        <v>184</v>
      </c>
      <c r="W16" s="28">
        <f t="shared" si="8"/>
        <v>21</v>
      </c>
      <c r="X16" s="29">
        <f t="shared" si="8"/>
        <v>1152.8599999999999</v>
      </c>
    </row>
    <row r="17" spans="1:24" x14ac:dyDescent="0.25">
      <c r="A17" s="24" t="s">
        <v>61</v>
      </c>
      <c r="B17" s="24" t="s">
        <v>839</v>
      </c>
      <c r="C17" s="24" t="s">
        <v>840</v>
      </c>
      <c r="D17" s="24" t="s">
        <v>48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47</v>
      </c>
      <c r="B18" s="24" t="s">
        <v>841</v>
      </c>
      <c r="C18" s="24" t="s">
        <v>842</v>
      </c>
      <c r="D18" s="24" t="s">
        <v>72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843</v>
      </c>
      <c r="C19" s="24" t="s">
        <v>844</v>
      </c>
      <c r="D19" s="24" t="s">
        <v>64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24</v>
      </c>
      <c r="K19" s="24">
        <v>1</v>
      </c>
      <c r="L19" s="25">
        <v>90.22</v>
      </c>
      <c r="M19" s="24" t="s">
        <v>90</v>
      </c>
    </row>
    <row r="20" spans="1:24" x14ac:dyDescent="0.25">
      <c r="A20" s="24" t="s">
        <v>61</v>
      </c>
      <c r="B20" s="24" t="s">
        <v>845</v>
      </c>
      <c r="C20" s="24" t="s">
        <v>846</v>
      </c>
      <c r="D20" s="24" t="s">
        <v>66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16</v>
      </c>
      <c r="K20" s="24">
        <v>1</v>
      </c>
      <c r="L20" s="25">
        <v>58.37</v>
      </c>
      <c r="M20" s="24" t="s">
        <v>90</v>
      </c>
    </row>
    <row r="21" spans="1:24" x14ac:dyDescent="0.25">
      <c r="A21" s="24" t="s">
        <v>45</v>
      </c>
      <c r="B21" s="24" t="s">
        <v>847</v>
      </c>
      <c r="C21" s="24" t="s">
        <v>848</v>
      </c>
      <c r="D21" s="24" t="s">
        <v>64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33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57</v>
      </c>
      <c r="B22" s="24" t="s">
        <v>849</v>
      </c>
      <c r="C22" s="24" t="s">
        <v>850</v>
      </c>
      <c r="D22" s="24" t="s">
        <v>79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49</v>
      </c>
      <c r="B23" s="24" t="s">
        <v>851</v>
      </c>
      <c r="C23" s="24" t="s">
        <v>852</v>
      </c>
      <c r="D23" s="24" t="s">
        <v>73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149.94999999999999</v>
      </c>
      <c r="M23" s="24" t="s">
        <v>90</v>
      </c>
    </row>
    <row r="24" spans="1:24" x14ac:dyDescent="0.25">
      <c r="A24" s="24" t="s">
        <v>57</v>
      </c>
      <c r="B24" s="24" t="s">
        <v>853</v>
      </c>
      <c r="C24" s="24" t="s">
        <v>854</v>
      </c>
      <c r="D24" s="24" t="s">
        <v>77</v>
      </c>
      <c r="E24" s="24">
        <v>0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63</v>
      </c>
      <c r="B25" s="24" t="s">
        <v>855</v>
      </c>
      <c r="C25" s="24" t="s">
        <v>856</v>
      </c>
      <c r="D25" s="24" t="s">
        <v>44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55.61</v>
      </c>
      <c r="M25" s="24" t="s">
        <v>90</v>
      </c>
    </row>
    <row r="26" spans="1:24" x14ac:dyDescent="0.25">
      <c r="A26" s="24" t="s">
        <v>55</v>
      </c>
      <c r="B26" s="24" t="s">
        <v>857</v>
      </c>
      <c r="C26" s="24" t="s">
        <v>858</v>
      </c>
      <c r="D26" s="24" t="s">
        <v>72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859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57</v>
      </c>
      <c r="B4" s="24" t="s">
        <v>860</v>
      </c>
      <c r="C4" s="24" t="s">
        <v>861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18</v>
      </c>
      <c r="W4" s="21">
        <f t="shared" ref="W4:W15" si="6">SUMIF($A$4:$A$63,$P4,K$4:K$63)</f>
        <v>1</v>
      </c>
      <c r="X4" s="26">
        <f t="shared" ref="X4:X15" si="7">SUMIF($A$4:$A$63,$P4,L$4:L$63)</f>
        <v>132.09</v>
      </c>
    </row>
    <row r="5" spans="1:24" x14ac:dyDescent="0.25">
      <c r="A5" s="24" t="s">
        <v>51</v>
      </c>
      <c r="B5" s="24" t="s">
        <v>862</v>
      </c>
      <c r="C5" s="24" t="s">
        <v>863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10.61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45</v>
      </c>
      <c r="B6" s="24" t="s">
        <v>864</v>
      </c>
      <c r="C6" s="24" t="s">
        <v>865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49</v>
      </c>
      <c r="B7" s="24" t="s">
        <v>866</v>
      </c>
      <c r="C7" s="24" t="s">
        <v>867</v>
      </c>
      <c r="D7" s="24" t="s">
        <v>52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64.8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64.8</v>
      </c>
    </row>
    <row r="8" spans="1:24" x14ac:dyDescent="0.25">
      <c r="A8" s="24" t="s">
        <v>61</v>
      </c>
      <c r="B8" s="24" t="s">
        <v>868</v>
      </c>
      <c r="C8" s="24" t="s">
        <v>869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214.99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30</v>
      </c>
      <c r="W8" s="21">
        <f t="shared" si="6"/>
        <v>4</v>
      </c>
      <c r="X8" s="26">
        <f t="shared" si="7"/>
        <v>190.11</v>
      </c>
    </row>
    <row r="9" spans="1:24" x14ac:dyDescent="0.25">
      <c r="A9" s="24" t="s">
        <v>65</v>
      </c>
      <c r="B9" s="24" t="s">
        <v>870</v>
      </c>
      <c r="C9" s="24" t="s">
        <v>871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15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13.79</v>
      </c>
    </row>
    <row r="10" spans="1:24" x14ac:dyDescent="0.25">
      <c r="A10" s="24" t="s">
        <v>59</v>
      </c>
      <c r="B10" s="24" t="s">
        <v>872</v>
      </c>
      <c r="C10" s="24" t="s">
        <v>873</v>
      </c>
      <c r="D10" s="24" t="s">
        <v>72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137.74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15</v>
      </c>
      <c r="W10" s="21">
        <f t="shared" si="6"/>
        <v>1</v>
      </c>
      <c r="X10" s="26">
        <f t="shared" si="7"/>
        <v>31.26</v>
      </c>
    </row>
    <row r="11" spans="1:24" x14ac:dyDescent="0.25">
      <c r="A11" s="24" t="s">
        <v>53</v>
      </c>
      <c r="B11" s="24" t="s">
        <v>874</v>
      </c>
      <c r="C11" s="24" t="s">
        <v>875</v>
      </c>
      <c r="D11" s="24" t="s">
        <v>80</v>
      </c>
      <c r="E11" s="24">
        <v>0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13.79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1</v>
      </c>
      <c r="V11" s="26">
        <f t="shared" si="5"/>
        <v>0</v>
      </c>
      <c r="W11" s="21">
        <f t="shared" si="6"/>
        <v>2</v>
      </c>
      <c r="X11" s="26">
        <f t="shared" si="7"/>
        <v>0</v>
      </c>
    </row>
    <row r="12" spans="1:24" x14ac:dyDescent="0.25">
      <c r="A12" s="24" t="s">
        <v>53</v>
      </c>
      <c r="B12" s="24" t="s">
        <v>876</v>
      </c>
      <c r="C12" s="24" t="s">
        <v>877</v>
      </c>
      <c r="D12" s="24" t="s">
        <v>77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137.74</v>
      </c>
    </row>
    <row r="13" spans="1:24" x14ac:dyDescent="0.25">
      <c r="A13" s="24" t="s">
        <v>51</v>
      </c>
      <c r="B13" s="24" t="s">
        <v>878</v>
      </c>
      <c r="C13" s="24" t="s">
        <v>879</v>
      </c>
      <c r="D13" s="24" t="s">
        <v>75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67.430000000000007</v>
      </c>
      <c r="M13" s="24" t="s">
        <v>168</v>
      </c>
      <c r="P13" s="21" t="str">
        <f>Setup!$A$14</f>
        <v>Expert 10</v>
      </c>
      <c r="Q13" s="21">
        <f t="shared" si="0"/>
        <v>3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18</v>
      </c>
      <c r="W13" s="21">
        <f t="shared" si="6"/>
        <v>3</v>
      </c>
      <c r="X13" s="26">
        <f t="shared" si="7"/>
        <v>347.59000000000003</v>
      </c>
    </row>
    <row r="14" spans="1:24" x14ac:dyDescent="0.25">
      <c r="A14" s="24" t="s">
        <v>55</v>
      </c>
      <c r="B14" s="24" t="s">
        <v>880</v>
      </c>
      <c r="C14" s="24" t="s">
        <v>881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15</v>
      </c>
      <c r="K14" s="24">
        <v>1</v>
      </c>
      <c r="L14" s="25">
        <v>31.26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47</v>
      </c>
      <c r="B15" s="24" t="s">
        <v>882</v>
      </c>
      <c r="C15" s="24" t="s">
        <v>883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1</v>
      </c>
      <c r="L15" s="25">
        <v>0</v>
      </c>
      <c r="M15" s="24" t="s">
        <v>168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2</v>
      </c>
      <c r="U15" s="21">
        <f t="shared" si="4"/>
        <v>0</v>
      </c>
      <c r="V15" s="26">
        <f t="shared" si="5"/>
        <v>48</v>
      </c>
      <c r="W15" s="21">
        <f t="shared" si="6"/>
        <v>2</v>
      </c>
      <c r="X15" s="26">
        <f t="shared" si="7"/>
        <v>2.73</v>
      </c>
    </row>
    <row r="16" spans="1:24" x14ac:dyDescent="0.25">
      <c r="A16" s="24" t="s">
        <v>51</v>
      </c>
      <c r="B16" s="24" t="s">
        <v>884</v>
      </c>
      <c r="C16" s="24" t="s">
        <v>885</v>
      </c>
      <c r="D16" s="24" t="s">
        <v>58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18</v>
      </c>
      <c r="R16" s="28">
        <f t="shared" si="8"/>
        <v>0</v>
      </c>
      <c r="S16" s="28">
        <f t="shared" si="8"/>
        <v>0</v>
      </c>
      <c r="T16" s="28">
        <f t="shared" si="8"/>
        <v>8</v>
      </c>
      <c r="U16" s="28">
        <f t="shared" si="8"/>
        <v>1</v>
      </c>
      <c r="V16" s="29">
        <f t="shared" si="8"/>
        <v>219</v>
      </c>
      <c r="W16" s="28">
        <f t="shared" si="8"/>
        <v>18</v>
      </c>
      <c r="X16" s="29">
        <f t="shared" si="8"/>
        <v>920.11000000000013</v>
      </c>
    </row>
    <row r="17" spans="1:24" x14ac:dyDescent="0.25">
      <c r="A17" s="24" t="s">
        <v>61</v>
      </c>
      <c r="B17" s="24" t="s">
        <v>886</v>
      </c>
      <c r="C17" s="24" t="s">
        <v>887</v>
      </c>
      <c r="D17" s="24" t="s">
        <v>52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18</v>
      </c>
      <c r="K17" s="24">
        <v>1</v>
      </c>
      <c r="L17" s="25">
        <v>132.6</v>
      </c>
      <c r="M17" s="24" t="s">
        <v>90</v>
      </c>
    </row>
    <row r="18" spans="1:24" x14ac:dyDescent="0.25">
      <c r="A18" s="24" t="s">
        <v>57</v>
      </c>
      <c r="B18" s="24" t="s">
        <v>888</v>
      </c>
      <c r="C18" s="24" t="s">
        <v>889</v>
      </c>
      <c r="D18" s="24" t="s">
        <v>79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0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65</v>
      </c>
      <c r="B19" s="24" t="s">
        <v>890</v>
      </c>
      <c r="C19" s="24" t="s">
        <v>891</v>
      </c>
      <c r="D19" s="24" t="s">
        <v>54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33</v>
      </c>
      <c r="K19" s="24">
        <v>1</v>
      </c>
      <c r="L19" s="25">
        <v>2.73</v>
      </c>
      <c r="M19" s="24" t="s">
        <v>90</v>
      </c>
    </row>
    <row r="20" spans="1:24" x14ac:dyDescent="0.25">
      <c r="A20" s="24" t="s">
        <v>43</v>
      </c>
      <c r="B20" s="24" t="s">
        <v>892</v>
      </c>
      <c r="C20" s="24" t="s">
        <v>893</v>
      </c>
      <c r="D20" s="24" t="s">
        <v>46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132.09</v>
      </c>
      <c r="M20" s="24" t="s">
        <v>90</v>
      </c>
    </row>
    <row r="21" spans="1:24" x14ac:dyDescent="0.25">
      <c r="A21" s="24" t="s">
        <v>51</v>
      </c>
      <c r="B21" s="24" t="s">
        <v>894</v>
      </c>
      <c r="C21" s="24" t="s">
        <v>895</v>
      </c>
      <c r="D21" s="24" t="s">
        <v>68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112.07</v>
      </c>
      <c r="M21" s="24" t="s">
        <v>90</v>
      </c>
    </row>
    <row r="22" spans="1:24" x14ac:dyDescent="0.25">
      <c r="A22" s="24" t="s">
        <v>57</v>
      </c>
      <c r="B22" s="24" t="s">
        <v>896</v>
      </c>
      <c r="C22" s="24" t="s">
        <v>897</v>
      </c>
      <c r="D22" s="24" t="s">
        <v>77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61</v>
      </c>
      <c r="B23" s="24" t="s">
        <v>898</v>
      </c>
      <c r="C23" s="24" t="s">
        <v>899</v>
      </c>
      <c r="D23" s="24" t="s">
        <v>60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900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65</v>
      </c>
      <c r="B4" s="24" t="s">
        <v>901</v>
      </c>
      <c r="C4" s="24" t="s">
        <v>902</v>
      </c>
      <c r="D4" s="24" t="s">
        <v>67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65.69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48</v>
      </c>
      <c r="W4" s="21">
        <f t="shared" ref="W4:W15" si="6">SUMIF($A$4:$A$63,$P4,K$4:K$63)</f>
        <v>2</v>
      </c>
      <c r="X4" s="26">
        <f t="shared" ref="X4:X15" si="7">SUMIF($A$4:$A$63,$P4,L$4:L$63)</f>
        <v>163.32</v>
      </c>
    </row>
    <row r="5" spans="1:24" x14ac:dyDescent="0.25">
      <c r="A5" s="24" t="s">
        <v>43</v>
      </c>
      <c r="B5" s="24" t="s">
        <v>903</v>
      </c>
      <c r="C5" s="24" t="s">
        <v>904</v>
      </c>
      <c r="D5" s="24" t="s">
        <v>46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163.32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3</v>
      </c>
      <c r="X5" s="26">
        <f t="shared" si="7"/>
        <v>259.22000000000003</v>
      </c>
    </row>
    <row r="6" spans="1:24" x14ac:dyDescent="0.25">
      <c r="A6" s="24" t="s">
        <v>59</v>
      </c>
      <c r="B6" s="24" t="s">
        <v>905</v>
      </c>
      <c r="C6" s="24" t="s">
        <v>906</v>
      </c>
      <c r="D6" s="24" t="s">
        <v>70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24</v>
      </c>
      <c r="W6" s="21">
        <f t="shared" si="6"/>
        <v>2</v>
      </c>
      <c r="X6" s="26">
        <f t="shared" si="7"/>
        <v>23.53</v>
      </c>
    </row>
    <row r="7" spans="1:24" x14ac:dyDescent="0.25">
      <c r="A7" s="24" t="s">
        <v>57</v>
      </c>
      <c r="B7" s="24" t="s">
        <v>907</v>
      </c>
      <c r="C7" s="24" t="s">
        <v>908</v>
      </c>
      <c r="D7" s="24" t="s">
        <v>73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168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0</v>
      </c>
      <c r="W7" s="21">
        <f t="shared" si="6"/>
        <v>2</v>
      </c>
      <c r="X7" s="26">
        <f t="shared" si="7"/>
        <v>134.27000000000001</v>
      </c>
    </row>
    <row r="8" spans="1:24" x14ac:dyDescent="0.25">
      <c r="A8" s="24" t="s">
        <v>59</v>
      </c>
      <c r="B8" s="24" t="s">
        <v>909</v>
      </c>
      <c r="C8" s="24" t="s">
        <v>910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0</v>
      </c>
    </row>
    <row r="9" spans="1:24" x14ac:dyDescent="0.25">
      <c r="A9" s="24" t="s">
        <v>49</v>
      </c>
      <c r="B9" s="24" t="s">
        <v>911</v>
      </c>
      <c r="C9" s="24" t="s">
        <v>912</v>
      </c>
      <c r="D9" s="24" t="s">
        <v>76</v>
      </c>
      <c r="E9" s="24">
        <v>0</v>
      </c>
      <c r="F9" s="24">
        <v>0</v>
      </c>
      <c r="G9" s="24">
        <v>0</v>
      </c>
      <c r="H9" s="24">
        <v>0</v>
      </c>
      <c r="I9" s="24">
        <v>1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16</v>
      </c>
      <c r="W9" s="21">
        <f t="shared" si="6"/>
        <v>1</v>
      </c>
      <c r="X9" s="26">
        <f t="shared" si="7"/>
        <v>123.33</v>
      </c>
    </row>
    <row r="10" spans="1:24" x14ac:dyDescent="0.25">
      <c r="A10" s="24" t="s">
        <v>57</v>
      </c>
      <c r="B10" s="24" t="s">
        <v>913</v>
      </c>
      <c r="C10" s="24" t="s">
        <v>914</v>
      </c>
      <c r="D10" s="24" t="s">
        <v>67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160.91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16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63</v>
      </c>
      <c r="B11" s="24" t="s">
        <v>915</v>
      </c>
      <c r="C11" s="24" t="s">
        <v>916</v>
      </c>
      <c r="D11" s="24" t="s">
        <v>58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4</v>
      </c>
      <c r="X11" s="26">
        <f t="shared" si="7"/>
        <v>277.67</v>
      </c>
    </row>
    <row r="12" spans="1:24" x14ac:dyDescent="0.25">
      <c r="A12" s="24" t="s">
        <v>63</v>
      </c>
      <c r="B12" s="24" t="s">
        <v>917</v>
      </c>
      <c r="C12" s="24" t="s">
        <v>918</v>
      </c>
      <c r="D12" s="24" t="s">
        <v>70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33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1</v>
      </c>
      <c r="V12" s="26">
        <f t="shared" si="5"/>
        <v>33</v>
      </c>
      <c r="W12" s="21">
        <f t="shared" si="6"/>
        <v>4</v>
      </c>
      <c r="X12" s="26">
        <f t="shared" si="7"/>
        <v>17.060000000000002</v>
      </c>
    </row>
    <row r="13" spans="1:24" x14ac:dyDescent="0.25">
      <c r="A13" s="24" t="s">
        <v>53</v>
      </c>
      <c r="B13" s="24" t="s">
        <v>919</v>
      </c>
      <c r="C13" s="24" t="s">
        <v>920</v>
      </c>
      <c r="D13" s="24" t="s">
        <v>69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123.33</v>
      </c>
      <c r="M13" s="24" t="s">
        <v>168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81.95</v>
      </c>
    </row>
    <row r="14" spans="1:24" x14ac:dyDescent="0.25">
      <c r="A14" s="24" t="s">
        <v>57</v>
      </c>
      <c r="B14" s="24" t="s">
        <v>921</v>
      </c>
      <c r="C14" s="24" t="s">
        <v>922</v>
      </c>
      <c r="D14" s="24" t="s">
        <v>52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116.76</v>
      </c>
      <c r="M14" s="24" t="s">
        <v>90</v>
      </c>
      <c r="P14" s="21" t="str">
        <f>Setup!$A$15</f>
        <v>Expert 11</v>
      </c>
      <c r="Q14" s="21">
        <f t="shared" si="0"/>
        <v>3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57</v>
      </c>
      <c r="W14" s="21">
        <f t="shared" si="6"/>
        <v>3</v>
      </c>
      <c r="X14" s="26">
        <f t="shared" si="7"/>
        <v>0</v>
      </c>
    </row>
    <row r="15" spans="1:24" x14ac:dyDescent="0.25">
      <c r="A15" s="24" t="s">
        <v>59</v>
      </c>
      <c r="B15" s="24" t="s">
        <v>923</v>
      </c>
      <c r="C15" s="24" t="s">
        <v>924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6.43</v>
      </c>
      <c r="M15" s="24" t="s">
        <v>168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65.69</v>
      </c>
    </row>
    <row r="16" spans="1:24" x14ac:dyDescent="0.25">
      <c r="A16" s="24" t="s">
        <v>43</v>
      </c>
      <c r="B16" s="24" t="s">
        <v>925</v>
      </c>
      <c r="C16" s="24" t="s">
        <v>926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19</v>
      </c>
      <c r="R16" s="28">
        <f t="shared" si="8"/>
        <v>2</v>
      </c>
      <c r="S16" s="28">
        <f t="shared" si="8"/>
        <v>0</v>
      </c>
      <c r="T16" s="28">
        <f t="shared" si="8"/>
        <v>9</v>
      </c>
      <c r="U16" s="28">
        <f t="shared" si="8"/>
        <v>2</v>
      </c>
      <c r="V16" s="29">
        <f t="shared" si="8"/>
        <v>251</v>
      </c>
      <c r="W16" s="28">
        <f t="shared" si="8"/>
        <v>25</v>
      </c>
      <c r="X16" s="29">
        <f t="shared" si="8"/>
        <v>1146.0400000000002</v>
      </c>
    </row>
    <row r="17" spans="1:24" x14ac:dyDescent="0.25">
      <c r="A17" s="24" t="s">
        <v>49</v>
      </c>
      <c r="B17" s="24" t="s">
        <v>927</v>
      </c>
      <c r="C17" s="24" t="s">
        <v>928</v>
      </c>
      <c r="D17" s="24" t="s">
        <v>72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134.27000000000001</v>
      </c>
      <c r="M17" s="24" t="s">
        <v>90</v>
      </c>
    </row>
    <row r="18" spans="1:24" x14ac:dyDescent="0.25">
      <c r="A18" s="24" t="s">
        <v>45</v>
      </c>
      <c r="B18" s="24" t="s">
        <v>929</v>
      </c>
      <c r="C18" s="24" t="s">
        <v>930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931</v>
      </c>
      <c r="C19" s="24" t="s">
        <v>932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16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65</v>
      </c>
      <c r="B20" s="24" t="s">
        <v>933</v>
      </c>
      <c r="C20" s="24" t="s">
        <v>934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935</v>
      </c>
      <c r="C21" s="24" t="s">
        <v>936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24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45</v>
      </c>
      <c r="B22" s="24" t="s">
        <v>937</v>
      </c>
      <c r="C22" s="24" t="s">
        <v>938</v>
      </c>
      <c r="D22" s="24" t="s">
        <v>60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160.96</v>
      </c>
      <c r="M22" s="24" t="s">
        <v>90</v>
      </c>
    </row>
    <row r="23" spans="1:24" x14ac:dyDescent="0.25">
      <c r="A23" s="24" t="s">
        <v>47</v>
      </c>
      <c r="B23" s="24" t="s">
        <v>939</v>
      </c>
      <c r="C23" s="24" t="s">
        <v>940</v>
      </c>
      <c r="D23" s="24" t="s">
        <v>48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24</v>
      </c>
      <c r="K23" s="24">
        <v>1</v>
      </c>
      <c r="L23" s="25">
        <v>23.53</v>
      </c>
      <c r="M23" s="24" t="s">
        <v>90</v>
      </c>
    </row>
    <row r="24" spans="1:24" x14ac:dyDescent="0.25">
      <c r="A24" s="24" t="s">
        <v>45</v>
      </c>
      <c r="B24" s="24" t="s">
        <v>941</v>
      </c>
      <c r="C24" s="24" t="s">
        <v>942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98.26</v>
      </c>
      <c r="M24" s="24" t="s">
        <v>90</v>
      </c>
    </row>
    <row r="25" spans="1:24" x14ac:dyDescent="0.25">
      <c r="A25" s="24" t="s">
        <v>59</v>
      </c>
      <c r="B25" s="24" t="s">
        <v>943</v>
      </c>
      <c r="C25" s="24" t="s">
        <v>944</v>
      </c>
      <c r="D25" s="24" t="s">
        <v>48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33</v>
      </c>
      <c r="K25" s="24">
        <v>1</v>
      </c>
      <c r="L25" s="25">
        <v>10.63</v>
      </c>
      <c r="M25" s="24" t="s">
        <v>90</v>
      </c>
    </row>
    <row r="26" spans="1:24" x14ac:dyDescent="0.25">
      <c r="A26" s="24" t="s">
        <v>57</v>
      </c>
      <c r="B26" s="24" t="s">
        <v>945</v>
      </c>
      <c r="C26" s="24" t="s">
        <v>946</v>
      </c>
      <c r="D26" s="24" t="s">
        <v>60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61</v>
      </c>
      <c r="B27" s="24" t="s">
        <v>947</v>
      </c>
      <c r="C27" s="24" t="s">
        <v>948</v>
      </c>
      <c r="D27" s="24" t="s">
        <v>54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81.95</v>
      </c>
      <c r="M27" s="24" t="s">
        <v>90</v>
      </c>
    </row>
    <row r="28" spans="1:24" x14ac:dyDescent="0.25">
      <c r="A28" s="24" t="s">
        <v>65</v>
      </c>
      <c r="B28" s="24" t="s">
        <v>949</v>
      </c>
      <c r="C28" s="24" t="s">
        <v>950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24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47</v>
      </c>
      <c r="B29" s="24" t="s">
        <v>951</v>
      </c>
      <c r="C29" s="24" t="s">
        <v>952</v>
      </c>
      <c r="D29" s="24" t="s">
        <v>62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954</v>
      </c>
      <c r="C4" s="24" t="s">
        <v>955</v>
      </c>
      <c r="D4" s="24" t="s">
        <v>44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16</v>
      </c>
      <c r="K4" s="24">
        <v>1</v>
      </c>
      <c r="L4" s="25">
        <v>19.21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193.42000000000002</v>
      </c>
    </row>
    <row r="5" spans="1:24" x14ac:dyDescent="0.25">
      <c r="A5" s="24" t="s">
        <v>61</v>
      </c>
      <c r="B5" s="24" t="s">
        <v>956</v>
      </c>
      <c r="C5" s="24" t="s">
        <v>957</v>
      </c>
      <c r="D5" s="24" t="s">
        <v>72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3</v>
      </c>
      <c r="U5" s="21">
        <f t="shared" si="4"/>
        <v>0</v>
      </c>
      <c r="V5" s="26">
        <f t="shared" si="5"/>
        <v>0</v>
      </c>
      <c r="W5" s="21">
        <f t="shared" si="6"/>
        <v>3</v>
      </c>
      <c r="X5" s="26">
        <f t="shared" si="7"/>
        <v>37.799999999999997</v>
      </c>
    </row>
    <row r="6" spans="1:24" x14ac:dyDescent="0.25">
      <c r="A6" s="24" t="s">
        <v>45</v>
      </c>
      <c r="B6" s="24" t="s">
        <v>958</v>
      </c>
      <c r="C6" s="24" t="s">
        <v>959</v>
      </c>
      <c r="D6" s="24" t="s">
        <v>70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86.42</v>
      </c>
    </row>
    <row r="7" spans="1:24" x14ac:dyDescent="0.25">
      <c r="A7" s="24" t="s">
        <v>55</v>
      </c>
      <c r="B7" s="24" t="s">
        <v>960</v>
      </c>
      <c r="C7" s="24" t="s">
        <v>961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129.30000000000001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42</v>
      </c>
      <c r="W7" s="21">
        <f t="shared" si="6"/>
        <v>2</v>
      </c>
      <c r="X7" s="26">
        <f t="shared" si="7"/>
        <v>122.25</v>
      </c>
    </row>
    <row r="8" spans="1:24" x14ac:dyDescent="0.25">
      <c r="A8" s="24" t="s">
        <v>47</v>
      </c>
      <c r="B8" s="24" t="s">
        <v>962</v>
      </c>
      <c r="C8" s="24" t="s">
        <v>963</v>
      </c>
      <c r="D8" s="24" t="s">
        <v>71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45</v>
      </c>
      <c r="B9" s="24" t="s">
        <v>964</v>
      </c>
      <c r="C9" s="24" t="s">
        <v>965</v>
      </c>
      <c r="D9" s="24" t="s">
        <v>56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37.799999999999997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49</v>
      </c>
      <c r="B10" s="24" t="s">
        <v>966</v>
      </c>
      <c r="C10" s="24" t="s">
        <v>967</v>
      </c>
      <c r="D10" s="24" t="s">
        <v>69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122.25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1</v>
      </c>
      <c r="X10" s="26">
        <f t="shared" si="7"/>
        <v>129.30000000000001</v>
      </c>
    </row>
    <row r="11" spans="1:24" x14ac:dyDescent="0.25">
      <c r="A11" s="24" t="s">
        <v>57</v>
      </c>
      <c r="B11" s="24" t="s">
        <v>968</v>
      </c>
      <c r="C11" s="24" t="s">
        <v>969</v>
      </c>
      <c r="D11" s="24" t="s">
        <v>72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3.64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15</v>
      </c>
      <c r="W11" s="21">
        <f t="shared" si="6"/>
        <v>2</v>
      </c>
      <c r="X11" s="26">
        <f t="shared" si="7"/>
        <v>192.42999999999998</v>
      </c>
    </row>
    <row r="12" spans="1:24" x14ac:dyDescent="0.25">
      <c r="A12" s="24" t="s">
        <v>63</v>
      </c>
      <c r="B12" s="24" t="s">
        <v>970</v>
      </c>
      <c r="C12" s="24" t="s">
        <v>971</v>
      </c>
      <c r="D12" s="24" t="s">
        <v>46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186.29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70.900000000000006</v>
      </c>
    </row>
    <row r="13" spans="1:24" x14ac:dyDescent="0.25">
      <c r="A13" s="24" t="s">
        <v>61</v>
      </c>
      <c r="B13" s="24" t="s">
        <v>972</v>
      </c>
      <c r="C13" s="24" t="s">
        <v>973</v>
      </c>
      <c r="D13" s="24" t="s">
        <v>77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49</v>
      </c>
      <c r="B14" s="24" t="s">
        <v>974</v>
      </c>
      <c r="C14" s="24" t="s">
        <v>975</v>
      </c>
      <c r="D14" s="24" t="s">
        <v>76</v>
      </c>
      <c r="E14" s="24">
        <v>0</v>
      </c>
      <c r="F14" s="24">
        <v>0</v>
      </c>
      <c r="G14" s="24">
        <v>0</v>
      </c>
      <c r="H14" s="24">
        <v>0</v>
      </c>
      <c r="I14" s="24">
        <v>1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3</v>
      </c>
      <c r="S14" s="21">
        <f t="shared" si="2"/>
        <v>1</v>
      </c>
      <c r="T14" s="21">
        <f t="shared" si="3"/>
        <v>1</v>
      </c>
      <c r="U14" s="21">
        <f t="shared" si="4"/>
        <v>0</v>
      </c>
      <c r="V14" s="26">
        <f t="shared" si="5"/>
        <v>73</v>
      </c>
      <c r="W14" s="21">
        <f t="shared" si="6"/>
        <v>6</v>
      </c>
      <c r="X14" s="26">
        <f t="shared" si="7"/>
        <v>586.46</v>
      </c>
    </row>
    <row r="15" spans="1:24" x14ac:dyDescent="0.25">
      <c r="A15" s="24" t="s">
        <v>65</v>
      </c>
      <c r="B15" s="24" t="s">
        <v>976</v>
      </c>
      <c r="C15" s="24" t="s">
        <v>977</v>
      </c>
      <c r="D15" s="24" t="s">
        <v>64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218.24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1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218.24</v>
      </c>
    </row>
    <row r="16" spans="1:24" x14ac:dyDescent="0.25">
      <c r="A16" s="24" t="s">
        <v>63</v>
      </c>
      <c r="B16" s="24" t="s">
        <v>978</v>
      </c>
      <c r="C16" s="24" t="s">
        <v>979</v>
      </c>
      <c r="D16" s="24" t="s">
        <v>54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24</v>
      </c>
      <c r="K16" s="24">
        <v>1</v>
      </c>
      <c r="L16" s="25">
        <v>124.52</v>
      </c>
      <c r="M16" s="24" t="s">
        <v>90</v>
      </c>
      <c r="P16" s="27" t="s">
        <v>115</v>
      </c>
      <c r="Q16" s="28">
        <f t="shared" ref="Q16:X16" si="8">SUM(E$4:E$63)</f>
        <v>14</v>
      </c>
      <c r="R16" s="28">
        <f t="shared" si="8"/>
        <v>4</v>
      </c>
      <c r="S16" s="28">
        <f t="shared" si="8"/>
        <v>1</v>
      </c>
      <c r="T16" s="28">
        <f t="shared" si="8"/>
        <v>8</v>
      </c>
      <c r="U16" s="28">
        <f t="shared" si="8"/>
        <v>1</v>
      </c>
      <c r="V16" s="29">
        <f t="shared" si="8"/>
        <v>130</v>
      </c>
      <c r="W16" s="28">
        <f t="shared" si="8"/>
        <v>22</v>
      </c>
      <c r="X16" s="29">
        <f t="shared" si="8"/>
        <v>1637.2200000000003</v>
      </c>
    </row>
    <row r="17" spans="1:24" x14ac:dyDescent="0.25">
      <c r="A17" s="24" t="s">
        <v>51</v>
      </c>
      <c r="B17" s="24" t="s">
        <v>980</v>
      </c>
      <c r="C17" s="24" t="s">
        <v>981</v>
      </c>
      <c r="D17" s="24" t="s">
        <v>58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57</v>
      </c>
      <c r="B18" s="24" t="s">
        <v>982</v>
      </c>
      <c r="C18" s="24" t="s">
        <v>983</v>
      </c>
      <c r="D18" s="24" t="s">
        <v>60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188.79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63</v>
      </c>
      <c r="B19" s="24" t="s">
        <v>984</v>
      </c>
      <c r="C19" s="24" t="s">
        <v>985</v>
      </c>
      <c r="D19" s="24" t="s">
        <v>62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49</v>
      </c>
      <c r="B20" s="24" t="s">
        <v>986</v>
      </c>
      <c r="C20" s="24" t="s">
        <v>987</v>
      </c>
      <c r="D20" s="24" t="s">
        <v>78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0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988</v>
      </c>
      <c r="C21" s="24" t="s">
        <v>989</v>
      </c>
      <c r="D21" s="24" t="s">
        <v>78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0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990</v>
      </c>
      <c r="C22" s="24" t="s">
        <v>991</v>
      </c>
      <c r="D22" s="24" t="s">
        <v>62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146.77000000000001</v>
      </c>
      <c r="M22" s="24" t="s">
        <v>90</v>
      </c>
    </row>
    <row r="23" spans="1:24" x14ac:dyDescent="0.25">
      <c r="A23" s="24" t="s">
        <v>43</v>
      </c>
      <c r="B23" s="24" t="s">
        <v>992</v>
      </c>
      <c r="C23" s="24" t="s">
        <v>993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46.65</v>
      </c>
      <c r="M23" s="24" t="s">
        <v>90</v>
      </c>
    </row>
    <row r="24" spans="1:24" x14ac:dyDescent="0.25">
      <c r="A24" s="24" t="s">
        <v>47</v>
      </c>
      <c r="B24" s="24" t="s">
        <v>994</v>
      </c>
      <c r="C24" s="24" t="s">
        <v>995</v>
      </c>
      <c r="D24" s="24" t="s">
        <v>80</v>
      </c>
      <c r="E24" s="24">
        <v>0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0</v>
      </c>
      <c r="L24" s="25">
        <v>86.42</v>
      </c>
      <c r="M24" s="24" t="s">
        <v>90</v>
      </c>
    </row>
    <row r="25" spans="1:24" x14ac:dyDescent="0.25">
      <c r="A25" s="24" t="s">
        <v>45</v>
      </c>
      <c r="B25" s="24" t="s">
        <v>996</v>
      </c>
      <c r="C25" s="24" t="s">
        <v>997</v>
      </c>
      <c r="D25" s="24" t="s">
        <v>71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998</v>
      </c>
      <c r="C26" s="24" t="s">
        <v>999</v>
      </c>
      <c r="D26" s="24" t="s">
        <v>48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93.76</v>
      </c>
      <c r="M26" s="24" t="s">
        <v>90</v>
      </c>
    </row>
    <row r="27" spans="1:24" x14ac:dyDescent="0.25">
      <c r="A27" s="24" t="s">
        <v>63</v>
      </c>
      <c r="B27" s="24" t="s">
        <v>1000</v>
      </c>
      <c r="C27" s="24" t="s">
        <v>1001</v>
      </c>
      <c r="D27" s="24" t="s">
        <v>64</v>
      </c>
      <c r="E27" s="24">
        <v>1</v>
      </c>
      <c r="F27" s="24">
        <v>0</v>
      </c>
      <c r="G27" s="24">
        <v>1</v>
      </c>
      <c r="H27" s="24">
        <v>0</v>
      </c>
      <c r="I27" s="24">
        <v>0</v>
      </c>
      <c r="J27" s="25">
        <v>0</v>
      </c>
      <c r="K27" s="24">
        <v>1</v>
      </c>
      <c r="L27" s="25">
        <v>162.68</v>
      </c>
      <c r="M27" s="24" t="s">
        <v>90</v>
      </c>
    </row>
    <row r="28" spans="1:24" x14ac:dyDescent="0.25">
      <c r="A28" s="24" t="s">
        <v>59</v>
      </c>
      <c r="B28" s="24" t="s">
        <v>1002</v>
      </c>
      <c r="C28" s="24" t="s">
        <v>1003</v>
      </c>
      <c r="D28" s="24" t="s">
        <v>44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70.900000000000006</v>
      </c>
      <c r="M28" s="24" t="s">
        <v>90</v>
      </c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1004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1005</v>
      </c>
      <c r="C4" s="24" t="s">
        <v>1006</v>
      </c>
      <c r="D4" s="24" t="s">
        <v>79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2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5.89</v>
      </c>
    </row>
    <row r="5" spans="1:24" x14ac:dyDescent="0.25">
      <c r="A5" s="24" t="s">
        <v>63</v>
      </c>
      <c r="B5" s="24" t="s">
        <v>1007</v>
      </c>
      <c r="C5" s="24" t="s">
        <v>1008</v>
      </c>
      <c r="D5" s="24" t="s">
        <v>75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33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31</v>
      </c>
      <c r="W5" s="21">
        <f t="shared" si="6"/>
        <v>2</v>
      </c>
      <c r="X5" s="26">
        <f t="shared" si="7"/>
        <v>366.45</v>
      </c>
    </row>
    <row r="6" spans="1:24" x14ac:dyDescent="0.25">
      <c r="A6" s="24" t="s">
        <v>45</v>
      </c>
      <c r="B6" s="24" t="s">
        <v>1009</v>
      </c>
      <c r="C6" s="24" t="s">
        <v>1010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158.19999999999999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2</v>
      </c>
      <c r="X6" s="26">
        <f t="shared" si="7"/>
        <v>286.57</v>
      </c>
    </row>
    <row r="7" spans="1:24" x14ac:dyDescent="0.25">
      <c r="A7" s="24" t="s">
        <v>47</v>
      </c>
      <c r="B7" s="24" t="s">
        <v>1011</v>
      </c>
      <c r="C7" s="24" t="s">
        <v>1012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33</v>
      </c>
      <c r="K7" s="24">
        <v>1</v>
      </c>
      <c r="L7" s="25">
        <v>102.09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2</v>
      </c>
      <c r="X7" s="26">
        <f t="shared" si="7"/>
        <v>13.69</v>
      </c>
    </row>
    <row r="8" spans="1:24" x14ac:dyDescent="0.25">
      <c r="A8" s="24" t="s">
        <v>53</v>
      </c>
      <c r="B8" s="24" t="s">
        <v>1013</v>
      </c>
      <c r="C8" s="24" t="s">
        <v>1014</v>
      </c>
      <c r="D8" s="24" t="s">
        <v>80</v>
      </c>
      <c r="E8" s="24">
        <v>0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88.44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2</v>
      </c>
      <c r="X8" s="26">
        <f t="shared" si="7"/>
        <v>173</v>
      </c>
    </row>
    <row r="9" spans="1:24" x14ac:dyDescent="0.25">
      <c r="A9" s="24" t="s">
        <v>59</v>
      </c>
      <c r="B9" s="24" t="s">
        <v>1015</v>
      </c>
      <c r="C9" s="24" t="s">
        <v>1016</v>
      </c>
      <c r="D9" s="24" t="s">
        <v>78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0</v>
      </c>
      <c r="K9" s="24">
        <v>0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15</v>
      </c>
      <c r="W9" s="21">
        <f t="shared" si="6"/>
        <v>2</v>
      </c>
      <c r="X9" s="26">
        <f t="shared" si="7"/>
        <v>243.88</v>
      </c>
    </row>
    <row r="10" spans="1:24" x14ac:dyDescent="0.25">
      <c r="A10" s="24" t="s">
        <v>47</v>
      </c>
      <c r="B10" s="24" t="s">
        <v>1017</v>
      </c>
      <c r="C10" s="24" t="s">
        <v>1018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184.48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53</v>
      </c>
      <c r="B11" s="24" t="s">
        <v>1019</v>
      </c>
      <c r="C11" s="24" t="s">
        <v>1020</v>
      </c>
      <c r="D11" s="24" t="s">
        <v>56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15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0</v>
      </c>
      <c r="X11" s="26">
        <f t="shared" si="7"/>
        <v>0</v>
      </c>
    </row>
    <row r="12" spans="1:24" x14ac:dyDescent="0.25">
      <c r="A12" s="24" t="s">
        <v>45</v>
      </c>
      <c r="B12" s="24" t="s">
        <v>1021</v>
      </c>
      <c r="C12" s="24" t="s">
        <v>1022</v>
      </c>
      <c r="D12" s="24" t="s">
        <v>48</v>
      </c>
      <c r="E12" s="24">
        <v>0</v>
      </c>
      <c r="F12" s="24">
        <v>1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208.25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51</v>
      </c>
      <c r="B13" s="24" t="s">
        <v>1023</v>
      </c>
      <c r="C13" s="24" t="s">
        <v>1024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173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18</v>
      </c>
      <c r="W13" s="21">
        <f t="shared" si="6"/>
        <v>2</v>
      </c>
      <c r="X13" s="26">
        <f t="shared" si="7"/>
        <v>85.97</v>
      </c>
    </row>
    <row r="14" spans="1:24" x14ac:dyDescent="0.25">
      <c r="A14" s="24" t="s">
        <v>49</v>
      </c>
      <c r="B14" s="24" t="s">
        <v>1025</v>
      </c>
      <c r="C14" s="24" t="s">
        <v>1026</v>
      </c>
      <c r="D14" s="24" t="s">
        <v>73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0</v>
      </c>
      <c r="M14" s="24" t="s">
        <v>168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33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51</v>
      </c>
      <c r="B15" s="24" t="s">
        <v>1027</v>
      </c>
      <c r="C15" s="24" t="s">
        <v>1028</v>
      </c>
      <c r="D15" s="24" t="s">
        <v>73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33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53</v>
      </c>
      <c r="B16" s="24" t="s">
        <v>1029</v>
      </c>
      <c r="C16" s="24" t="s">
        <v>1030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155.44</v>
      </c>
      <c r="M16" s="24" t="s">
        <v>90</v>
      </c>
      <c r="P16" s="27" t="s">
        <v>115</v>
      </c>
      <c r="Q16" s="28">
        <f t="shared" ref="Q16:X16" si="8">SUM(E$4:E$63)</f>
        <v>15</v>
      </c>
      <c r="R16" s="28">
        <f t="shared" si="8"/>
        <v>2</v>
      </c>
      <c r="S16" s="28">
        <f t="shared" si="8"/>
        <v>0</v>
      </c>
      <c r="T16" s="28">
        <f t="shared" si="8"/>
        <v>5</v>
      </c>
      <c r="U16" s="28">
        <f t="shared" si="8"/>
        <v>0</v>
      </c>
      <c r="V16" s="29">
        <f t="shared" si="8"/>
        <v>163</v>
      </c>
      <c r="W16" s="28">
        <f t="shared" si="8"/>
        <v>16</v>
      </c>
      <c r="X16" s="29">
        <f t="shared" si="8"/>
        <v>1175.45</v>
      </c>
    </row>
    <row r="17" spans="1:24" x14ac:dyDescent="0.25">
      <c r="A17" s="24" t="s">
        <v>43</v>
      </c>
      <c r="B17" s="24" t="s">
        <v>1031</v>
      </c>
      <c r="C17" s="24" t="s">
        <v>1032</v>
      </c>
      <c r="D17" s="24" t="s">
        <v>69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5.89</v>
      </c>
      <c r="M17" s="24" t="s">
        <v>90</v>
      </c>
    </row>
    <row r="18" spans="1:24" x14ac:dyDescent="0.25">
      <c r="A18" s="24" t="s">
        <v>43</v>
      </c>
      <c r="B18" s="24" t="s">
        <v>1033</v>
      </c>
      <c r="C18" s="24" t="s">
        <v>1034</v>
      </c>
      <c r="D18" s="24" t="s">
        <v>54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1035</v>
      </c>
      <c r="C19" s="24" t="s">
        <v>1036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18</v>
      </c>
      <c r="K19" s="24">
        <v>1</v>
      </c>
      <c r="L19" s="25">
        <v>0</v>
      </c>
      <c r="M19" s="24" t="s">
        <v>168</v>
      </c>
    </row>
    <row r="20" spans="1:24" x14ac:dyDescent="0.25">
      <c r="A20" s="24" t="s">
        <v>43</v>
      </c>
      <c r="B20" s="24" t="s">
        <v>1037</v>
      </c>
      <c r="C20" s="24" t="s">
        <v>1038</v>
      </c>
      <c r="D20" s="24" t="s">
        <v>70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49</v>
      </c>
      <c r="B21" s="24" t="s">
        <v>1039</v>
      </c>
      <c r="C21" s="24" t="s">
        <v>1040</v>
      </c>
      <c r="D21" s="24" t="s">
        <v>74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13.69</v>
      </c>
      <c r="M21" s="24" t="s">
        <v>90</v>
      </c>
    </row>
    <row r="22" spans="1:24" x14ac:dyDescent="0.25">
      <c r="A22" s="24" t="s">
        <v>65</v>
      </c>
      <c r="B22" s="24" t="s">
        <v>1041</v>
      </c>
      <c r="C22" s="24" t="s">
        <v>1042</v>
      </c>
      <c r="D22" s="24" t="s">
        <v>78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61</v>
      </c>
      <c r="B23" s="24" t="s">
        <v>1043</v>
      </c>
      <c r="C23" s="24" t="s">
        <v>1044</v>
      </c>
      <c r="D23" s="24" t="s">
        <v>52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85.97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65</v>
      </c>
      <c r="B4" s="24" t="s">
        <v>1046</v>
      </c>
      <c r="C4" s="24" t="s">
        <v>1047</v>
      </c>
      <c r="D4" s="24" t="s">
        <v>56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16</v>
      </c>
      <c r="W4" s="21">
        <f t="shared" ref="W4:W15" si="6">SUMIF($A$4:$A$63,$P4,K$4:K$63)</f>
        <v>1</v>
      </c>
      <c r="X4" s="26">
        <f t="shared" ref="X4:X15" si="7">SUMIF($A$4:$A$63,$P4,L$4:L$63)</f>
        <v>217.51</v>
      </c>
    </row>
    <row r="5" spans="1:24" x14ac:dyDescent="0.25">
      <c r="A5" s="24" t="s">
        <v>61</v>
      </c>
      <c r="B5" s="24" t="s">
        <v>1048</v>
      </c>
      <c r="C5" s="24" t="s">
        <v>1049</v>
      </c>
      <c r="D5" s="24" t="s">
        <v>69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18</v>
      </c>
      <c r="K5" s="24">
        <v>1</v>
      </c>
      <c r="L5" s="25">
        <v>44.44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1</v>
      </c>
      <c r="V5" s="26">
        <f t="shared" si="5"/>
        <v>0</v>
      </c>
      <c r="W5" s="21">
        <f t="shared" si="6"/>
        <v>2</v>
      </c>
      <c r="X5" s="26">
        <f t="shared" si="7"/>
        <v>7.57</v>
      </c>
    </row>
    <row r="6" spans="1:24" x14ac:dyDescent="0.25">
      <c r="A6" s="24" t="s">
        <v>47</v>
      </c>
      <c r="B6" s="24" t="s">
        <v>1050</v>
      </c>
      <c r="C6" s="24" t="s">
        <v>1051</v>
      </c>
      <c r="D6" s="24" t="s">
        <v>64</v>
      </c>
      <c r="E6" s="24">
        <v>1</v>
      </c>
      <c r="F6" s="24">
        <v>0</v>
      </c>
      <c r="G6" s="24">
        <v>1</v>
      </c>
      <c r="H6" s="24">
        <v>0</v>
      </c>
      <c r="I6" s="24">
        <v>0</v>
      </c>
      <c r="J6" s="25">
        <v>16</v>
      </c>
      <c r="K6" s="24">
        <v>1</v>
      </c>
      <c r="L6" s="25">
        <v>178.8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1</v>
      </c>
      <c r="T6" s="21">
        <f t="shared" si="3"/>
        <v>1</v>
      </c>
      <c r="U6" s="21">
        <f t="shared" si="4"/>
        <v>0</v>
      </c>
      <c r="V6" s="26">
        <f t="shared" si="5"/>
        <v>32</v>
      </c>
      <c r="W6" s="21">
        <f t="shared" si="6"/>
        <v>3</v>
      </c>
      <c r="X6" s="26">
        <f t="shared" si="7"/>
        <v>221.95000000000002</v>
      </c>
    </row>
    <row r="7" spans="1:24" x14ac:dyDescent="0.25">
      <c r="A7" s="24" t="s">
        <v>55</v>
      </c>
      <c r="B7" s="24" t="s">
        <v>1052</v>
      </c>
      <c r="C7" s="24" t="s">
        <v>1053</v>
      </c>
      <c r="D7" s="24" t="s">
        <v>44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24</v>
      </c>
      <c r="K7" s="24">
        <v>1</v>
      </c>
      <c r="L7" s="25">
        <v>119.43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0</v>
      </c>
    </row>
    <row r="8" spans="1:24" x14ac:dyDescent="0.25">
      <c r="A8" s="24" t="s">
        <v>47</v>
      </c>
      <c r="B8" s="24" t="s">
        <v>1054</v>
      </c>
      <c r="C8" s="24" t="s">
        <v>1055</v>
      </c>
      <c r="D8" s="24" t="s">
        <v>58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22.21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47</v>
      </c>
      <c r="B9" s="24" t="s">
        <v>1056</v>
      </c>
      <c r="C9" s="24" t="s">
        <v>1057</v>
      </c>
      <c r="D9" s="24" t="s">
        <v>75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20.94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1</v>
      </c>
      <c r="S9" s="21">
        <f t="shared" si="2"/>
        <v>1</v>
      </c>
      <c r="T9" s="21">
        <f t="shared" si="3"/>
        <v>0</v>
      </c>
      <c r="U9" s="21">
        <f t="shared" si="4"/>
        <v>0</v>
      </c>
      <c r="V9" s="26">
        <f t="shared" si="5"/>
        <v>33</v>
      </c>
      <c r="W9" s="21">
        <f t="shared" si="6"/>
        <v>2</v>
      </c>
      <c r="X9" s="26">
        <f t="shared" si="7"/>
        <v>305.67</v>
      </c>
    </row>
    <row r="10" spans="1:24" x14ac:dyDescent="0.25">
      <c r="A10" s="24" t="s">
        <v>45</v>
      </c>
      <c r="B10" s="24" t="s">
        <v>1058</v>
      </c>
      <c r="C10" s="24" t="s">
        <v>1059</v>
      </c>
      <c r="D10" s="24" t="s">
        <v>50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7.57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57</v>
      </c>
      <c r="W10" s="21">
        <f t="shared" si="6"/>
        <v>5</v>
      </c>
      <c r="X10" s="26">
        <f t="shared" si="7"/>
        <v>340.45000000000005</v>
      </c>
    </row>
    <row r="11" spans="1:24" x14ac:dyDescent="0.25">
      <c r="A11" s="24" t="s">
        <v>63</v>
      </c>
      <c r="B11" s="24" t="s">
        <v>1060</v>
      </c>
      <c r="C11" s="24" t="s">
        <v>1061</v>
      </c>
      <c r="D11" s="24" t="s">
        <v>79</v>
      </c>
      <c r="E11" s="24">
        <v>1</v>
      </c>
      <c r="F11" s="24">
        <v>0</v>
      </c>
      <c r="G11" s="24">
        <v>1</v>
      </c>
      <c r="H11" s="24">
        <v>0</v>
      </c>
      <c r="I11" s="24">
        <v>0</v>
      </c>
      <c r="J11" s="25">
        <v>33</v>
      </c>
      <c r="K11" s="24">
        <v>0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72.62</v>
      </c>
    </row>
    <row r="12" spans="1:24" x14ac:dyDescent="0.25">
      <c r="A12" s="24" t="s">
        <v>55</v>
      </c>
      <c r="B12" s="24" t="s">
        <v>1062</v>
      </c>
      <c r="C12" s="24" t="s">
        <v>1063</v>
      </c>
      <c r="D12" s="24" t="s">
        <v>46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36.86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15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43</v>
      </c>
      <c r="B13" s="24" t="s">
        <v>1064</v>
      </c>
      <c r="C13" s="24" t="s">
        <v>1065</v>
      </c>
      <c r="D13" s="24" t="s">
        <v>64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217.51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18</v>
      </c>
      <c r="W13" s="21">
        <f t="shared" si="6"/>
        <v>1</v>
      </c>
      <c r="X13" s="26">
        <f t="shared" si="7"/>
        <v>44.44</v>
      </c>
    </row>
    <row r="14" spans="1:24" x14ac:dyDescent="0.25">
      <c r="A14" s="24" t="s">
        <v>59</v>
      </c>
      <c r="B14" s="24" t="s">
        <v>1066</v>
      </c>
      <c r="C14" s="24" t="s">
        <v>1067</v>
      </c>
      <c r="D14" s="24" t="s">
        <v>74</v>
      </c>
      <c r="E14" s="24">
        <v>0</v>
      </c>
      <c r="F14" s="24">
        <v>1</v>
      </c>
      <c r="G14" s="24">
        <v>0</v>
      </c>
      <c r="H14" s="24">
        <v>0</v>
      </c>
      <c r="I14" s="24">
        <v>0</v>
      </c>
      <c r="J14" s="25">
        <v>15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1</v>
      </c>
      <c r="T14" s="21">
        <f t="shared" si="3"/>
        <v>0</v>
      </c>
      <c r="U14" s="21">
        <f t="shared" si="4"/>
        <v>0</v>
      </c>
      <c r="V14" s="26">
        <f t="shared" si="5"/>
        <v>57</v>
      </c>
      <c r="W14" s="21">
        <f t="shared" si="6"/>
        <v>1</v>
      </c>
      <c r="X14" s="26">
        <f t="shared" si="7"/>
        <v>12.68</v>
      </c>
    </row>
    <row r="15" spans="1:24" x14ac:dyDescent="0.25">
      <c r="A15" s="24" t="s">
        <v>63</v>
      </c>
      <c r="B15" s="24" t="s">
        <v>1068</v>
      </c>
      <c r="C15" s="24" t="s">
        <v>1069</v>
      </c>
      <c r="D15" s="24" t="s">
        <v>80</v>
      </c>
      <c r="E15" s="24">
        <v>0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12.68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63</v>
      </c>
      <c r="B16" s="24" t="s">
        <v>1070</v>
      </c>
      <c r="C16" s="24" t="s">
        <v>1071</v>
      </c>
      <c r="D16" s="24" t="s">
        <v>74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13</v>
      </c>
      <c r="R16" s="28">
        <f t="shared" si="8"/>
        <v>3</v>
      </c>
      <c r="S16" s="28">
        <f t="shared" si="8"/>
        <v>3</v>
      </c>
      <c r="T16" s="28">
        <f t="shared" si="8"/>
        <v>4</v>
      </c>
      <c r="U16" s="28">
        <f t="shared" si="8"/>
        <v>1</v>
      </c>
      <c r="V16" s="29">
        <f t="shared" si="8"/>
        <v>228</v>
      </c>
      <c r="W16" s="28">
        <f t="shared" si="8"/>
        <v>19</v>
      </c>
      <c r="X16" s="29">
        <f t="shared" si="8"/>
        <v>1222.8899999999999</v>
      </c>
    </row>
    <row r="17" spans="1:24" x14ac:dyDescent="0.25">
      <c r="A17" s="24" t="s">
        <v>53</v>
      </c>
      <c r="B17" s="24" t="s">
        <v>1072</v>
      </c>
      <c r="C17" s="24" t="s">
        <v>1073</v>
      </c>
      <c r="D17" s="24" t="s">
        <v>74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33</v>
      </c>
      <c r="K17" s="24">
        <v>1</v>
      </c>
      <c r="L17" s="25">
        <v>138.80000000000001</v>
      </c>
      <c r="M17" s="24" t="s">
        <v>90</v>
      </c>
    </row>
    <row r="18" spans="1:24" x14ac:dyDescent="0.25">
      <c r="A18" s="24" t="s">
        <v>45</v>
      </c>
      <c r="B18" s="24" t="s">
        <v>1074</v>
      </c>
      <c r="C18" s="24" t="s">
        <v>1075</v>
      </c>
      <c r="D18" s="24" t="s">
        <v>76</v>
      </c>
      <c r="E18" s="24">
        <v>0</v>
      </c>
      <c r="F18" s="24">
        <v>0</v>
      </c>
      <c r="G18" s="24">
        <v>0</v>
      </c>
      <c r="H18" s="24">
        <v>0</v>
      </c>
      <c r="I18" s="24">
        <v>1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57</v>
      </c>
      <c r="B19" s="24" t="s">
        <v>1076</v>
      </c>
      <c r="C19" s="24" t="s">
        <v>1077</v>
      </c>
      <c r="D19" s="24" t="s">
        <v>73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72.62</v>
      </c>
      <c r="M19" s="24" t="s">
        <v>90</v>
      </c>
    </row>
    <row r="20" spans="1:24" x14ac:dyDescent="0.25">
      <c r="A20" s="24" t="s">
        <v>55</v>
      </c>
      <c r="B20" s="24" t="s">
        <v>1078</v>
      </c>
      <c r="C20" s="24" t="s">
        <v>1079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33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53</v>
      </c>
      <c r="B21" s="24" t="s">
        <v>1080</v>
      </c>
      <c r="C21" s="24" t="s">
        <v>1081</v>
      </c>
      <c r="D21" s="24" t="s">
        <v>74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166.87</v>
      </c>
      <c r="M21" s="24" t="s">
        <v>90</v>
      </c>
    </row>
    <row r="22" spans="1:24" x14ac:dyDescent="0.25">
      <c r="A22" s="24" t="s">
        <v>55</v>
      </c>
      <c r="B22" s="24" t="s">
        <v>1082</v>
      </c>
      <c r="C22" s="24" t="s">
        <v>1083</v>
      </c>
      <c r="D22" s="24" t="s">
        <v>54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61.57</v>
      </c>
      <c r="M22" s="24" t="s">
        <v>90</v>
      </c>
    </row>
    <row r="23" spans="1:24" x14ac:dyDescent="0.25">
      <c r="A23" s="24" t="s">
        <v>51</v>
      </c>
      <c r="B23" s="24" t="s">
        <v>1084</v>
      </c>
      <c r="C23" s="24" t="s">
        <v>1085</v>
      </c>
      <c r="D23" s="24" t="s">
        <v>52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55</v>
      </c>
      <c r="B24" s="24" t="s">
        <v>1086</v>
      </c>
      <c r="C24" s="24" t="s">
        <v>1087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122.59</v>
      </c>
      <c r="M24" s="24" t="s">
        <v>90</v>
      </c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1088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1089</v>
      </c>
      <c r="C4" s="24" t="s">
        <v>1090</v>
      </c>
      <c r="D4" s="24" t="s">
        <v>50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268.65999999999997</v>
      </c>
    </row>
    <row r="5" spans="1:24" x14ac:dyDescent="0.25">
      <c r="A5" s="24" t="s">
        <v>63</v>
      </c>
      <c r="B5" s="24" t="s">
        <v>1091</v>
      </c>
      <c r="C5" s="24" t="s">
        <v>1092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16</v>
      </c>
      <c r="K5" s="24">
        <v>1</v>
      </c>
      <c r="L5" s="25">
        <v>209.69</v>
      </c>
      <c r="M5" s="24" t="s">
        <v>168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0</v>
      </c>
      <c r="X5" s="26">
        <f t="shared" si="7"/>
        <v>0</v>
      </c>
    </row>
    <row r="6" spans="1:24" x14ac:dyDescent="0.25">
      <c r="A6" s="24" t="s">
        <v>65</v>
      </c>
      <c r="B6" s="24" t="s">
        <v>1093</v>
      </c>
      <c r="C6" s="24" t="s">
        <v>1094</v>
      </c>
      <c r="D6" s="24" t="s">
        <v>75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178.16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66</v>
      </c>
      <c r="W6" s="21">
        <f t="shared" si="6"/>
        <v>3</v>
      </c>
      <c r="X6" s="26">
        <f t="shared" si="7"/>
        <v>15.77</v>
      </c>
    </row>
    <row r="7" spans="1:24" x14ac:dyDescent="0.25">
      <c r="A7" s="24" t="s">
        <v>61</v>
      </c>
      <c r="B7" s="24" t="s">
        <v>1095</v>
      </c>
      <c r="C7" s="24" t="s">
        <v>1096</v>
      </c>
      <c r="D7" s="24" t="s">
        <v>64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92.39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3</v>
      </c>
      <c r="X7" s="26">
        <f t="shared" si="7"/>
        <v>15.78</v>
      </c>
    </row>
    <row r="8" spans="1:24" x14ac:dyDescent="0.25">
      <c r="A8" s="24" t="s">
        <v>51</v>
      </c>
      <c r="B8" s="24" t="s">
        <v>1097</v>
      </c>
      <c r="C8" s="24" t="s">
        <v>1098</v>
      </c>
      <c r="D8" s="24" t="s">
        <v>79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0</v>
      </c>
      <c r="M8" s="24" t="s">
        <v>168</v>
      </c>
      <c r="P8" s="21" t="str">
        <f>Setup!$A$9</f>
        <v>Expert 05</v>
      </c>
      <c r="Q8" s="21">
        <f t="shared" si="0"/>
        <v>1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130.6</v>
      </c>
    </row>
    <row r="9" spans="1:24" x14ac:dyDescent="0.25">
      <c r="A9" s="24" t="s">
        <v>59</v>
      </c>
      <c r="B9" s="24" t="s">
        <v>1099</v>
      </c>
      <c r="C9" s="24" t="s">
        <v>1100</v>
      </c>
      <c r="D9" s="24" t="s">
        <v>71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33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32</v>
      </c>
      <c r="W9" s="21">
        <f t="shared" si="6"/>
        <v>2</v>
      </c>
      <c r="X9" s="26">
        <f t="shared" si="7"/>
        <v>0</v>
      </c>
    </row>
    <row r="10" spans="1:24" x14ac:dyDescent="0.25">
      <c r="A10" s="24" t="s">
        <v>65</v>
      </c>
      <c r="B10" s="24" t="s">
        <v>1101</v>
      </c>
      <c r="C10" s="24" t="s">
        <v>1102</v>
      </c>
      <c r="D10" s="24" t="s">
        <v>69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182.91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43</v>
      </c>
      <c r="B11" s="24" t="s">
        <v>1103</v>
      </c>
      <c r="C11" s="24" t="s">
        <v>1104</v>
      </c>
      <c r="D11" s="24" t="s">
        <v>68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141.22999999999999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285.84999999999997</v>
      </c>
    </row>
    <row r="12" spans="1:24" x14ac:dyDescent="0.25">
      <c r="A12" s="24" t="s">
        <v>49</v>
      </c>
      <c r="B12" s="24" t="s">
        <v>1105</v>
      </c>
      <c r="C12" s="24" t="s">
        <v>1106</v>
      </c>
      <c r="D12" s="24" t="s">
        <v>44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33</v>
      </c>
      <c r="W12" s="21">
        <f t="shared" si="6"/>
        <v>2</v>
      </c>
      <c r="X12" s="26">
        <f t="shared" si="7"/>
        <v>0</v>
      </c>
    </row>
    <row r="13" spans="1:24" x14ac:dyDescent="0.25">
      <c r="A13" s="24" t="s">
        <v>49</v>
      </c>
      <c r="B13" s="24" t="s">
        <v>1107</v>
      </c>
      <c r="C13" s="24" t="s">
        <v>1108</v>
      </c>
      <c r="D13" s="24" t="s">
        <v>54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15.78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92.39</v>
      </c>
    </row>
    <row r="14" spans="1:24" x14ac:dyDescent="0.25">
      <c r="A14" s="24" t="s">
        <v>43</v>
      </c>
      <c r="B14" s="24" t="s">
        <v>1109</v>
      </c>
      <c r="C14" s="24" t="s">
        <v>1110</v>
      </c>
      <c r="D14" s="24" t="s">
        <v>80</v>
      </c>
      <c r="E14" s="24">
        <v>0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0</v>
      </c>
      <c r="L14" s="25">
        <v>127.43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34</v>
      </c>
      <c r="W14" s="21">
        <f t="shared" si="6"/>
        <v>2</v>
      </c>
      <c r="X14" s="26">
        <f t="shared" si="7"/>
        <v>293.12</v>
      </c>
    </row>
    <row r="15" spans="1:24" x14ac:dyDescent="0.25">
      <c r="A15" s="24" t="s">
        <v>53</v>
      </c>
      <c r="B15" s="24" t="s">
        <v>1111</v>
      </c>
      <c r="C15" s="24" t="s">
        <v>1112</v>
      </c>
      <c r="D15" s="24" t="s">
        <v>58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16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4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476.36</v>
      </c>
    </row>
    <row r="16" spans="1:24" x14ac:dyDescent="0.25">
      <c r="A16" s="24" t="s">
        <v>47</v>
      </c>
      <c r="B16" s="24" t="s">
        <v>1113</v>
      </c>
      <c r="C16" s="24" t="s">
        <v>1114</v>
      </c>
      <c r="D16" s="24" t="s">
        <v>62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1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222</v>
      </c>
      <c r="W16" s="28">
        <f t="shared" si="8"/>
        <v>20</v>
      </c>
      <c r="X16" s="29">
        <f t="shared" si="8"/>
        <v>1578.53</v>
      </c>
    </row>
    <row r="17" spans="1:24" x14ac:dyDescent="0.25">
      <c r="A17" s="24" t="s">
        <v>49</v>
      </c>
      <c r="B17" s="24" t="s">
        <v>1115</v>
      </c>
      <c r="C17" s="24" t="s">
        <v>1116</v>
      </c>
      <c r="D17" s="24" t="s">
        <v>75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57</v>
      </c>
      <c r="B18" s="24" t="s">
        <v>1117</v>
      </c>
      <c r="C18" s="24" t="s">
        <v>1118</v>
      </c>
      <c r="D18" s="24" t="s">
        <v>70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111.46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59</v>
      </c>
      <c r="B19" s="24" t="s">
        <v>1119</v>
      </c>
      <c r="C19" s="24" t="s">
        <v>1120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51</v>
      </c>
      <c r="B20" s="24" t="s">
        <v>1121</v>
      </c>
      <c r="C20" s="24" t="s">
        <v>1122</v>
      </c>
      <c r="D20" s="24" t="s">
        <v>46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33</v>
      </c>
      <c r="K20" s="24">
        <v>1</v>
      </c>
      <c r="L20" s="25">
        <v>130.6</v>
      </c>
      <c r="M20" s="24" t="s">
        <v>90</v>
      </c>
    </row>
    <row r="21" spans="1:24" x14ac:dyDescent="0.25">
      <c r="A21" s="24" t="s">
        <v>47</v>
      </c>
      <c r="B21" s="24" t="s">
        <v>1123</v>
      </c>
      <c r="C21" s="24" t="s">
        <v>1124</v>
      </c>
      <c r="D21" s="24" t="s">
        <v>66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33</v>
      </c>
      <c r="K21" s="24">
        <v>1</v>
      </c>
      <c r="L21" s="25">
        <v>15.77</v>
      </c>
      <c r="M21" s="24" t="s">
        <v>90</v>
      </c>
    </row>
    <row r="22" spans="1:24" x14ac:dyDescent="0.25">
      <c r="A22" s="24" t="s">
        <v>57</v>
      </c>
      <c r="B22" s="24" t="s">
        <v>1125</v>
      </c>
      <c r="C22" s="24" t="s">
        <v>1126</v>
      </c>
      <c r="D22" s="24" t="s">
        <v>80</v>
      </c>
      <c r="E22" s="24">
        <v>0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174.39</v>
      </c>
      <c r="M22" s="24" t="s">
        <v>90</v>
      </c>
    </row>
    <row r="23" spans="1:24" x14ac:dyDescent="0.25">
      <c r="A23" s="24" t="s">
        <v>53</v>
      </c>
      <c r="B23" s="24" t="s">
        <v>1127</v>
      </c>
      <c r="C23" s="24" t="s">
        <v>1128</v>
      </c>
      <c r="D23" s="24" t="s">
        <v>72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16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65</v>
      </c>
      <c r="B24" s="24" t="s">
        <v>1129</v>
      </c>
      <c r="C24" s="24" t="s">
        <v>1130</v>
      </c>
      <c r="D24" s="24" t="s">
        <v>75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115.29</v>
      </c>
      <c r="M24" s="24" t="s">
        <v>90</v>
      </c>
    </row>
    <row r="25" spans="1:24" x14ac:dyDescent="0.25">
      <c r="A25" s="24" t="s">
        <v>65</v>
      </c>
      <c r="B25" s="24" t="s">
        <v>1131</v>
      </c>
      <c r="C25" s="24" t="s">
        <v>1132</v>
      </c>
      <c r="D25" s="24" t="s">
        <v>78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0</v>
      </c>
      <c r="L25" s="25">
        <v>0</v>
      </c>
      <c r="M25" s="24" t="s">
        <v>90</v>
      </c>
    </row>
    <row r="26" spans="1:24" x14ac:dyDescent="0.25">
      <c r="A26" s="24" t="s">
        <v>55</v>
      </c>
      <c r="B26" s="24" t="s">
        <v>1133</v>
      </c>
      <c r="C26" s="24" t="s">
        <v>1134</v>
      </c>
      <c r="D26" s="24" t="s">
        <v>52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63</v>
      </c>
      <c r="B27" s="24" t="s">
        <v>1135</v>
      </c>
      <c r="C27" s="24" t="s">
        <v>1136</v>
      </c>
      <c r="D27" s="24" t="s">
        <v>71</v>
      </c>
      <c r="E27" s="24">
        <v>1</v>
      </c>
      <c r="F27" s="24">
        <v>0</v>
      </c>
      <c r="G27" s="24">
        <v>0</v>
      </c>
      <c r="H27" s="24">
        <v>1</v>
      </c>
      <c r="I27" s="24">
        <v>0</v>
      </c>
      <c r="J27" s="25">
        <v>18</v>
      </c>
      <c r="K27" s="24">
        <v>1</v>
      </c>
      <c r="L27" s="25">
        <v>83.43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1137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1138</v>
      </c>
      <c r="C4" s="24" t="s">
        <v>1139</v>
      </c>
      <c r="D4" s="24" t="s">
        <v>58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95.87</v>
      </c>
      <c r="M4" s="24" t="s">
        <v>168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53.61</v>
      </c>
    </row>
    <row r="5" spans="1:24" x14ac:dyDescent="0.25">
      <c r="A5" s="24" t="s">
        <v>57</v>
      </c>
      <c r="B5" s="24" t="s">
        <v>1140</v>
      </c>
      <c r="C5" s="24" t="s">
        <v>1141</v>
      </c>
      <c r="D5" s="24" t="s">
        <v>64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205.9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35.65</v>
      </c>
    </row>
    <row r="6" spans="1:24" x14ac:dyDescent="0.25">
      <c r="A6" s="24" t="s">
        <v>51</v>
      </c>
      <c r="B6" s="24" t="s">
        <v>1142</v>
      </c>
      <c r="C6" s="24" t="s">
        <v>1143</v>
      </c>
      <c r="D6" s="24" t="s">
        <v>60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189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217.27</v>
      </c>
    </row>
    <row r="7" spans="1:24" x14ac:dyDescent="0.25">
      <c r="A7" s="24" t="s">
        <v>51</v>
      </c>
      <c r="B7" s="24" t="s">
        <v>1144</v>
      </c>
      <c r="C7" s="24" t="s">
        <v>1145</v>
      </c>
      <c r="D7" s="24" t="s">
        <v>77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1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15</v>
      </c>
      <c r="W7" s="21">
        <f t="shared" si="6"/>
        <v>2</v>
      </c>
      <c r="X7" s="26">
        <f t="shared" si="7"/>
        <v>0</v>
      </c>
    </row>
    <row r="8" spans="1:24" x14ac:dyDescent="0.25">
      <c r="A8" s="24" t="s">
        <v>55</v>
      </c>
      <c r="B8" s="24" t="s">
        <v>1146</v>
      </c>
      <c r="C8" s="24" t="s">
        <v>1147</v>
      </c>
      <c r="D8" s="24" t="s">
        <v>50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152.36000000000001</v>
      </c>
      <c r="M8" s="24" t="s">
        <v>90</v>
      </c>
      <c r="P8" s="21" t="str">
        <f>Setup!$A$9</f>
        <v>Expert 05</v>
      </c>
      <c r="Q8" s="21">
        <f t="shared" si="0"/>
        <v>5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32</v>
      </c>
      <c r="W8" s="21">
        <f t="shared" si="6"/>
        <v>5</v>
      </c>
      <c r="X8" s="26">
        <f t="shared" si="7"/>
        <v>414.74</v>
      </c>
    </row>
    <row r="9" spans="1:24" x14ac:dyDescent="0.25">
      <c r="A9" s="24" t="s">
        <v>47</v>
      </c>
      <c r="B9" s="24" t="s">
        <v>1148</v>
      </c>
      <c r="C9" s="24" t="s">
        <v>1149</v>
      </c>
      <c r="D9" s="24" t="s">
        <v>66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217.27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1</v>
      </c>
      <c r="S9" s="21">
        <f t="shared" si="2"/>
        <v>0</v>
      </c>
      <c r="T9" s="21">
        <f t="shared" si="3"/>
        <v>2</v>
      </c>
      <c r="U9" s="21">
        <f t="shared" si="4"/>
        <v>0</v>
      </c>
      <c r="V9" s="26">
        <f t="shared" si="5"/>
        <v>33</v>
      </c>
      <c r="W9" s="21">
        <f t="shared" si="6"/>
        <v>3</v>
      </c>
      <c r="X9" s="26">
        <f t="shared" si="7"/>
        <v>6.04</v>
      </c>
    </row>
    <row r="10" spans="1:24" x14ac:dyDescent="0.25">
      <c r="A10" s="24" t="s">
        <v>63</v>
      </c>
      <c r="B10" s="24" t="s">
        <v>1150</v>
      </c>
      <c r="C10" s="24" t="s">
        <v>1151</v>
      </c>
      <c r="D10" s="24" t="s">
        <v>70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91.64</v>
      </c>
      <c r="M10" s="24" t="s">
        <v>168</v>
      </c>
      <c r="P10" s="21" t="str">
        <f>Setup!$A$11</f>
        <v>Expert 07</v>
      </c>
      <c r="Q10" s="21">
        <f t="shared" si="0"/>
        <v>1</v>
      </c>
      <c r="R10" s="21">
        <f t="shared" si="1"/>
        <v>2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30</v>
      </c>
      <c r="W10" s="21">
        <f t="shared" si="6"/>
        <v>3</v>
      </c>
      <c r="X10" s="26">
        <f t="shared" si="7"/>
        <v>415.27</v>
      </c>
    </row>
    <row r="11" spans="1:24" x14ac:dyDescent="0.25">
      <c r="A11" s="24" t="s">
        <v>55</v>
      </c>
      <c r="B11" s="24" t="s">
        <v>1152</v>
      </c>
      <c r="C11" s="24" t="s">
        <v>1153</v>
      </c>
      <c r="D11" s="24" t="s">
        <v>50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54.9</v>
      </c>
      <c r="M11" s="24" t="s">
        <v>168</v>
      </c>
      <c r="P11" s="21" t="str">
        <f>Setup!$A$12</f>
        <v>Expert 08</v>
      </c>
      <c r="Q11" s="21">
        <f t="shared" si="0"/>
        <v>0</v>
      </c>
      <c r="R11" s="21">
        <f t="shared" si="1"/>
        <v>1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205.9</v>
      </c>
    </row>
    <row r="12" spans="1:24" x14ac:dyDescent="0.25">
      <c r="A12" s="24" t="s">
        <v>51</v>
      </c>
      <c r="B12" s="24" t="s">
        <v>1154</v>
      </c>
      <c r="C12" s="24" t="s">
        <v>1155</v>
      </c>
      <c r="D12" s="24" t="s">
        <v>74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56.49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30</v>
      </c>
      <c r="W12" s="21">
        <f t="shared" si="6"/>
        <v>2</v>
      </c>
      <c r="X12" s="26">
        <f t="shared" si="7"/>
        <v>81.95</v>
      </c>
    </row>
    <row r="13" spans="1:24" x14ac:dyDescent="0.25">
      <c r="A13" s="24" t="s">
        <v>61</v>
      </c>
      <c r="B13" s="24" t="s">
        <v>1156</v>
      </c>
      <c r="C13" s="24" t="s">
        <v>1157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24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24</v>
      </c>
      <c r="W13" s="21">
        <f t="shared" si="6"/>
        <v>1</v>
      </c>
      <c r="X13" s="26">
        <f t="shared" si="7"/>
        <v>203.9</v>
      </c>
    </row>
    <row r="14" spans="1:24" x14ac:dyDescent="0.25">
      <c r="A14" s="24" t="s">
        <v>65</v>
      </c>
      <c r="B14" s="24" t="s">
        <v>1158</v>
      </c>
      <c r="C14" s="24" t="s">
        <v>1159</v>
      </c>
      <c r="D14" s="24" t="s">
        <v>78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0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4</v>
      </c>
      <c r="U14" s="21">
        <f t="shared" si="4"/>
        <v>1</v>
      </c>
      <c r="V14" s="26">
        <f t="shared" si="5"/>
        <v>0</v>
      </c>
      <c r="W14" s="21">
        <f t="shared" si="6"/>
        <v>5</v>
      </c>
      <c r="X14" s="26">
        <f t="shared" si="7"/>
        <v>402.94</v>
      </c>
    </row>
    <row r="15" spans="1:24" x14ac:dyDescent="0.25">
      <c r="A15" s="24" t="s">
        <v>51</v>
      </c>
      <c r="B15" s="24" t="s">
        <v>1160</v>
      </c>
      <c r="C15" s="24" t="s">
        <v>1161</v>
      </c>
      <c r="D15" s="24" t="s">
        <v>75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169.25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0</v>
      </c>
      <c r="V15" s="26">
        <f t="shared" si="5"/>
        <v>42</v>
      </c>
      <c r="W15" s="21">
        <f t="shared" si="6"/>
        <v>2</v>
      </c>
      <c r="X15" s="26">
        <f t="shared" si="7"/>
        <v>152.61000000000001</v>
      </c>
    </row>
    <row r="16" spans="1:24" x14ac:dyDescent="0.25">
      <c r="A16" s="24" t="s">
        <v>59</v>
      </c>
      <c r="B16" s="24" t="s">
        <v>1162</v>
      </c>
      <c r="C16" s="24" t="s">
        <v>1163</v>
      </c>
      <c r="D16" s="24" t="s">
        <v>74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5</v>
      </c>
      <c r="S16" s="28">
        <f t="shared" si="8"/>
        <v>1</v>
      </c>
      <c r="T16" s="28">
        <f t="shared" si="8"/>
        <v>10</v>
      </c>
      <c r="U16" s="28">
        <f t="shared" si="8"/>
        <v>2</v>
      </c>
      <c r="V16" s="29">
        <f t="shared" si="8"/>
        <v>263</v>
      </c>
      <c r="W16" s="28">
        <f t="shared" si="8"/>
        <v>28</v>
      </c>
      <c r="X16" s="29">
        <f t="shared" si="8"/>
        <v>2189.88</v>
      </c>
    </row>
    <row r="17" spans="1:24" x14ac:dyDescent="0.25">
      <c r="A17" s="24" t="s">
        <v>51</v>
      </c>
      <c r="B17" s="24" t="s">
        <v>1164</v>
      </c>
      <c r="C17" s="24" t="s">
        <v>1165</v>
      </c>
      <c r="D17" s="24" t="s">
        <v>46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168</v>
      </c>
    </row>
    <row r="18" spans="1:24" x14ac:dyDescent="0.25">
      <c r="A18" s="24" t="s">
        <v>55</v>
      </c>
      <c r="B18" s="24" t="s">
        <v>1166</v>
      </c>
      <c r="C18" s="24" t="s">
        <v>1167</v>
      </c>
      <c r="D18" s="24" t="s">
        <v>60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208.01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51</v>
      </c>
      <c r="B19" s="24" t="s">
        <v>1168</v>
      </c>
      <c r="C19" s="24" t="s">
        <v>1169</v>
      </c>
      <c r="D19" s="24" t="s">
        <v>78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43</v>
      </c>
      <c r="B20" s="24" t="s">
        <v>1170</v>
      </c>
      <c r="C20" s="24" t="s">
        <v>1171</v>
      </c>
      <c r="D20" s="24" t="s">
        <v>76</v>
      </c>
      <c r="E20" s="24">
        <v>0</v>
      </c>
      <c r="F20" s="24">
        <v>0</v>
      </c>
      <c r="G20" s="24">
        <v>0</v>
      </c>
      <c r="H20" s="24">
        <v>0</v>
      </c>
      <c r="I20" s="24">
        <v>1</v>
      </c>
      <c r="J20" s="25">
        <v>0</v>
      </c>
      <c r="K20" s="24">
        <v>1</v>
      </c>
      <c r="L20" s="25">
        <v>53.61</v>
      </c>
      <c r="M20" s="24" t="s">
        <v>90</v>
      </c>
    </row>
    <row r="21" spans="1:24" x14ac:dyDescent="0.25">
      <c r="A21" s="24" t="s">
        <v>49</v>
      </c>
      <c r="B21" s="24" t="s">
        <v>1172</v>
      </c>
      <c r="C21" s="24" t="s">
        <v>1173</v>
      </c>
      <c r="D21" s="24" t="s">
        <v>64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0</v>
      </c>
      <c r="M21" s="24" t="s">
        <v>168</v>
      </c>
    </row>
    <row r="22" spans="1:24" x14ac:dyDescent="0.25">
      <c r="A22" s="24" t="s">
        <v>63</v>
      </c>
      <c r="B22" s="24" t="s">
        <v>1174</v>
      </c>
      <c r="C22" s="24" t="s">
        <v>1175</v>
      </c>
      <c r="D22" s="24" t="s">
        <v>76</v>
      </c>
      <c r="E22" s="24">
        <v>0</v>
      </c>
      <c r="F22" s="24">
        <v>0</v>
      </c>
      <c r="G22" s="24">
        <v>0</v>
      </c>
      <c r="H22" s="24">
        <v>0</v>
      </c>
      <c r="I22" s="24">
        <v>1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49</v>
      </c>
      <c r="B23" s="24" t="s">
        <v>1176</v>
      </c>
      <c r="C23" s="24" t="s">
        <v>1177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53</v>
      </c>
      <c r="B24" s="24" t="s">
        <v>1178</v>
      </c>
      <c r="C24" s="24" t="s">
        <v>1179</v>
      </c>
      <c r="D24" s="24" t="s">
        <v>78</v>
      </c>
      <c r="E24" s="24">
        <v>0</v>
      </c>
      <c r="F24" s="24">
        <v>1</v>
      </c>
      <c r="G24" s="24">
        <v>0</v>
      </c>
      <c r="H24" s="24">
        <v>0</v>
      </c>
      <c r="I24" s="24">
        <v>0</v>
      </c>
      <c r="J24" s="25">
        <v>18</v>
      </c>
      <c r="K24" s="24">
        <v>0</v>
      </c>
      <c r="L24" s="25">
        <v>0</v>
      </c>
      <c r="M24" s="24" t="s">
        <v>90</v>
      </c>
    </row>
    <row r="25" spans="1:24" x14ac:dyDescent="0.25">
      <c r="A25" s="24" t="s">
        <v>65</v>
      </c>
      <c r="B25" s="24" t="s">
        <v>1180</v>
      </c>
      <c r="C25" s="24" t="s">
        <v>1181</v>
      </c>
      <c r="D25" s="24" t="s">
        <v>48</v>
      </c>
      <c r="E25" s="24">
        <v>1</v>
      </c>
      <c r="F25" s="24">
        <v>0</v>
      </c>
      <c r="G25" s="24">
        <v>1</v>
      </c>
      <c r="H25" s="24">
        <v>0</v>
      </c>
      <c r="I25" s="24">
        <v>0</v>
      </c>
      <c r="J25" s="25">
        <v>0</v>
      </c>
      <c r="K25" s="24">
        <v>1</v>
      </c>
      <c r="L25" s="25">
        <v>152.61000000000001</v>
      </c>
      <c r="M25" s="24" t="s">
        <v>90</v>
      </c>
    </row>
    <row r="26" spans="1:24" x14ac:dyDescent="0.25">
      <c r="A26" s="24" t="s">
        <v>63</v>
      </c>
      <c r="B26" s="24" t="s">
        <v>1182</v>
      </c>
      <c r="C26" s="24" t="s">
        <v>1183</v>
      </c>
      <c r="D26" s="24" t="s">
        <v>80</v>
      </c>
      <c r="E26" s="24">
        <v>0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0</v>
      </c>
      <c r="L26" s="25">
        <v>165.68</v>
      </c>
      <c r="M26" s="24" t="s">
        <v>90</v>
      </c>
    </row>
    <row r="27" spans="1:24" x14ac:dyDescent="0.25">
      <c r="A27" s="24" t="s">
        <v>53</v>
      </c>
      <c r="B27" s="24" t="s">
        <v>1184</v>
      </c>
      <c r="C27" s="24" t="s">
        <v>1185</v>
      </c>
      <c r="D27" s="24" t="s">
        <v>56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53</v>
      </c>
      <c r="B28" s="24" t="s">
        <v>1186</v>
      </c>
      <c r="C28" s="24" t="s">
        <v>1187</v>
      </c>
      <c r="D28" s="24" t="s">
        <v>66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65</v>
      </c>
      <c r="B29" s="24" t="s">
        <v>1188</v>
      </c>
      <c r="C29" s="24" t="s">
        <v>1189</v>
      </c>
      <c r="D29" s="24" t="s">
        <v>73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18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63</v>
      </c>
      <c r="B30" s="24" t="s">
        <v>1190</v>
      </c>
      <c r="C30" s="24" t="s">
        <v>1191</v>
      </c>
      <c r="D30" s="24" t="s">
        <v>56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45</v>
      </c>
      <c r="B31" s="24" t="s">
        <v>1192</v>
      </c>
      <c r="C31" s="24" t="s">
        <v>1193</v>
      </c>
      <c r="D31" s="24" t="s">
        <v>77</v>
      </c>
      <c r="E31" s="24">
        <v>1</v>
      </c>
      <c r="F31" s="24">
        <v>0</v>
      </c>
      <c r="G31" s="24">
        <v>0</v>
      </c>
      <c r="H31" s="24">
        <v>1</v>
      </c>
      <c r="I31" s="24">
        <v>0</v>
      </c>
      <c r="J31" s="25">
        <v>33</v>
      </c>
      <c r="K31" s="24">
        <v>1</v>
      </c>
      <c r="L31" s="25">
        <v>35.65</v>
      </c>
      <c r="M31" s="24" t="s">
        <v>90</v>
      </c>
    </row>
    <row r="32" spans="1:24" x14ac:dyDescent="0.25">
      <c r="A32" s="24" t="s">
        <v>63</v>
      </c>
      <c r="B32" s="24" t="s">
        <v>1194</v>
      </c>
      <c r="C32" s="24" t="s">
        <v>1195</v>
      </c>
      <c r="D32" s="24" t="s">
        <v>77</v>
      </c>
      <c r="E32" s="24">
        <v>1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49.75</v>
      </c>
      <c r="M32" s="24" t="s">
        <v>90</v>
      </c>
    </row>
    <row r="33" spans="1:13" x14ac:dyDescent="0.25">
      <c r="A33" s="24" t="s">
        <v>59</v>
      </c>
      <c r="B33" s="24" t="s">
        <v>1196</v>
      </c>
      <c r="C33" s="24" t="s">
        <v>1197</v>
      </c>
      <c r="D33" s="24" t="s">
        <v>66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15</v>
      </c>
      <c r="K33" s="24">
        <v>1</v>
      </c>
      <c r="L33" s="25">
        <v>81.95</v>
      </c>
      <c r="M33" s="24" t="s">
        <v>90</v>
      </c>
    </row>
    <row r="34" spans="1:13" x14ac:dyDescent="0.25">
      <c r="A34" s="24" t="s">
        <v>61</v>
      </c>
      <c r="B34" s="24" t="s">
        <v>1198</v>
      </c>
      <c r="C34" s="24" t="s">
        <v>1199</v>
      </c>
      <c r="D34" s="24" t="s">
        <v>78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0</v>
      </c>
      <c r="L34" s="25">
        <v>0</v>
      </c>
      <c r="M34" s="24" t="s">
        <v>168</v>
      </c>
    </row>
    <row r="35" spans="1:13" x14ac:dyDescent="0.25">
      <c r="A35" s="24" t="s">
        <v>45</v>
      </c>
      <c r="B35" s="24" t="s">
        <v>1200</v>
      </c>
      <c r="C35" s="24" t="s">
        <v>1201</v>
      </c>
      <c r="D35" s="24" t="s">
        <v>48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0</v>
      </c>
      <c r="M35" s="24" t="s">
        <v>90</v>
      </c>
    </row>
    <row r="36" spans="1:13" x14ac:dyDescent="0.25">
      <c r="A36" s="24" t="s">
        <v>53</v>
      </c>
      <c r="B36" s="24" t="s">
        <v>1202</v>
      </c>
      <c r="C36" s="24" t="s">
        <v>1203</v>
      </c>
      <c r="D36" s="24" t="s">
        <v>77</v>
      </c>
      <c r="E36" s="24">
        <v>1</v>
      </c>
      <c r="F36" s="24">
        <v>0</v>
      </c>
      <c r="G36" s="24">
        <v>0</v>
      </c>
      <c r="H36" s="24">
        <v>1</v>
      </c>
      <c r="I36" s="24">
        <v>0</v>
      </c>
      <c r="J36" s="25">
        <v>0</v>
      </c>
      <c r="K36" s="24">
        <v>1</v>
      </c>
      <c r="L36" s="25">
        <v>6.04</v>
      </c>
      <c r="M36" s="24" t="s">
        <v>90</v>
      </c>
    </row>
    <row r="37" spans="1:13" x14ac:dyDescent="0.25">
      <c r="A37" s="24" t="s">
        <v>61</v>
      </c>
      <c r="B37" s="24" t="s">
        <v>1204</v>
      </c>
      <c r="C37" s="24" t="s">
        <v>1205</v>
      </c>
      <c r="D37" s="24" t="s">
        <v>80</v>
      </c>
      <c r="E37" s="24">
        <v>0</v>
      </c>
      <c r="F37" s="24">
        <v>0</v>
      </c>
      <c r="G37" s="24">
        <v>0</v>
      </c>
      <c r="H37" s="24">
        <v>0</v>
      </c>
      <c r="I37" s="24">
        <v>0</v>
      </c>
      <c r="J37" s="25">
        <v>0</v>
      </c>
      <c r="K37" s="24">
        <v>0</v>
      </c>
      <c r="L37" s="25">
        <v>203.9</v>
      </c>
      <c r="M37" s="24" t="s">
        <v>168</v>
      </c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1207</v>
      </c>
      <c r="C4" s="24" t="s">
        <v>1208</v>
      </c>
      <c r="D4" s="24" t="s">
        <v>70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4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69</v>
      </c>
      <c r="W4" s="21">
        <f t="shared" ref="W4:W15" si="6">SUMIF($A$4:$A$63,$P4,K$4:K$63)</f>
        <v>5</v>
      </c>
      <c r="X4" s="26">
        <f t="shared" ref="X4:X15" si="7">SUMIF($A$4:$A$63,$P4,L$4:L$63)</f>
        <v>235.34</v>
      </c>
    </row>
    <row r="5" spans="1:24" x14ac:dyDescent="0.25">
      <c r="A5" s="24" t="s">
        <v>59</v>
      </c>
      <c r="B5" s="24" t="s">
        <v>1209</v>
      </c>
      <c r="C5" s="24" t="s">
        <v>1210</v>
      </c>
      <c r="D5" s="24" t="s">
        <v>73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210.25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157.74</v>
      </c>
    </row>
    <row r="6" spans="1:24" x14ac:dyDescent="0.25">
      <c r="A6" s="24" t="s">
        <v>63</v>
      </c>
      <c r="B6" s="24" t="s">
        <v>1211</v>
      </c>
      <c r="C6" s="24" t="s">
        <v>1212</v>
      </c>
      <c r="D6" s="24" t="s">
        <v>73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200.12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31.19</v>
      </c>
    </row>
    <row r="7" spans="1:24" x14ac:dyDescent="0.25">
      <c r="A7" s="24" t="s">
        <v>55</v>
      </c>
      <c r="B7" s="24" t="s">
        <v>1213</v>
      </c>
      <c r="C7" s="24" t="s">
        <v>1214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15</v>
      </c>
      <c r="K7" s="24">
        <v>1</v>
      </c>
      <c r="L7" s="25">
        <v>194.35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65</v>
      </c>
      <c r="B8" s="24" t="s">
        <v>1215</v>
      </c>
      <c r="C8" s="24" t="s">
        <v>1216</v>
      </c>
      <c r="D8" s="24" t="s">
        <v>79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1</v>
      </c>
      <c r="S8" s="21">
        <f t="shared" si="2"/>
        <v>0</v>
      </c>
      <c r="T8" s="21">
        <f t="shared" si="3"/>
        <v>1</v>
      </c>
      <c r="U8" s="21">
        <f t="shared" si="4"/>
        <v>1</v>
      </c>
      <c r="V8" s="26">
        <f t="shared" si="5"/>
        <v>24</v>
      </c>
      <c r="W8" s="21">
        <f t="shared" si="6"/>
        <v>3</v>
      </c>
      <c r="X8" s="26">
        <f t="shared" si="7"/>
        <v>157.02000000000001</v>
      </c>
    </row>
    <row r="9" spans="1:24" x14ac:dyDescent="0.25">
      <c r="A9" s="24" t="s">
        <v>57</v>
      </c>
      <c r="B9" s="24" t="s">
        <v>1217</v>
      </c>
      <c r="C9" s="24" t="s">
        <v>1218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1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24</v>
      </c>
      <c r="W9" s="21">
        <f t="shared" si="6"/>
        <v>3</v>
      </c>
      <c r="X9" s="26">
        <f t="shared" si="7"/>
        <v>164.34</v>
      </c>
    </row>
    <row r="10" spans="1:24" x14ac:dyDescent="0.25">
      <c r="A10" s="24" t="s">
        <v>61</v>
      </c>
      <c r="B10" s="24" t="s">
        <v>1219</v>
      </c>
      <c r="C10" s="24" t="s">
        <v>1220</v>
      </c>
      <c r="D10" s="24" t="s">
        <v>77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15</v>
      </c>
      <c r="K10" s="24">
        <v>1</v>
      </c>
      <c r="L10" s="25">
        <v>137.82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15</v>
      </c>
      <c r="W10" s="21">
        <f t="shared" si="6"/>
        <v>1</v>
      </c>
      <c r="X10" s="26">
        <f t="shared" si="7"/>
        <v>194.35</v>
      </c>
    </row>
    <row r="11" spans="1:24" x14ac:dyDescent="0.25">
      <c r="A11" s="24" t="s">
        <v>59</v>
      </c>
      <c r="B11" s="24" t="s">
        <v>1221</v>
      </c>
      <c r="C11" s="24" t="s">
        <v>1222</v>
      </c>
      <c r="D11" s="24" t="s">
        <v>48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98.61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1</v>
      </c>
      <c r="T11" s="21">
        <f t="shared" si="3"/>
        <v>2</v>
      </c>
      <c r="U11" s="21">
        <f t="shared" si="4"/>
        <v>0</v>
      </c>
      <c r="V11" s="26">
        <f t="shared" si="5"/>
        <v>24</v>
      </c>
      <c r="W11" s="21">
        <f t="shared" si="6"/>
        <v>4</v>
      </c>
      <c r="X11" s="26">
        <f t="shared" si="7"/>
        <v>333.56</v>
      </c>
    </row>
    <row r="12" spans="1:24" x14ac:dyDescent="0.25">
      <c r="A12" s="24" t="s">
        <v>57</v>
      </c>
      <c r="B12" s="24" t="s">
        <v>1223</v>
      </c>
      <c r="C12" s="24" t="s">
        <v>1224</v>
      </c>
      <c r="D12" s="24" t="s">
        <v>66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77.14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30</v>
      </c>
      <c r="W12" s="21">
        <f t="shared" si="6"/>
        <v>3</v>
      </c>
      <c r="X12" s="26">
        <f t="shared" si="7"/>
        <v>308.86</v>
      </c>
    </row>
    <row r="13" spans="1:24" x14ac:dyDescent="0.25">
      <c r="A13" s="24" t="s">
        <v>43</v>
      </c>
      <c r="B13" s="24" t="s">
        <v>1225</v>
      </c>
      <c r="C13" s="24" t="s">
        <v>1226</v>
      </c>
      <c r="D13" s="24" t="s">
        <v>50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15</v>
      </c>
      <c r="W13" s="21">
        <f t="shared" si="6"/>
        <v>1</v>
      </c>
      <c r="X13" s="26">
        <f t="shared" si="7"/>
        <v>137.82</v>
      </c>
    </row>
    <row r="14" spans="1:24" x14ac:dyDescent="0.25">
      <c r="A14" s="24" t="s">
        <v>53</v>
      </c>
      <c r="B14" s="24" t="s">
        <v>1227</v>
      </c>
      <c r="C14" s="24" t="s">
        <v>1228</v>
      </c>
      <c r="D14" s="24" t="s">
        <v>73</v>
      </c>
      <c r="E14" s="24">
        <v>0</v>
      </c>
      <c r="F14" s="24">
        <v>1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80.680000000000007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16</v>
      </c>
      <c r="W14" s="21">
        <f t="shared" si="6"/>
        <v>4</v>
      </c>
      <c r="X14" s="26">
        <f t="shared" si="7"/>
        <v>508.67</v>
      </c>
    </row>
    <row r="15" spans="1:24" x14ac:dyDescent="0.25">
      <c r="A15" s="24" t="s">
        <v>51</v>
      </c>
      <c r="B15" s="24" t="s">
        <v>1229</v>
      </c>
      <c r="C15" s="24" t="s">
        <v>1230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33</v>
      </c>
      <c r="W15" s="21">
        <f t="shared" si="6"/>
        <v>1</v>
      </c>
      <c r="X15" s="26">
        <f t="shared" si="7"/>
        <v>82.73</v>
      </c>
    </row>
    <row r="16" spans="1:24" x14ac:dyDescent="0.25">
      <c r="A16" s="24" t="s">
        <v>43</v>
      </c>
      <c r="B16" s="24" t="s">
        <v>1231</v>
      </c>
      <c r="C16" s="24" t="s">
        <v>1232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18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3</v>
      </c>
      <c r="S16" s="28">
        <f t="shared" si="8"/>
        <v>1</v>
      </c>
      <c r="T16" s="28">
        <f t="shared" si="8"/>
        <v>8</v>
      </c>
      <c r="U16" s="28">
        <f t="shared" si="8"/>
        <v>2</v>
      </c>
      <c r="V16" s="29">
        <f t="shared" si="8"/>
        <v>250</v>
      </c>
      <c r="W16" s="28">
        <f t="shared" si="8"/>
        <v>28</v>
      </c>
      <c r="X16" s="29">
        <f t="shared" si="8"/>
        <v>2311.62</v>
      </c>
    </row>
    <row r="17" spans="1:24" x14ac:dyDescent="0.25">
      <c r="A17" s="24" t="s">
        <v>43</v>
      </c>
      <c r="B17" s="24" t="s">
        <v>1233</v>
      </c>
      <c r="C17" s="24" t="s">
        <v>1234</v>
      </c>
      <c r="D17" s="24" t="s">
        <v>62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18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63</v>
      </c>
      <c r="B18" s="24" t="s">
        <v>1235</v>
      </c>
      <c r="C18" s="24" t="s">
        <v>1236</v>
      </c>
      <c r="D18" s="24" t="s">
        <v>54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1237</v>
      </c>
      <c r="C19" s="24" t="s">
        <v>1238</v>
      </c>
      <c r="D19" s="24" t="s">
        <v>68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136.84</v>
      </c>
      <c r="M19" s="24" t="s">
        <v>90</v>
      </c>
    </row>
    <row r="20" spans="1:24" x14ac:dyDescent="0.25">
      <c r="A20" s="24" t="s">
        <v>57</v>
      </c>
      <c r="B20" s="24" t="s">
        <v>1239</v>
      </c>
      <c r="C20" s="24" t="s">
        <v>1240</v>
      </c>
      <c r="D20" s="24" t="s">
        <v>79</v>
      </c>
      <c r="E20" s="24">
        <v>1</v>
      </c>
      <c r="F20" s="24">
        <v>0</v>
      </c>
      <c r="G20" s="24">
        <v>1</v>
      </c>
      <c r="H20" s="24">
        <v>0</v>
      </c>
      <c r="I20" s="24">
        <v>0</v>
      </c>
      <c r="J20" s="25">
        <v>0</v>
      </c>
      <c r="K20" s="24">
        <v>0</v>
      </c>
      <c r="L20" s="25">
        <v>0</v>
      </c>
      <c r="M20" s="24" t="s">
        <v>90</v>
      </c>
    </row>
    <row r="21" spans="1:24" x14ac:dyDescent="0.25">
      <c r="A21" s="24" t="s">
        <v>57</v>
      </c>
      <c r="B21" s="24" t="s">
        <v>1241</v>
      </c>
      <c r="C21" s="24" t="s">
        <v>1242</v>
      </c>
      <c r="D21" s="24" t="s">
        <v>54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66.78</v>
      </c>
      <c r="M21" s="24" t="s">
        <v>90</v>
      </c>
    </row>
    <row r="22" spans="1:24" x14ac:dyDescent="0.25">
      <c r="A22" s="24" t="s">
        <v>45</v>
      </c>
      <c r="B22" s="24" t="s">
        <v>1243</v>
      </c>
      <c r="C22" s="24" t="s">
        <v>1244</v>
      </c>
      <c r="D22" s="24" t="s">
        <v>60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157.74</v>
      </c>
      <c r="M22" s="24" t="s">
        <v>168</v>
      </c>
    </row>
    <row r="23" spans="1:24" x14ac:dyDescent="0.25">
      <c r="A23" s="24" t="s">
        <v>49</v>
      </c>
      <c r="B23" s="24" t="s">
        <v>1245</v>
      </c>
      <c r="C23" s="24" t="s">
        <v>1246</v>
      </c>
      <c r="D23" s="24" t="s">
        <v>76</v>
      </c>
      <c r="E23" s="24">
        <v>0</v>
      </c>
      <c r="F23" s="24">
        <v>0</v>
      </c>
      <c r="G23" s="24">
        <v>0</v>
      </c>
      <c r="H23" s="24">
        <v>0</v>
      </c>
      <c r="I23" s="24">
        <v>1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51</v>
      </c>
      <c r="B24" s="24" t="s">
        <v>1247</v>
      </c>
      <c r="C24" s="24" t="s">
        <v>1248</v>
      </c>
      <c r="D24" s="24" t="s">
        <v>56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54.32</v>
      </c>
      <c r="M24" s="24" t="s">
        <v>90</v>
      </c>
    </row>
    <row r="25" spans="1:24" x14ac:dyDescent="0.25">
      <c r="A25" s="24" t="s">
        <v>59</v>
      </c>
      <c r="B25" s="24" t="s">
        <v>1249</v>
      </c>
      <c r="C25" s="24" t="s">
        <v>1250</v>
      </c>
      <c r="D25" s="24" t="s">
        <v>70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43</v>
      </c>
      <c r="B26" s="24" t="s">
        <v>1251</v>
      </c>
      <c r="C26" s="24" t="s">
        <v>1252</v>
      </c>
      <c r="D26" s="24" t="s">
        <v>74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98.5</v>
      </c>
      <c r="M26" s="24" t="s">
        <v>90</v>
      </c>
    </row>
    <row r="27" spans="1:24" x14ac:dyDescent="0.25">
      <c r="A27" s="24" t="s">
        <v>65</v>
      </c>
      <c r="B27" s="24" t="s">
        <v>1253</v>
      </c>
      <c r="C27" s="24" t="s">
        <v>1254</v>
      </c>
      <c r="D27" s="24" t="s">
        <v>52</v>
      </c>
      <c r="E27" s="24">
        <v>1</v>
      </c>
      <c r="F27" s="24">
        <v>0</v>
      </c>
      <c r="G27" s="24">
        <v>0</v>
      </c>
      <c r="H27" s="24">
        <v>1</v>
      </c>
      <c r="I27" s="24">
        <v>0</v>
      </c>
      <c r="J27" s="25">
        <v>33</v>
      </c>
      <c r="K27" s="24">
        <v>1</v>
      </c>
      <c r="L27" s="25">
        <v>82.73</v>
      </c>
      <c r="M27" s="24" t="s">
        <v>90</v>
      </c>
    </row>
    <row r="28" spans="1:24" x14ac:dyDescent="0.25">
      <c r="A28" s="24" t="s">
        <v>47</v>
      </c>
      <c r="B28" s="24" t="s">
        <v>1255</v>
      </c>
      <c r="C28" s="24" t="s">
        <v>1256</v>
      </c>
      <c r="D28" s="24" t="s">
        <v>75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31.19</v>
      </c>
      <c r="M28" s="24" t="s">
        <v>90</v>
      </c>
    </row>
    <row r="29" spans="1:24" x14ac:dyDescent="0.25">
      <c r="A29" s="24" t="s">
        <v>57</v>
      </c>
      <c r="B29" s="24" t="s">
        <v>1257</v>
      </c>
      <c r="C29" s="24" t="s">
        <v>1258</v>
      </c>
      <c r="D29" s="24" t="s">
        <v>62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189.64</v>
      </c>
      <c r="M29" s="24" t="s">
        <v>90</v>
      </c>
    </row>
    <row r="30" spans="1:24" x14ac:dyDescent="0.25">
      <c r="A30" s="24" t="s">
        <v>63</v>
      </c>
      <c r="B30" s="24" t="s">
        <v>1259</v>
      </c>
      <c r="C30" s="24" t="s">
        <v>1260</v>
      </c>
      <c r="D30" s="24" t="s">
        <v>67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16</v>
      </c>
      <c r="K30" s="24">
        <v>1</v>
      </c>
      <c r="L30" s="25">
        <v>165.19</v>
      </c>
      <c r="M30" s="24" t="s">
        <v>168</v>
      </c>
    </row>
    <row r="31" spans="1:24" x14ac:dyDescent="0.25">
      <c r="A31" s="24" t="s">
        <v>63</v>
      </c>
      <c r="B31" s="24" t="s">
        <v>1261</v>
      </c>
      <c r="C31" s="24" t="s">
        <v>1262</v>
      </c>
      <c r="D31" s="24" t="s">
        <v>67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143.36000000000001</v>
      </c>
      <c r="M31" s="24" t="s">
        <v>90</v>
      </c>
    </row>
    <row r="32" spans="1:24" x14ac:dyDescent="0.25">
      <c r="A32" s="24" t="s">
        <v>51</v>
      </c>
      <c r="B32" s="24" t="s">
        <v>1263</v>
      </c>
      <c r="C32" s="24" t="s">
        <v>1264</v>
      </c>
      <c r="D32" s="24" t="s">
        <v>64</v>
      </c>
      <c r="E32" s="24">
        <v>0</v>
      </c>
      <c r="F32" s="24">
        <v>1</v>
      </c>
      <c r="G32" s="24">
        <v>0</v>
      </c>
      <c r="H32" s="24">
        <v>0</v>
      </c>
      <c r="I32" s="24">
        <v>0</v>
      </c>
      <c r="J32" s="25">
        <v>24</v>
      </c>
      <c r="K32" s="24">
        <v>1</v>
      </c>
      <c r="L32" s="25">
        <v>102.7</v>
      </c>
      <c r="M32" s="24" t="s">
        <v>90</v>
      </c>
    </row>
    <row r="33" spans="1:13" x14ac:dyDescent="0.25">
      <c r="A33" s="24" t="s">
        <v>53</v>
      </c>
      <c r="B33" s="24" t="s">
        <v>1265</v>
      </c>
      <c r="C33" s="24" t="s">
        <v>1266</v>
      </c>
      <c r="D33" s="24" t="s">
        <v>68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24</v>
      </c>
      <c r="K33" s="24">
        <v>1</v>
      </c>
      <c r="L33" s="25">
        <v>83.66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1267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1268</v>
      </c>
      <c r="C4" s="24" t="s">
        <v>1269</v>
      </c>
      <c r="D4" s="24" t="s">
        <v>54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4.6399999999999997</v>
      </c>
    </row>
    <row r="5" spans="1:24" x14ac:dyDescent="0.25">
      <c r="A5" s="24" t="s">
        <v>43</v>
      </c>
      <c r="B5" s="24" t="s">
        <v>1270</v>
      </c>
      <c r="C5" s="24" t="s">
        <v>1271</v>
      </c>
      <c r="D5" s="24" t="s">
        <v>76</v>
      </c>
      <c r="E5" s="24">
        <v>0</v>
      </c>
      <c r="F5" s="24">
        <v>0</v>
      </c>
      <c r="G5" s="24">
        <v>0</v>
      </c>
      <c r="H5" s="24">
        <v>0</v>
      </c>
      <c r="I5" s="24">
        <v>1</v>
      </c>
      <c r="J5" s="25">
        <v>0</v>
      </c>
      <c r="K5" s="24">
        <v>1</v>
      </c>
      <c r="L5" s="25">
        <v>4.6399999999999997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57</v>
      </c>
      <c r="B6" s="24" t="s">
        <v>1272</v>
      </c>
      <c r="C6" s="24" t="s">
        <v>1273</v>
      </c>
      <c r="D6" s="24" t="s">
        <v>52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38.15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1</v>
      </c>
      <c r="T6" s="21">
        <f t="shared" si="3"/>
        <v>1</v>
      </c>
      <c r="U6" s="21">
        <f t="shared" si="4"/>
        <v>0</v>
      </c>
      <c r="V6" s="26">
        <f t="shared" si="5"/>
        <v>33</v>
      </c>
      <c r="W6" s="21">
        <f t="shared" si="6"/>
        <v>2</v>
      </c>
      <c r="X6" s="26">
        <f t="shared" si="7"/>
        <v>117.01</v>
      </c>
    </row>
    <row r="7" spans="1:24" x14ac:dyDescent="0.25">
      <c r="A7" s="24" t="s">
        <v>45</v>
      </c>
      <c r="B7" s="24" t="s">
        <v>1274</v>
      </c>
      <c r="C7" s="24" t="s">
        <v>1275</v>
      </c>
      <c r="D7" s="24" t="s">
        <v>54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0</v>
      </c>
    </row>
    <row r="8" spans="1:24" x14ac:dyDescent="0.25">
      <c r="A8" s="24" t="s">
        <v>57</v>
      </c>
      <c r="B8" s="24" t="s">
        <v>1276</v>
      </c>
      <c r="C8" s="24" t="s">
        <v>1277</v>
      </c>
      <c r="D8" s="24" t="s">
        <v>60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2</v>
      </c>
      <c r="U8" s="21">
        <f t="shared" si="4"/>
        <v>0</v>
      </c>
      <c r="V8" s="26">
        <f t="shared" si="5"/>
        <v>36</v>
      </c>
      <c r="W8" s="21">
        <f t="shared" si="6"/>
        <v>2</v>
      </c>
      <c r="X8" s="26">
        <f t="shared" si="7"/>
        <v>0</v>
      </c>
    </row>
    <row r="9" spans="1:24" x14ac:dyDescent="0.25">
      <c r="A9" s="24" t="s">
        <v>61</v>
      </c>
      <c r="B9" s="24" t="s">
        <v>1278</v>
      </c>
      <c r="C9" s="24" t="s">
        <v>1279</v>
      </c>
      <c r="D9" s="24" t="s">
        <v>74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96.39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1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211.7</v>
      </c>
    </row>
    <row r="10" spans="1:24" x14ac:dyDescent="0.25">
      <c r="A10" s="24" t="s">
        <v>63</v>
      </c>
      <c r="B10" s="24" t="s">
        <v>1280</v>
      </c>
      <c r="C10" s="24" t="s">
        <v>1281</v>
      </c>
      <c r="D10" s="24" t="s">
        <v>68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59</v>
      </c>
      <c r="B11" s="24" t="s">
        <v>1282</v>
      </c>
      <c r="C11" s="24" t="s">
        <v>1283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198.23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5</v>
      </c>
      <c r="X11" s="26">
        <f t="shared" si="7"/>
        <v>322.25</v>
      </c>
    </row>
    <row r="12" spans="1:24" x14ac:dyDescent="0.25">
      <c r="A12" s="24" t="s">
        <v>65</v>
      </c>
      <c r="B12" s="24" t="s">
        <v>1284</v>
      </c>
      <c r="C12" s="24" t="s">
        <v>1285</v>
      </c>
      <c r="D12" s="24" t="s">
        <v>71</v>
      </c>
      <c r="E12" s="24">
        <v>0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98.71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1</v>
      </c>
      <c r="T12" s="21">
        <f t="shared" si="3"/>
        <v>0</v>
      </c>
      <c r="U12" s="21">
        <f t="shared" si="4"/>
        <v>0</v>
      </c>
      <c r="V12" s="26">
        <f t="shared" si="5"/>
        <v>42</v>
      </c>
      <c r="W12" s="21">
        <f t="shared" si="6"/>
        <v>4</v>
      </c>
      <c r="X12" s="26">
        <f t="shared" si="7"/>
        <v>527.49</v>
      </c>
    </row>
    <row r="13" spans="1:24" x14ac:dyDescent="0.25">
      <c r="A13" s="24" t="s">
        <v>51</v>
      </c>
      <c r="B13" s="24" t="s">
        <v>1286</v>
      </c>
      <c r="C13" s="24" t="s">
        <v>1287</v>
      </c>
      <c r="D13" s="24" t="s">
        <v>77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18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166.65</v>
      </c>
    </row>
    <row r="14" spans="1:24" x14ac:dyDescent="0.25">
      <c r="A14" s="24" t="s">
        <v>61</v>
      </c>
      <c r="B14" s="24" t="s">
        <v>1288</v>
      </c>
      <c r="C14" s="24" t="s">
        <v>1289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70.260000000000005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53</v>
      </c>
      <c r="B15" s="24" t="s">
        <v>1290</v>
      </c>
      <c r="C15" s="24" t="s">
        <v>1291</v>
      </c>
      <c r="D15" s="24" t="s">
        <v>71</v>
      </c>
      <c r="E15" s="24">
        <v>0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64.73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2</v>
      </c>
      <c r="X15" s="26">
        <f t="shared" si="7"/>
        <v>166.19</v>
      </c>
    </row>
    <row r="16" spans="1:24" x14ac:dyDescent="0.25">
      <c r="A16" s="24" t="s">
        <v>57</v>
      </c>
      <c r="B16" s="24" t="s">
        <v>1292</v>
      </c>
      <c r="C16" s="24" t="s">
        <v>1293</v>
      </c>
      <c r="D16" s="24" t="s">
        <v>50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2.42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2</v>
      </c>
      <c r="S16" s="28">
        <f t="shared" si="8"/>
        <v>3</v>
      </c>
      <c r="T16" s="28">
        <f t="shared" si="8"/>
        <v>7</v>
      </c>
      <c r="U16" s="28">
        <f t="shared" si="8"/>
        <v>1</v>
      </c>
      <c r="V16" s="29">
        <f t="shared" si="8"/>
        <v>129</v>
      </c>
      <c r="W16" s="28">
        <f t="shared" si="8"/>
        <v>22</v>
      </c>
      <c r="X16" s="29">
        <f t="shared" si="8"/>
        <v>1515.93</v>
      </c>
    </row>
    <row r="17" spans="1:24" x14ac:dyDescent="0.25">
      <c r="A17" s="24" t="s">
        <v>57</v>
      </c>
      <c r="B17" s="24" t="s">
        <v>1294</v>
      </c>
      <c r="C17" s="24" t="s">
        <v>1295</v>
      </c>
      <c r="D17" s="24" t="s">
        <v>46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65.61</v>
      </c>
      <c r="M17" s="24" t="s">
        <v>90</v>
      </c>
    </row>
    <row r="18" spans="1:24" x14ac:dyDescent="0.25">
      <c r="A18" s="24" t="s">
        <v>59</v>
      </c>
      <c r="B18" s="24" t="s">
        <v>1296</v>
      </c>
      <c r="C18" s="24" t="s">
        <v>1297</v>
      </c>
      <c r="D18" s="24" t="s">
        <v>74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24</v>
      </c>
      <c r="K18" s="24">
        <v>1</v>
      </c>
      <c r="L18" s="25">
        <v>24.38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1298</v>
      </c>
      <c r="C19" s="24" t="s">
        <v>1299</v>
      </c>
      <c r="D19" s="24" t="s">
        <v>78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51</v>
      </c>
      <c r="B20" s="24" t="s">
        <v>1300</v>
      </c>
      <c r="C20" s="24" t="s">
        <v>1301</v>
      </c>
      <c r="D20" s="24" t="s">
        <v>58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18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53</v>
      </c>
      <c r="B21" s="24" t="s">
        <v>1302</v>
      </c>
      <c r="C21" s="24" t="s">
        <v>1303</v>
      </c>
      <c r="D21" s="24" t="s">
        <v>75</v>
      </c>
      <c r="E21" s="24">
        <v>1</v>
      </c>
      <c r="F21" s="24">
        <v>0</v>
      </c>
      <c r="G21" s="24">
        <v>1</v>
      </c>
      <c r="H21" s="24">
        <v>0</v>
      </c>
      <c r="I21" s="24">
        <v>0</v>
      </c>
      <c r="J21" s="25">
        <v>0</v>
      </c>
      <c r="K21" s="24">
        <v>1</v>
      </c>
      <c r="L21" s="25">
        <v>146.97</v>
      </c>
      <c r="M21" s="24" t="s">
        <v>90</v>
      </c>
    </row>
    <row r="22" spans="1:24" x14ac:dyDescent="0.25">
      <c r="A22" s="24" t="s">
        <v>57</v>
      </c>
      <c r="B22" s="24" t="s">
        <v>1304</v>
      </c>
      <c r="C22" s="24" t="s">
        <v>1305</v>
      </c>
      <c r="D22" s="24" t="s">
        <v>68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216.07</v>
      </c>
      <c r="M22" s="24" t="s">
        <v>90</v>
      </c>
    </row>
    <row r="23" spans="1:24" x14ac:dyDescent="0.25">
      <c r="A23" s="24" t="s">
        <v>59</v>
      </c>
      <c r="B23" s="24" t="s">
        <v>1306</v>
      </c>
      <c r="C23" s="24" t="s">
        <v>1307</v>
      </c>
      <c r="D23" s="24" t="s">
        <v>72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128.66</v>
      </c>
      <c r="M23" s="24" t="s">
        <v>90</v>
      </c>
    </row>
    <row r="24" spans="1:24" x14ac:dyDescent="0.25">
      <c r="A24" s="24" t="s">
        <v>65</v>
      </c>
      <c r="B24" s="24" t="s">
        <v>1308</v>
      </c>
      <c r="C24" s="24" t="s">
        <v>1309</v>
      </c>
      <c r="D24" s="24" t="s">
        <v>69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67.48</v>
      </c>
      <c r="M24" s="24" t="s">
        <v>90</v>
      </c>
    </row>
    <row r="25" spans="1:24" x14ac:dyDescent="0.25">
      <c r="A25" s="24" t="s">
        <v>47</v>
      </c>
      <c r="B25" s="24" t="s">
        <v>1310</v>
      </c>
      <c r="C25" s="24" t="s">
        <v>1311</v>
      </c>
      <c r="D25" s="24" t="s">
        <v>74</v>
      </c>
      <c r="E25" s="24">
        <v>1</v>
      </c>
      <c r="F25" s="24">
        <v>0</v>
      </c>
      <c r="G25" s="24">
        <v>1</v>
      </c>
      <c r="H25" s="24">
        <v>0</v>
      </c>
      <c r="I25" s="24">
        <v>0</v>
      </c>
      <c r="J25" s="25">
        <v>33</v>
      </c>
      <c r="K25" s="24">
        <v>1</v>
      </c>
      <c r="L25" s="25">
        <v>117.01</v>
      </c>
      <c r="M25" s="24" t="s">
        <v>90</v>
      </c>
    </row>
    <row r="26" spans="1:24" x14ac:dyDescent="0.25">
      <c r="A26" s="24" t="s">
        <v>59</v>
      </c>
      <c r="B26" s="24" t="s">
        <v>1312</v>
      </c>
      <c r="C26" s="24" t="s">
        <v>1313</v>
      </c>
      <c r="D26" s="24" t="s">
        <v>72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1</v>
      </c>
      <c r="L26" s="25">
        <v>176.22</v>
      </c>
      <c r="M26" s="24" t="s">
        <v>90</v>
      </c>
    </row>
    <row r="27" spans="1:24" x14ac:dyDescent="0.25">
      <c r="A27" s="24" t="s">
        <v>47</v>
      </c>
      <c r="B27" s="24" t="s">
        <v>1314</v>
      </c>
      <c r="C27" s="24" t="s">
        <v>1315</v>
      </c>
      <c r="D27" s="24" t="s">
        <v>79</v>
      </c>
      <c r="E27" s="24">
        <v>0</v>
      </c>
      <c r="F27" s="24">
        <v>1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1316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59</v>
      </c>
      <c r="B4" s="24" t="s">
        <v>1317</v>
      </c>
      <c r="C4" s="24" t="s">
        <v>1318</v>
      </c>
      <c r="D4" s="24" t="s">
        <v>48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18</v>
      </c>
      <c r="K4" s="24">
        <v>1</v>
      </c>
      <c r="L4" s="25">
        <v>151.28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0</v>
      </c>
      <c r="X4" s="26">
        <f t="shared" ref="X4:X15" si="7">SUMIF($A$4:$A$63,$P4,L$4:L$63)</f>
        <v>0</v>
      </c>
    </row>
    <row r="5" spans="1:24" x14ac:dyDescent="0.25">
      <c r="A5" s="24" t="s">
        <v>57</v>
      </c>
      <c r="B5" s="24" t="s">
        <v>1319</v>
      </c>
      <c r="C5" s="24" t="s">
        <v>1320</v>
      </c>
      <c r="D5" s="24" t="s">
        <v>79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0</v>
      </c>
      <c r="W5" s="21">
        <f t="shared" si="6"/>
        <v>2</v>
      </c>
      <c r="X5" s="26">
        <f t="shared" si="7"/>
        <v>71.319999999999993</v>
      </c>
    </row>
    <row r="6" spans="1:24" x14ac:dyDescent="0.25">
      <c r="A6" s="24" t="s">
        <v>61</v>
      </c>
      <c r="B6" s="24" t="s">
        <v>1321</v>
      </c>
      <c r="C6" s="24" t="s">
        <v>1322</v>
      </c>
      <c r="D6" s="24" t="s">
        <v>70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51.42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57</v>
      </c>
      <c r="B7" s="24" t="s">
        <v>1323</v>
      </c>
      <c r="C7" s="24" t="s">
        <v>1324</v>
      </c>
      <c r="D7" s="24" t="s">
        <v>66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18</v>
      </c>
      <c r="K7" s="24">
        <v>1</v>
      </c>
      <c r="L7" s="25">
        <v>213.96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1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33</v>
      </c>
      <c r="W7" s="21">
        <f t="shared" si="6"/>
        <v>3</v>
      </c>
      <c r="X7" s="26">
        <f t="shared" si="7"/>
        <v>124.44</v>
      </c>
    </row>
    <row r="8" spans="1:24" x14ac:dyDescent="0.25">
      <c r="A8" s="24" t="s">
        <v>45</v>
      </c>
      <c r="B8" s="24" t="s">
        <v>1325</v>
      </c>
      <c r="C8" s="24" t="s">
        <v>1326</v>
      </c>
      <c r="D8" s="24" t="s">
        <v>48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71.319999999999993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15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49</v>
      </c>
      <c r="B9" s="24" t="s">
        <v>1327</v>
      </c>
      <c r="C9" s="24" t="s">
        <v>1328</v>
      </c>
      <c r="D9" s="24" t="s">
        <v>60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13.74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49</v>
      </c>
      <c r="B10" s="24" t="s">
        <v>1329</v>
      </c>
      <c r="C10" s="24" t="s">
        <v>1330</v>
      </c>
      <c r="D10" s="24" t="s">
        <v>48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110.7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110.63</v>
      </c>
    </row>
    <row r="11" spans="1:24" x14ac:dyDescent="0.25">
      <c r="A11" s="24" t="s">
        <v>59</v>
      </c>
      <c r="B11" s="24" t="s">
        <v>1331</v>
      </c>
      <c r="C11" s="24" t="s">
        <v>1332</v>
      </c>
      <c r="D11" s="24" t="s">
        <v>70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24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2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18</v>
      </c>
      <c r="W11" s="21">
        <f t="shared" si="6"/>
        <v>3</v>
      </c>
      <c r="X11" s="26">
        <f t="shared" si="7"/>
        <v>391.99</v>
      </c>
    </row>
    <row r="12" spans="1:24" x14ac:dyDescent="0.25">
      <c r="A12" s="24" t="s">
        <v>55</v>
      </c>
      <c r="B12" s="24" t="s">
        <v>1333</v>
      </c>
      <c r="C12" s="24" t="s">
        <v>1334</v>
      </c>
      <c r="D12" s="24" t="s">
        <v>68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18.850000000000001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1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66</v>
      </c>
      <c r="W12" s="21">
        <f t="shared" si="6"/>
        <v>3</v>
      </c>
      <c r="X12" s="26">
        <f t="shared" si="7"/>
        <v>272.08</v>
      </c>
    </row>
    <row r="13" spans="1:24" x14ac:dyDescent="0.25">
      <c r="A13" s="24" t="s">
        <v>45</v>
      </c>
      <c r="B13" s="24" t="s">
        <v>1335</v>
      </c>
      <c r="C13" s="24" t="s">
        <v>1336</v>
      </c>
      <c r="D13" s="24" t="s">
        <v>58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0</v>
      </c>
      <c r="W13" s="21">
        <f t="shared" si="6"/>
        <v>2</v>
      </c>
      <c r="X13" s="26">
        <f t="shared" si="7"/>
        <v>51.42</v>
      </c>
    </row>
    <row r="14" spans="1:24" x14ac:dyDescent="0.25">
      <c r="A14" s="24" t="s">
        <v>57</v>
      </c>
      <c r="B14" s="24" t="s">
        <v>1337</v>
      </c>
      <c r="C14" s="24" t="s">
        <v>1338</v>
      </c>
      <c r="D14" s="24" t="s">
        <v>52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52.49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59</v>
      </c>
      <c r="B15" s="24" t="s">
        <v>1339</v>
      </c>
      <c r="C15" s="24" t="s">
        <v>1340</v>
      </c>
      <c r="D15" s="24" t="s">
        <v>60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120.8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51</v>
      </c>
      <c r="B16" s="24" t="s">
        <v>1341</v>
      </c>
      <c r="C16" s="24" t="s">
        <v>1342</v>
      </c>
      <c r="D16" s="24" t="s">
        <v>54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10</v>
      </c>
      <c r="R16" s="28">
        <f t="shared" si="8"/>
        <v>4</v>
      </c>
      <c r="S16" s="28">
        <f t="shared" si="8"/>
        <v>0</v>
      </c>
      <c r="T16" s="28">
        <f t="shared" si="8"/>
        <v>6</v>
      </c>
      <c r="U16" s="28">
        <f t="shared" si="8"/>
        <v>1</v>
      </c>
      <c r="V16" s="29">
        <f t="shared" si="8"/>
        <v>132</v>
      </c>
      <c r="W16" s="28">
        <f t="shared" si="8"/>
        <v>16</v>
      </c>
      <c r="X16" s="29">
        <f t="shared" si="8"/>
        <v>1021.8799999999999</v>
      </c>
    </row>
    <row r="17" spans="1:24" x14ac:dyDescent="0.25">
      <c r="A17" s="24" t="s">
        <v>57</v>
      </c>
      <c r="B17" s="24" t="s">
        <v>1343</v>
      </c>
      <c r="C17" s="24" t="s">
        <v>1344</v>
      </c>
      <c r="D17" s="24" t="s">
        <v>73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125.54</v>
      </c>
      <c r="M17" s="24" t="s">
        <v>90</v>
      </c>
    </row>
    <row r="18" spans="1:24" x14ac:dyDescent="0.25">
      <c r="A18" s="24" t="s">
        <v>47</v>
      </c>
      <c r="B18" s="24" t="s">
        <v>1345</v>
      </c>
      <c r="C18" s="24" t="s">
        <v>1346</v>
      </c>
      <c r="D18" s="24" t="s">
        <v>78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0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1347</v>
      </c>
      <c r="C19" s="24" t="s">
        <v>1348</v>
      </c>
      <c r="D19" s="24" t="s">
        <v>76</v>
      </c>
      <c r="E19" s="24">
        <v>0</v>
      </c>
      <c r="F19" s="24">
        <v>0</v>
      </c>
      <c r="G19" s="24">
        <v>0</v>
      </c>
      <c r="H19" s="24">
        <v>0</v>
      </c>
      <c r="I19" s="24">
        <v>1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49</v>
      </c>
      <c r="B20" s="24" t="s">
        <v>1349</v>
      </c>
      <c r="C20" s="24" t="s">
        <v>1350</v>
      </c>
      <c r="D20" s="24" t="s">
        <v>74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55</v>
      </c>
      <c r="B21" s="24" t="s">
        <v>1351</v>
      </c>
      <c r="C21" s="24" t="s">
        <v>1352</v>
      </c>
      <c r="D21" s="24" t="s">
        <v>71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91.78</v>
      </c>
      <c r="M21" s="24" t="s">
        <v>90</v>
      </c>
    </row>
    <row r="22" spans="1:24" x14ac:dyDescent="0.25">
      <c r="A22" s="24"/>
      <c r="B22" s="24"/>
      <c r="C22" s="24"/>
      <c r="D22" s="24"/>
      <c r="E22" s="24"/>
      <c r="F22" s="24"/>
      <c r="G22" s="24"/>
      <c r="H22" s="24"/>
      <c r="I22" s="24"/>
      <c r="J22" s="25"/>
      <c r="K22" s="24"/>
      <c r="L22" s="25"/>
      <c r="M22" s="24"/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43</v>
      </c>
      <c r="B4" s="24" t="s">
        <v>1354</v>
      </c>
      <c r="C4" s="24" t="s">
        <v>1355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5.07</v>
      </c>
    </row>
    <row r="5" spans="1:24" x14ac:dyDescent="0.25">
      <c r="A5" s="24" t="s">
        <v>51</v>
      </c>
      <c r="B5" s="24" t="s">
        <v>1356</v>
      </c>
      <c r="C5" s="24" t="s">
        <v>1357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60.44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15</v>
      </c>
      <c r="W5" s="21">
        <f t="shared" si="6"/>
        <v>3</v>
      </c>
      <c r="X5" s="26">
        <f t="shared" si="7"/>
        <v>106.04</v>
      </c>
    </row>
    <row r="6" spans="1:24" x14ac:dyDescent="0.25">
      <c r="A6" s="24" t="s">
        <v>63</v>
      </c>
      <c r="B6" s="24" t="s">
        <v>1358</v>
      </c>
      <c r="C6" s="24" t="s">
        <v>1359</v>
      </c>
      <c r="D6" s="24" t="s">
        <v>71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55</v>
      </c>
      <c r="B7" s="24" t="s">
        <v>1360</v>
      </c>
      <c r="C7" s="24" t="s">
        <v>1361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33</v>
      </c>
      <c r="K7" s="24">
        <v>1</v>
      </c>
      <c r="L7" s="25">
        <v>157.54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329.55</v>
      </c>
    </row>
    <row r="8" spans="1:24" x14ac:dyDescent="0.25">
      <c r="A8" s="24" t="s">
        <v>55</v>
      </c>
      <c r="B8" s="24" t="s">
        <v>1362</v>
      </c>
      <c r="C8" s="24" t="s">
        <v>1363</v>
      </c>
      <c r="D8" s="24" t="s">
        <v>67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24</v>
      </c>
      <c r="K8" s="24">
        <v>1</v>
      </c>
      <c r="L8" s="25">
        <v>12.1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16</v>
      </c>
      <c r="W8" s="21">
        <f t="shared" si="6"/>
        <v>1</v>
      </c>
      <c r="X8" s="26">
        <f t="shared" si="7"/>
        <v>60.44</v>
      </c>
    </row>
    <row r="9" spans="1:24" x14ac:dyDescent="0.25">
      <c r="A9" s="24" t="s">
        <v>57</v>
      </c>
      <c r="B9" s="24" t="s">
        <v>1364</v>
      </c>
      <c r="C9" s="24" t="s">
        <v>1365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102.23</v>
      </c>
      <c r="M9" s="24" t="s">
        <v>90</v>
      </c>
      <c r="P9" s="21" t="str">
        <f>Setup!$A$10</f>
        <v>Expert 06</v>
      </c>
      <c r="Q9" s="21">
        <f t="shared" si="0"/>
        <v>4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42</v>
      </c>
      <c r="W9" s="21">
        <f t="shared" si="6"/>
        <v>3</v>
      </c>
      <c r="X9" s="26">
        <f t="shared" si="7"/>
        <v>76.459999999999994</v>
      </c>
    </row>
    <row r="10" spans="1:24" x14ac:dyDescent="0.25">
      <c r="A10" s="24" t="s">
        <v>65</v>
      </c>
      <c r="B10" s="24" t="s">
        <v>1366</v>
      </c>
      <c r="C10" s="24" t="s">
        <v>1367</v>
      </c>
      <c r="D10" s="24" t="s">
        <v>66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57</v>
      </c>
      <c r="W10" s="21">
        <f t="shared" si="6"/>
        <v>3</v>
      </c>
      <c r="X10" s="26">
        <f t="shared" si="7"/>
        <v>232.01999999999998</v>
      </c>
    </row>
    <row r="11" spans="1:24" x14ac:dyDescent="0.25">
      <c r="A11" s="24" t="s">
        <v>49</v>
      </c>
      <c r="B11" s="24" t="s">
        <v>1368</v>
      </c>
      <c r="C11" s="24" t="s">
        <v>1369</v>
      </c>
      <c r="D11" s="24" t="s">
        <v>48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218.24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2</v>
      </c>
      <c r="U11" s="21">
        <f t="shared" si="4"/>
        <v>0</v>
      </c>
      <c r="V11" s="26">
        <f t="shared" si="5"/>
        <v>36</v>
      </c>
      <c r="W11" s="21">
        <f t="shared" si="6"/>
        <v>4</v>
      </c>
      <c r="X11" s="26">
        <f t="shared" si="7"/>
        <v>314</v>
      </c>
    </row>
    <row r="12" spans="1:24" x14ac:dyDescent="0.25">
      <c r="A12" s="24" t="s">
        <v>51</v>
      </c>
      <c r="B12" s="24" t="s">
        <v>1370</v>
      </c>
      <c r="C12" s="24" t="s">
        <v>1371</v>
      </c>
      <c r="D12" s="24" t="s">
        <v>56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16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189.45</v>
      </c>
    </row>
    <row r="13" spans="1:24" x14ac:dyDescent="0.25">
      <c r="A13" s="24" t="s">
        <v>61</v>
      </c>
      <c r="B13" s="24" t="s">
        <v>1372</v>
      </c>
      <c r="C13" s="24" t="s">
        <v>1373</v>
      </c>
      <c r="D13" s="24" t="s">
        <v>52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66.98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18</v>
      </c>
      <c r="W13" s="21">
        <f t="shared" si="6"/>
        <v>3</v>
      </c>
      <c r="X13" s="26">
        <f t="shared" si="7"/>
        <v>66.98</v>
      </c>
    </row>
    <row r="14" spans="1:24" x14ac:dyDescent="0.25">
      <c r="A14" s="24" t="s">
        <v>53</v>
      </c>
      <c r="B14" s="24" t="s">
        <v>1374</v>
      </c>
      <c r="C14" s="24" t="s">
        <v>1375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3</v>
      </c>
      <c r="X14" s="26">
        <f t="shared" si="7"/>
        <v>214.76</v>
      </c>
    </row>
    <row r="15" spans="1:24" x14ac:dyDescent="0.25">
      <c r="A15" s="24" t="s">
        <v>43</v>
      </c>
      <c r="B15" s="24" t="s">
        <v>1376</v>
      </c>
      <c r="C15" s="24" t="s">
        <v>1377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1</v>
      </c>
      <c r="L15" s="25">
        <v>5.07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1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16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63</v>
      </c>
      <c r="B16" s="24" t="s">
        <v>1378</v>
      </c>
      <c r="C16" s="24" t="s">
        <v>1379</v>
      </c>
      <c r="D16" s="24" t="s">
        <v>67</v>
      </c>
      <c r="E16" s="24">
        <v>0</v>
      </c>
      <c r="F16" s="24">
        <v>1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151.72999999999999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2</v>
      </c>
      <c r="S16" s="28">
        <f t="shared" si="8"/>
        <v>0</v>
      </c>
      <c r="T16" s="28">
        <f t="shared" si="8"/>
        <v>7</v>
      </c>
      <c r="U16" s="28">
        <f t="shared" si="8"/>
        <v>1</v>
      </c>
      <c r="V16" s="29">
        <f t="shared" si="8"/>
        <v>257</v>
      </c>
      <c r="W16" s="28">
        <f t="shared" si="8"/>
        <v>25</v>
      </c>
      <c r="X16" s="29">
        <f t="shared" si="8"/>
        <v>1594.7700000000002</v>
      </c>
    </row>
    <row r="17" spans="1:24" x14ac:dyDescent="0.25">
      <c r="A17" s="24" t="s">
        <v>57</v>
      </c>
      <c r="B17" s="24" t="s">
        <v>1380</v>
      </c>
      <c r="C17" s="24" t="s">
        <v>1381</v>
      </c>
      <c r="D17" s="24" t="s">
        <v>71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53</v>
      </c>
      <c r="B18" s="24" t="s">
        <v>1382</v>
      </c>
      <c r="C18" s="24" t="s">
        <v>1383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55</v>
      </c>
      <c r="B19" s="24" t="s">
        <v>1384</v>
      </c>
      <c r="C19" s="24" t="s">
        <v>1385</v>
      </c>
      <c r="D19" s="24" t="s">
        <v>72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62.38</v>
      </c>
      <c r="M19" s="24" t="s">
        <v>90</v>
      </c>
    </row>
    <row r="20" spans="1:24" x14ac:dyDescent="0.25">
      <c r="A20" s="24" t="s">
        <v>57</v>
      </c>
      <c r="B20" s="24" t="s">
        <v>1386</v>
      </c>
      <c r="C20" s="24" t="s">
        <v>1387</v>
      </c>
      <c r="D20" s="24" t="s">
        <v>80</v>
      </c>
      <c r="E20" s="24">
        <v>0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0</v>
      </c>
      <c r="L20" s="25">
        <v>23.12</v>
      </c>
      <c r="M20" s="24" t="s">
        <v>90</v>
      </c>
    </row>
    <row r="21" spans="1:24" x14ac:dyDescent="0.25">
      <c r="A21" s="24" t="s">
        <v>53</v>
      </c>
      <c r="B21" s="24" t="s">
        <v>1388</v>
      </c>
      <c r="C21" s="24" t="s">
        <v>1389</v>
      </c>
      <c r="D21" s="24" t="s">
        <v>79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18</v>
      </c>
      <c r="K21" s="24">
        <v>0</v>
      </c>
      <c r="L21" s="25">
        <v>0</v>
      </c>
      <c r="M21" s="24" t="s">
        <v>90</v>
      </c>
    </row>
    <row r="22" spans="1:24" x14ac:dyDescent="0.25">
      <c r="A22" s="24" t="s">
        <v>61</v>
      </c>
      <c r="B22" s="24" t="s">
        <v>1390</v>
      </c>
      <c r="C22" s="24" t="s">
        <v>1391</v>
      </c>
      <c r="D22" s="24" t="s">
        <v>72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0</v>
      </c>
      <c r="M22" s="24" t="s">
        <v>168</v>
      </c>
    </row>
    <row r="23" spans="1:24" x14ac:dyDescent="0.25">
      <c r="A23" s="24" t="s">
        <v>49</v>
      </c>
      <c r="B23" s="24" t="s">
        <v>1392</v>
      </c>
      <c r="C23" s="24" t="s">
        <v>1393</v>
      </c>
      <c r="D23" s="24" t="s">
        <v>75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111.31</v>
      </c>
      <c r="M23" s="24" t="s">
        <v>168</v>
      </c>
    </row>
    <row r="24" spans="1:24" x14ac:dyDescent="0.25">
      <c r="A24" s="24" t="s">
        <v>61</v>
      </c>
      <c r="B24" s="24" t="s">
        <v>1394</v>
      </c>
      <c r="C24" s="24" t="s">
        <v>1395</v>
      </c>
      <c r="D24" s="24" t="s">
        <v>66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43</v>
      </c>
      <c r="B25" s="24" t="s">
        <v>1396</v>
      </c>
      <c r="C25" s="24" t="s">
        <v>1397</v>
      </c>
      <c r="D25" s="24" t="s">
        <v>79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0</v>
      </c>
      <c r="L25" s="25">
        <v>0</v>
      </c>
      <c r="M25" s="24" t="s">
        <v>90</v>
      </c>
    </row>
    <row r="26" spans="1:24" x14ac:dyDescent="0.25">
      <c r="A26" s="24" t="s">
        <v>57</v>
      </c>
      <c r="B26" s="24" t="s">
        <v>1398</v>
      </c>
      <c r="C26" s="24" t="s">
        <v>1399</v>
      </c>
      <c r="D26" s="24" t="s">
        <v>44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1</v>
      </c>
      <c r="L26" s="25">
        <v>22</v>
      </c>
      <c r="M26" s="24" t="s">
        <v>168</v>
      </c>
    </row>
    <row r="27" spans="1:24" x14ac:dyDescent="0.25">
      <c r="A27" s="24" t="s">
        <v>53</v>
      </c>
      <c r="B27" s="24" t="s">
        <v>1400</v>
      </c>
      <c r="C27" s="24" t="s">
        <v>1401</v>
      </c>
      <c r="D27" s="24" t="s">
        <v>73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76.459999999999994</v>
      </c>
      <c r="M27" s="24" t="s">
        <v>90</v>
      </c>
    </row>
    <row r="28" spans="1:24" x14ac:dyDescent="0.25">
      <c r="A28" s="24" t="s">
        <v>57</v>
      </c>
      <c r="B28" s="24" t="s">
        <v>1402</v>
      </c>
      <c r="C28" s="24" t="s">
        <v>1403</v>
      </c>
      <c r="D28" s="24" t="s">
        <v>74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166.65</v>
      </c>
      <c r="M28" s="24" t="s">
        <v>90</v>
      </c>
    </row>
    <row r="29" spans="1:24" x14ac:dyDescent="0.25">
      <c r="A29" s="24" t="s">
        <v>63</v>
      </c>
      <c r="B29" s="24" t="s">
        <v>1404</v>
      </c>
      <c r="C29" s="24" t="s">
        <v>1405</v>
      </c>
      <c r="D29" s="24" t="s">
        <v>74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63.03</v>
      </c>
      <c r="M29" s="24" t="s">
        <v>90</v>
      </c>
    </row>
    <row r="30" spans="1:24" x14ac:dyDescent="0.25">
      <c r="A30" s="24" t="s">
        <v>45</v>
      </c>
      <c r="B30" s="24" t="s">
        <v>1406</v>
      </c>
      <c r="C30" s="24" t="s">
        <v>1407</v>
      </c>
      <c r="D30" s="24" t="s">
        <v>50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15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59</v>
      </c>
      <c r="B31" s="24" t="s">
        <v>1408</v>
      </c>
      <c r="C31" s="24" t="s">
        <v>1409</v>
      </c>
      <c r="D31" s="24" t="s">
        <v>80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0</v>
      </c>
      <c r="L31" s="25">
        <v>189.45</v>
      </c>
      <c r="M31" s="24" t="s">
        <v>90</v>
      </c>
    </row>
    <row r="32" spans="1:24" x14ac:dyDescent="0.25">
      <c r="A32" s="24" t="s">
        <v>45</v>
      </c>
      <c r="B32" s="24" t="s">
        <v>1410</v>
      </c>
      <c r="C32" s="24" t="s">
        <v>1411</v>
      </c>
      <c r="D32" s="24" t="s">
        <v>56</v>
      </c>
      <c r="E32" s="24">
        <v>1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106.04</v>
      </c>
      <c r="M32" s="24" t="s">
        <v>90</v>
      </c>
    </row>
    <row r="33" spans="1:13" x14ac:dyDescent="0.25">
      <c r="A33" s="24" t="s">
        <v>45</v>
      </c>
      <c r="B33" s="24" t="s">
        <v>1412</v>
      </c>
      <c r="C33" s="24" t="s">
        <v>1413</v>
      </c>
      <c r="D33" s="24" t="s">
        <v>58</v>
      </c>
      <c r="E33" s="24">
        <v>1</v>
      </c>
      <c r="F33" s="24">
        <v>0</v>
      </c>
      <c r="G33" s="24">
        <v>0</v>
      </c>
      <c r="H33" s="24">
        <v>1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1414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1415</v>
      </c>
      <c r="C4" s="24" t="s">
        <v>1416</v>
      </c>
      <c r="D4" s="24" t="s">
        <v>80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109.67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69.760000000000005</v>
      </c>
    </row>
    <row r="5" spans="1:24" x14ac:dyDescent="0.25">
      <c r="A5" s="24" t="s">
        <v>53</v>
      </c>
      <c r="B5" s="24" t="s">
        <v>1417</v>
      </c>
      <c r="C5" s="24" t="s">
        <v>1418</v>
      </c>
      <c r="D5" s="24" t="s">
        <v>70</v>
      </c>
      <c r="E5" s="24">
        <v>1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16</v>
      </c>
      <c r="W5" s="21">
        <f t="shared" si="6"/>
        <v>1</v>
      </c>
      <c r="X5" s="26">
        <f t="shared" si="7"/>
        <v>145.18</v>
      </c>
    </row>
    <row r="6" spans="1:24" x14ac:dyDescent="0.25">
      <c r="A6" s="24" t="s">
        <v>61</v>
      </c>
      <c r="B6" s="24" t="s">
        <v>1419</v>
      </c>
      <c r="C6" s="24" t="s">
        <v>1420</v>
      </c>
      <c r="D6" s="24" t="s">
        <v>75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33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55</v>
      </c>
      <c r="B7" s="24" t="s">
        <v>1421</v>
      </c>
      <c r="C7" s="24" t="s">
        <v>1422</v>
      </c>
      <c r="D7" s="24" t="s">
        <v>75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33</v>
      </c>
      <c r="W7" s="21">
        <f t="shared" si="6"/>
        <v>2</v>
      </c>
      <c r="X7" s="26">
        <f t="shared" si="7"/>
        <v>80.5</v>
      </c>
    </row>
    <row r="8" spans="1:24" x14ac:dyDescent="0.25">
      <c r="A8" s="24" t="s">
        <v>57</v>
      </c>
      <c r="B8" s="24" t="s">
        <v>1423</v>
      </c>
      <c r="C8" s="24" t="s">
        <v>1424</v>
      </c>
      <c r="D8" s="24" t="s">
        <v>60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33</v>
      </c>
      <c r="K8" s="24">
        <v>1</v>
      </c>
      <c r="L8" s="25">
        <v>206.54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45</v>
      </c>
      <c r="B9" s="24" t="s">
        <v>1425</v>
      </c>
      <c r="C9" s="24" t="s">
        <v>1426</v>
      </c>
      <c r="D9" s="24" t="s">
        <v>68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35.51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0</v>
      </c>
    </row>
    <row r="10" spans="1:24" x14ac:dyDescent="0.25">
      <c r="A10" s="24" t="s">
        <v>55</v>
      </c>
      <c r="B10" s="24" t="s">
        <v>1427</v>
      </c>
      <c r="C10" s="24" t="s">
        <v>1428</v>
      </c>
      <c r="D10" s="24" t="s">
        <v>68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56</v>
      </c>
      <c r="W10" s="21">
        <f t="shared" si="6"/>
        <v>4</v>
      </c>
      <c r="X10" s="26">
        <f t="shared" si="7"/>
        <v>42.08</v>
      </c>
    </row>
    <row r="11" spans="1:24" x14ac:dyDescent="0.25">
      <c r="A11" s="24" t="s">
        <v>59</v>
      </c>
      <c r="B11" s="24" t="s">
        <v>1429</v>
      </c>
      <c r="C11" s="24" t="s">
        <v>1430</v>
      </c>
      <c r="D11" s="24" t="s">
        <v>70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33</v>
      </c>
      <c r="K11" s="24">
        <v>1</v>
      </c>
      <c r="L11" s="25">
        <v>0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57</v>
      </c>
      <c r="W11" s="21">
        <f t="shared" si="6"/>
        <v>2</v>
      </c>
      <c r="X11" s="26">
        <f t="shared" si="7"/>
        <v>245.39999999999998</v>
      </c>
    </row>
    <row r="12" spans="1:24" x14ac:dyDescent="0.25">
      <c r="A12" s="24" t="s">
        <v>55</v>
      </c>
      <c r="B12" s="24" t="s">
        <v>1431</v>
      </c>
      <c r="C12" s="24" t="s">
        <v>1432</v>
      </c>
      <c r="D12" s="24" t="s">
        <v>60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0</v>
      </c>
      <c r="M12" s="24" t="s">
        <v>168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61</v>
      </c>
      <c r="B13" s="24" t="s">
        <v>1433</v>
      </c>
      <c r="C13" s="24" t="s">
        <v>1434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33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66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63</v>
      </c>
      <c r="B14" s="24" t="s">
        <v>1435</v>
      </c>
      <c r="C14" s="24" t="s">
        <v>1436</v>
      </c>
      <c r="D14" s="24" t="s">
        <v>71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33</v>
      </c>
      <c r="W14" s="21">
        <f t="shared" si="6"/>
        <v>2</v>
      </c>
      <c r="X14" s="26">
        <f t="shared" si="7"/>
        <v>206.11</v>
      </c>
    </row>
    <row r="15" spans="1:24" x14ac:dyDescent="0.25">
      <c r="A15" s="24" t="s">
        <v>63</v>
      </c>
      <c r="B15" s="24" t="s">
        <v>1437</v>
      </c>
      <c r="C15" s="24" t="s">
        <v>1438</v>
      </c>
      <c r="D15" s="24" t="s">
        <v>80</v>
      </c>
      <c r="E15" s="24">
        <v>0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206.11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57</v>
      </c>
      <c r="B16" s="24" t="s">
        <v>1439</v>
      </c>
      <c r="C16" s="24" t="s">
        <v>1440</v>
      </c>
      <c r="D16" s="24" t="s">
        <v>66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38.86</v>
      </c>
      <c r="M16" s="24" t="s">
        <v>90</v>
      </c>
      <c r="P16" s="27" t="s">
        <v>115</v>
      </c>
      <c r="Q16" s="28">
        <f t="shared" ref="Q16:X16" si="8">SUM(E$4:E$63)</f>
        <v>15</v>
      </c>
      <c r="R16" s="28">
        <f t="shared" si="8"/>
        <v>2</v>
      </c>
      <c r="S16" s="28">
        <f t="shared" si="8"/>
        <v>0</v>
      </c>
      <c r="T16" s="28">
        <f t="shared" si="8"/>
        <v>3</v>
      </c>
      <c r="U16" s="28">
        <f t="shared" si="8"/>
        <v>0</v>
      </c>
      <c r="V16" s="29">
        <f t="shared" si="8"/>
        <v>312</v>
      </c>
      <c r="W16" s="28">
        <f t="shared" si="8"/>
        <v>17</v>
      </c>
      <c r="X16" s="29">
        <f t="shared" si="8"/>
        <v>789.03</v>
      </c>
    </row>
    <row r="17" spans="1:24" x14ac:dyDescent="0.25">
      <c r="A17" s="24" t="s">
        <v>43</v>
      </c>
      <c r="B17" s="24" t="s">
        <v>1441</v>
      </c>
      <c r="C17" s="24" t="s">
        <v>1442</v>
      </c>
      <c r="D17" s="24" t="s">
        <v>60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69.760000000000005</v>
      </c>
      <c r="M17" s="24" t="s">
        <v>90</v>
      </c>
    </row>
    <row r="18" spans="1:24" x14ac:dyDescent="0.25">
      <c r="A18" s="24" t="s">
        <v>49</v>
      </c>
      <c r="B18" s="24" t="s">
        <v>1443</v>
      </c>
      <c r="C18" s="24" t="s">
        <v>1444</v>
      </c>
      <c r="D18" s="24" t="s">
        <v>69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33</v>
      </c>
      <c r="K18" s="24">
        <v>1</v>
      </c>
      <c r="L18" s="25">
        <v>80.5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51</v>
      </c>
      <c r="B19" s="24" t="s">
        <v>1445</v>
      </c>
      <c r="C19" s="24" t="s">
        <v>1446</v>
      </c>
      <c r="D19" s="24" t="s">
        <v>67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1447</v>
      </c>
      <c r="C20" s="24" t="s">
        <v>1448</v>
      </c>
      <c r="D20" s="24" t="s">
        <v>44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42.08</v>
      </c>
      <c r="M20" s="24" t="s">
        <v>90</v>
      </c>
    </row>
    <row r="21" spans="1:24" x14ac:dyDescent="0.25">
      <c r="A21" s="24" t="s">
        <v>49</v>
      </c>
      <c r="B21" s="24" t="s">
        <v>1449</v>
      </c>
      <c r="C21" s="24" t="s">
        <v>1450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63</v>
      </c>
      <c r="B22" s="24" t="s">
        <v>1451</v>
      </c>
      <c r="C22" s="24" t="s">
        <v>1452</v>
      </c>
      <c r="D22" s="24" t="s">
        <v>69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1</v>
      </c>
      <c r="L22" s="25">
        <v>0</v>
      </c>
      <c r="M22" s="24" t="s">
        <v>90</v>
      </c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1453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1454</v>
      </c>
      <c r="C4" s="24" t="s">
        <v>1455</v>
      </c>
      <c r="D4" s="24" t="s">
        <v>74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182.66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326.52</v>
      </c>
    </row>
    <row r="5" spans="1:24" x14ac:dyDescent="0.25">
      <c r="A5" s="24" t="s">
        <v>43</v>
      </c>
      <c r="B5" s="24" t="s">
        <v>1456</v>
      </c>
      <c r="C5" s="24" t="s">
        <v>1457</v>
      </c>
      <c r="D5" s="24" t="s">
        <v>67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202.37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53.18</v>
      </c>
    </row>
    <row r="6" spans="1:24" x14ac:dyDescent="0.25">
      <c r="A6" s="24" t="s">
        <v>61</v>
      </c>
      <c r="B6" s="24" t="s">
        <v>1458</v>
      </c>
      <c r="C6" s="24" t="s">
        <v>1459</v>
      </c>
      <c r="D6" s="24" t="s">
        <v>73</v>
      </c>
      <c r="E6" s="24">
        <v>0</v>
      </c>
      <c r="F6" s="24">
        <v>1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2</v>
      </c>
      <c r="S6" s="21">
        <f t="shared" si="2"/>
        <v>0</v>
      </c>
      <c r="T6" s="21">
        <f t="shared" si="3"/>
        <v>1</v>
      </c>
      <c r="U6" s="21">
        <f t="shared" si="4"/>
        <v>1</v>
      </c>
      <c r="V6" s="26">
        <f t="shared" si="5"/>
        <v>0</v>
      </c>
      <c r="W6" s="21">
        <f t="shared" si="6"/>
        <v>3</v>
      </c>
      <c r="X6" s="26">
        <f t="shared" si="7"/>
        <v>138.32</v>
      </c>
    </row>
    <row r="7" spans="1:24" x14ac:dyDescent="0.25">
      <c r="A7" s="24" t="s">
        <v>49</v>
      </c>
      <c r="B7" s="24" t="s">
        <v>1460</v>
      </c>
      <c r="C7" s="24" t="s">
        <v>1461</v>
      </c>
      <c r="D7" s="24" t="s">
        <v>46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16</v>
      </c>
      <c r="K7" s="24">
        <v>1</v>
      </c>
      <c r="L7" s="25">
        <v>187.83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1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66</v>
      </c>
      <c r="W7" s="21">
        <f t="shared" si="6"/>
        <v>4</v>
      </c>
      <c r="X7" s="26">
        <f t="shared" si="7"/>
        <v>392.22</v>
      </c>
    </row>
    <row r="8" spans="1:24" x14ac:dyDescent="0.25">
      <c r="A8" s="24" t="s">
        <v>55</v>
      </c>
      <c r="B8" s="24" t="s">
        <v>1462</v>
      </c>
      <c r="C8" s="24" t="s">
        <v>1463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16</v>
      </c>
      <c r="K8" s="24">
        <v>1</v>
      </c>
      <c r="L8" s="25">
        <v>0</v>
      </c>
      <c r="M8" s="24" t="s">
        <v>168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1</v>
      </c>
      <c r="V8" s="26">
        <f t="shared" si="5"/>
        <v>0</v>
      </c>
      <c r="W8" s="21">
        <f t="shared" si="6"/>
        <v>3</v>
      </c>
      <c r="X8" s="26">
        <f t="shared" si="7"/>
        <v>134.82999999999998</v>
      </c>
    </row>
    <row r="9" spans="1:24" x14ac:dyDescent="0.25">
      <c r="A9" s="24" t="s">
        <v>59</v>
      </c>
      <c r="B9" s="24" t="s">
        <v>1464</v>
      </c>
      <c r="C9" s="24" t="s">
        <v>1465</v>
      </c>
      <c r="D9" s="24" t="s">
        <v>76</v>
      </c>
      <c r="E9" s="24">
        <v>0</v>
      </c>
      <c r="F9" s="24">
        <v>0</v>
      </c>
      <c r="G9" s="24">
        <v>0</v>
      </c>
      <c r="H9" s="24">
        <v>0</v>
      </c>
      <c r="I9" s="24">
        <v>1</v>
      </c>
      <c r="J9" s="25">
        <v>0</v>
      </c>
      <c r="K9" s="24">
        <v>1</v>
      </c>
      <c r="L9" s="25">
        <v>49.68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51</v>
      </c>
      <c r="W9" s="21">
        <f t="shared" si="6"/>
        <v>3</v>
      </c>
      <c r="X9" s="26">
        <f t="shared" si="7"/>
        <v>225.44</v>
      </c>
    </row>
    <row r="10" spans="1:24" x14ac:dyDescent="0.25">
      <c r="A10" s="24" t="s">
        <v>53</v>
      </c>
      <c r="B10" s="24" t="s">
        <v>1466</v>
      </c>
      <c r="C10" s="24" t="s">
        <v>1467</v>
      </c>
      <c r="D10" s="24" t="s">
        <v>74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174.17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31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47</v>
      </c>
      <c r="B11" s="24" t="s">
        <v>1468</v>
      </c>
      <c r="C11" s="24" t="s">
        <v>1469</v>
      </c>
      <c r="D11" s="24" t="s">
        <v>79</v>
      </c>
      <c r="E11" s="24">
        <v>0</v>
      </c>
      <c r="F11" s="24">
        <v>1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51</v>
      </c>
      <c r="B12" s="24" t="s">
        <v>1470</v>
      </c>
      <c r="C12" s="24" t="s">
        <v>1471</v>
      </c>
      <c r="D12" s="24" t="s">
        <v>69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54.39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1</v>
      </c>
      <c r="V12" s="26">
        <f t="shared" si="5"/>
        <v>16</v>
      </c>
      <c r="W12" s="21">
        <f t="shared" si="6"/>
        <v>2</v>
      </c>
      <c r="X12" s="26">
        <f t="shared" si="7"/>
        <v>263.68</v>
      </c>
    </row>
    <row r="13" spans="1:24" x14ac:dyDescent="0.25">
      <c r="A13" s="24" t="s">
        <v>63</v>
      </c>
      <c r="B13" s="24" t="s">
        <v>1472</v>
      </c>
      <c r="C13" s="24" t="s">
        <v>1473</v>
      </c>
      <c r="D13" s="24" t="s">
        <v>78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0</v>
      </c>
      <c r="K13" s="24">
        <v>0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2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16</v>
      </c>
      <c r="W13" s="21">
        <f t="shared" si="6"/>
        <v>2</v>
      </c>
      <c r="X13" s="26">
        <f t="shared" si="7"/>
        <v>189.14</v>
      </c>
    </row>
    <row r="14" spans="1:24" x14ac:dyDescent="0.25">
      <c r="A14" s="24" t="s">
        <v>47</v>
      </c>
      <c r="B14" s="24" t="s">
        <v>1474</v>
      </c>
      <c r="C14" s="24" t="s">
        <v>1475</v>
      </c>
      <c r="D14" s="24" t="s">
        <v>71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138.32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57</v>
      </c>
      <c r="W14" s="21">
        <f t="shared" si="6"/>
        <v>2</v>
      </c>
      <c r="X14" s="26">
        <f t="shared" si="7"/>
        <v>182.66</v>
      </c>
    </row>
    <row r="15" spans="1:24" x14ac:dyDescent="0.25">
      <c r="A15" s="24" t="s">
        <v>47</v>
      </c>
      <c r="B15" s="24" t="s">
        <v>1476</v>
      </c>
      <c r="C15" s="24" t="s">
        <v>1477</v>
      </c>
      <c r="D15" s="24" t="s">
        <v>50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0</v>
      </c>
      <c r="V15" s="26">
        <f t="shared" si="5"/>
        <v>15</v>
      </c>
      <c r="W15" s="21">
        <f t="shared" si="6"/>
        <v>2</v>
      </c>
      <c r="X15" s="26">
        <f t="shared" si="7"/>
        <v>332.68</v>
      </c>
    </row>
    <row r="16" spans="1:24" x14ac:dyDescent="0.25">
      <c r="A16" s="24" t="s">
        <v>49</v>
      </c>
      <c r="B16" s="24" t="s">
        <v>1478</v>
      </c>
      <c r="C16" s="24" t="s">
        <v>1479</v>
      </c>
      <c r="D16" s="24" t="s">
        <v>50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90.13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6</v>
      </c>
      <c r="S16" s="28">
        <f t="shared" si="8"/>
        <v>1</v>
      </c>
      <c r="T16" s="28">
        <f t="shared" si="8"/>
        <v>6</v>
      </c>
      <c r="U16" s="28">
        <f t="shared" si="8"/>
        <v>3</v>
      </c>
      <c r="V16" s="29">
        <f t="shared" si="8"/>
        <v>285</v>
      </c>
      <c r="W16" s="28">
        <f t="shared" si="8"/>
        <v>27</v>
      </c>
      <c r="X16" s="29">
        <f t="shared" si="8"/>
        <v>2238.67</v>
      </c>
    </row>
    <row r="17" spans="1:24" x14ac:dyDescent="0.25">
      <c r="A17" s="24" t="s">
        <v>59</v>
      </c>
      <c r="B17" s="24" t="s">
        <v>1480</v>
      </c>
      <c r="C17" s="24" t="s">
        <v>1481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16</v>
      </c>
      <c r="K17" s="24">
        <v>1</v>
      </c>
      <c r="L17" s="25">
        <v>214</v>
      </c>
      <c r="M17" s="24" t="s">
        <v>90</v>
      </c>
    </row>
    <row r="18" spans="1:24" x14ac:dyDescent="0.25">
      <c r="A18" s="24" t="s">
        <v>65</v>
      </c>
      <c r="B18" s="24" t="s">
        <v>1482</v>
      </c>
      <c r="C18" s="24" t="s">
        <v>1483</v>
      </c>
      <c r="D18" s="24" t="s">
        <v>68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0</v>
      </c>
      <c r="K18" s="24">
        <v>1</v>
      </c>
      <c r="L18" s="25">
        <v>144.02000000000001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53</v>
      </c>
      <c r="B19" s="24" t="s">
        <v>1484</v>
      </c>
      <c r="C19" s="24" t="s">
        <v>1485</v>
      </c>
      <c r="D19" s="24" t="s">
        <v>66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168</v>
      </c>
    </row>
    <row r="20" spans="1:24" x14ac:dyDescent="0.25">
      <c r="A20" s="24" t="s">
        <v>65</v>
      </c>
      <c r="B20" s="24" t="s">
        <v>1486</v>
      </c>
      <c r="C20" s="24" t="s">
        <v>1487</v>
      </c>
      <c r="D20" s="24" t="s">
        <v>46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188.66</v>
      </c>
      <c r="M20" s="24" t="s">
        <v>90</v>
      </c>
    </row>
    <row r="21" spans="1:24" x14ac:dyDescent="0.25">
      <c r="A21" s="24" t="s">
        <v>57</v>
      </c>
      <c r="B21" s="24" t="s">
        <v>1488</v>
      </c>
      <c r="C21" s="24" t="s">
        <v>1489</v>
      </c>
      <c r="D21" s="24" t="s">
        <v>58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33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53</v>
      </c>
      <c r="B22" s="24" t="s">
        <v>1490</v>
      </c>
      <c r="C22" s="24" t="s">
        <v>1491</v>
      </c>
      <c r="D22" s="24" t="s">
        <v>52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51.27</v>
      </c>
      <c r="M22" s="24" t="s">
        <v>90</v>
      </c>
    </row>
    <row r="23" spans="1:24" x14ac:dyDescent="0.25">
      <c r="A23" s="24" t="s">
        <v>61</v>
      </c>
      <c r="B23" s="24" t="s">
        <v>1492</v>
      </c>
      <c r="C23" s="24" t="s">
        <v>1493</v>
      </c>
      <c r="D23" s="24" t="s">
        <v>68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189.14</v>
      </c>
      <c r="M23" s="24" t="s">
        <v>90</v>
      </c>
    </row>
    <row r="24" spans="1:24" x14ac:dyDescent="0.25">
      <c r="A24" s="24" t="s">
        <v>47</v>
      </c>
      <c r="B24" s="24" t="s">
        <v>1494</v>
      </c>
      <c r="C24" s="24" t="s">
        <v>1495</v>
      </c>
      <c r="D24" s="24" t="s">
        <v>76</v>
      </c>
      <c r="E24" s="24">
        <v>0</v>
      </c>
      <c r="F24" s="24">
        <v>0</v>
      </c>
      <c r="G24" s="24">
        <v>0</v>
      </c>
      <c r="H24" s="24">
        <v>0</v>
      </c>
      <c r="I24" s="24">
        <v>1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51</v>
      </c>
      <c r="B25" s="24" t="s">
        <v>1496</v>
      </c>
      <c r="C25" s="24" t="s">
        <v>1497</v>
      </c>
      <c r="D25" s="24" t="s">
        <v>77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80.44</v>
      </c>
      <c r="M25" s="24" t="s">
        <v>90</v>
      </c>
    </row>
    <row r="26" spans="1:24" x14ac:dyDescent="0.25">
      <c r="A26" s="24" t="s">
        <v>55</v>
      </c>
      <c r="B26" s="24" t="s">
        <v>1498</v>
      </c>
      <c r="C26" s="24" t="s">
        <v>1499</v>
      </c>
      <c r="D26" s="24" t="s">
        <v>79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0</v>
      </c>
      <c r="L26" s="25">
        <v>0</v>
      </c>
      <c r="M26" s="24" t="s">
        <v>90</v>
      </c>
    </row>
    <row r="27" spans="1:24" x14ac:dyDescent="0.25">
      <c r="A27" s="24" t="s">
        <v>55</v>
      </c>
      <c r="B27" s="24" t="s">
        <v>1500</v>
      </c>
      <c r="C27" s="24" t="s">
        <v>1501</v>
      </c>
      <c r="D27" s="24" t="s">
        <v>79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0</v>
      </c>
      <c r="M27" s="24" t="s">
        <v>168</v>
      </c>
    </row>
    <row r="28" spans="1:24" x14ac:dyDescent="0.25">
      <c r="A28" s="24" t="s">
        <v>49</v>
      </c>
      <c r="B28" s="24" t="s">
        <v>1502</v>
      </c>
      <c r="C28" s="24" t="s">
        <v>1503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18</v>
      </c>
      <c r="K28" s="24">
        <v>1</v>
      </c>
      <c r="L28" s="25">
        <v>114.26</v>
      </c>
      <c r="M28" s="24" t="s">
        <v>90</v>
      </c>
    </row>
    <row r="29" spans="1:24" x14ac:dyDescent="0.25">
      <c r="A29" s="24" t="s">
        <v>63</v>
      </c>
      <c r="B29" s="24" t="s">
        <v>1504</v>
      </c>
      <c r="C29" s="24" t="s">
        <v>1505</v>
      </c>
      <c r="D29" s="24" t="s">
        <v>50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24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55</v>
      </c>
      <c r="B30" s="24" t="s">
        <v>1506</v>
      </c>
      <c r="C30" s="24" t="s">
        <v>1507</v>
      </c>
      <c r="D30" s="24" t="s">
        <v>54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43</v>
      </c>
      <c r="B31" s="24" t="s">
        <v>1508</v>
      </c>
      <c r="C31" s="24" t="s">
        <v>1509</v>
      </c>
      <c r="D31" s="24" t="s">
        <v>48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124.15</v>
      </c>
      <c r="M31" s="24" t="s">
        <v>90</v>
      </c>
    </row>
    <row r="32" spans="1:24" x14ac:dyDescent="0.25">
      <c r="A32" s="24" t="s">
        <v>49</v>
      </c>
      <c r="B32" s="24" t="s">
        <v>1510</v>
      </c>
      <c r="C32" s="24" t="s">
        <v>1511</v>
      </c>
      <c r="D32" s="24" t="s">
        <v>48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16</v>
      </c>
      <c r="K32" s="24">
        <v>1</v>
      </c>
      <c r="L32" s="25">
        <v>0</v>
      </c>
      <c r="M32" s="24" t="s">
        <v>90</v>
      </c>
    </row>
    <row r="33" spans="1:13" x14ac:dyDescent="0.25">
      <c r="A33" s="24" t="s">
        <v>51</v>
      </c>
      <c r="B33" s="24" t="s">
        <v>1512</v>
      </c>
      <c r="C33" s="24" t="s">
        <v>1513</v>
      </c>
      <c r="D33" s="24" t="s">
        <v>76</v>
      </c>
      <c r="E33" s="24">
        <v>0</v>
      </c>
      <c r="F33" s="24">
        <v>0</v>
      </c>
      <c r="G33" s="24">
        <v>0</v>
      </c>
      <c r="H33" s="24">
        <v>0</v>
      </c>
      <c r="I33" s="24">
        <v>1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45</v>
      </c>
      <c r="B34" s="24" t="s">
        <v>1514</v>
      </c>
      <c r="C34" s="24" t="s">
        <v>1515</v>
      </c>
      <c r="D34" s="24" t="s">
        <v>69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53.18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1516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1517</v>
      </c>
      <c r="C4" s="24" t="s">
        <v>1518</v>
      </c>
      <c r="D4" s="24" t="s">
        <v>46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75.98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16</v>
      </c>
      <c r="W4" s="21">
        <f t="shared" ref="W4:W15" si="6">SUMIF($A$4:$A$63,$P4,K$4:K$63)</f>
        <v>2</v>
      </c>
      <c r="X4" s="26">
        <f t="shared" ref="X4:X15" si="7">SUMIF($A$4:$A$63,$P4,L$4:L$63)</f>
        <v>430.99</v>
      </c>
    </row>
    <row r="5" spans="1:24" x14ac:dyDescent="0.25">
      <c r="A5" s="24" t="s">
        <v>55</v>
      </c>
      <c r="B5" s="24" t="s">
        <v>1519</v>
      </c>
      <c r="C5" s="24" t="s">
        <v>1520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53</v>
      </c>
      <c r="B6" s="24" t="s">
        <v>1521</v>
      </c>
      <c r="C6" s="24" t="s">
        <v>1522</v>
      </c>
      <c r="D6" s="24" t="s">
        <v>76</v>
      </c>
      <c r="E6" s="24">
        <v>0</v>
      </c>
      <c r="F6" s="24">
        <v>0</v>
      </c>
      <c r="G6" s="24">
        <v>0</v>
      </c>
      <c r="H6" s="24">
        <v>0</v>
      </c>
      <c r="I6" s="24">
        <v>1</v>
      </c>
      <c r="J6" s="25">
        <v>0</v>
      </c>
      <c r="K6" s="24">
        <v>1</v>
      </c>
      <c r="L6" s="25">
        <v>15.37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18</v>
      </c>
      <c r="W6" s="21">
        <f t="shared" si="6"/>
        <v>1</v>
      </c>
      <c r="X6" s="26">
        <f t="shared" si="7"/>
        <v>58.41</v>
      </c>
    </row>
    <row r="7" spans="1:24" x14ac:dyDescent="0.25">
      <c r="A7" s="24" t="s">
        <v>53</v>
      </c>
      <c r="B7" s="24" t="s">
        <v>1523</v>
      </c>
      <c r="C7" s="24" t="s">
        <v>1524</v>
      </c>
      <c r="D7" s="24" t="s">
        <v>52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142</v>
      </c>
    </row>
    <row r="8" spans="1:24" x14ac:dyDescent="0.25">
      <c r="A8" s="24" t="s">
        <v>57</v>
      </c>
      <c r="B8" s="24" t="s">
        <v>1525</v>
      </c>
      <c r="C8" s="24" t="s">
        <v>1526</v>
      </c>
      <c r="D8" s="24" t="s">
        <v>44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211.83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24</v>
      </c>
      <c r="W8" s="21">
        <f t="shared" si="6"/>
        <v>1</v>
      </c>
      <c r="X8" s="26">
        <f t="shared" si="7"/>
        <v>42.02</v>
      </c>
    </row>
    <row r="9" spans="1:24" x14ac:dyDescent="0.25">
      <c r="A9" s="24" t="s">
        <v>51</v>
      </c>
      <c r="B9" s="24" t="s">
        <v>1527</v>
      </c>
      <c r="C9" s="24" t="s">
        <v>1528</v>
      </c>
      <c r="D9" s="24" t="s">
        <v>64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24</v>
      </c>
      <c r="K9" s="24">
        <v>1</v>
      </c>
      <c r="L9" s="25">
        <v>42.02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1</v>
      </c>
      <c r="V9" s="26">
        <f t="shared" si="5"/>
        <v>15</v>
      </c>
      <c r="W9" s="21">
        <f t="shared" si="6"/>
        <v>3</v>
      </c>
      <c r="X9" s="26">
        <f t="shared" si="7"/>
        <v>118.71000000000001</v>
      </c>
    </row>
    <row r="10" spans="1:24" x14ac:dyDescent="0.25">
      <c r="A10" s="24" t="s">
        <v>59</v>
      </c>
      <c r="B10" s="24" t="s">
        <v>1529</v>
      </c>
      <c r="C10" s="24" t="s">
        <v>1530</v>
      </c>
      <c r="D10" s="24" t="s">
        <v>56</v>
      </c>
      <c r="E10" s="24">
        <v>0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4</v>
      </c>
      <c r="X10" s="26">
        <f t="shared" si="7"/>
        <v>95.6</v>
      </c>
    </row>
    <row r="11" spans="1:24" x14ac:dyDescent="0.25">
      <c r="A11" s="24" t="s">
        <v>59</v>
      </c>
      <c r="B11" s="24" t="s">
        <v>1531</v>
      </c>
      <c r="C11" s="24" t="s">
        <v>1532</v>
      </c>
      <c r="D11" s="24" t="s">
        <v>73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162.56</v>
      </c>
      <c r="M11" s="24" t="s">
        <v>168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4</v>
      </c>
      <c r="X11" s="26">
        <f t="shared" si="7"/>
        <v>465.89000000000004</v>
      </c>
    </row>
    <row r="12" spans="1:24" x14ac:dyDescent="0.25">
      <c r="A12" s="24" t="s">
        <v>43</v>
      </c>
      <c r="B12" s="24" t="s">
        <v>1533</v>
      </c>
      <c r="C12" s="24" t="s">
        <v>1534</v>
      </c>
      <c r="D12" s="24" t="s">
        <v>80</v>
      </c>
      <c r="E12" s="24">
        <v>0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0</v>
      </c>
      <c r="L12" s="25">
        <v>155.35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5</v>
      </c>
      <c r="X12" s="26">
        <f t="shared" si="7"/>
        <v>277.52999999999997</v>
      </c>
    </row>
    <row r="13" spans="1:24" x14ac:dyDescent="0.25">
      <c r="A13" s="24" t="s">
        <v>53</v>
      </c>
      <c r="B13" s="24" t="s">
        <v>1535</v>
      </c>
      <c r="C13" s="24" t="s">
        <v>1536</v>
      </c>
      <c r="D13" s="24" t="s">
        <v>79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0</v>
      </c>
      <c r="L13" s="25">
        <v>27.36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0</v>
      </c>
      <c r="W13" s="21">
        <f t="shared" si="6"/>
        <v>2</v>
      </c>
      <c r="X13" s="26">
        <f t="shared" si="7"/>
        <v>3.32</v>
      </c>
    </row>
    <row r="14" spans="1:24" x14ac:dyDescent="0.25">
      <c r="A14" s="24" t="s">
        <v>57</v>
      </c>
      <c r="B14" s="24" t="s">
        <v>1537</v>
      </c>
      <c r="C14" s="24" t="s">
        <v>1538</v>
      </c>
      <c r="D14" s="24" t="s">
        <v>56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33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61</v>
      </c>
      <c r="B15" s="24" t="s">
        <v>1539</v>
      </c>
      <c r="C15" s="24" t="s">
        <v>1540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15</v>
      </c>
      <c r="W15" s="21">
        <f t="shared" si="6"/>
        <v>2</v>
      </c>
      <c r="X15" s="26">
        <f t="shared" si="7"/>
        <v>143.38</v>
      </c>
    </row>
    <row r="16" spans="1:24" x14ac:dyDescent="0.25">
      <c r="A16" s="24" t="s">
        <v>55</v>
      </c>
      <c r="B16" s="24" t="s">
        <v>1541</v>
      </c>
      <c r="C16" s="24" t="s">
        <v>1542</v>
      </c>
      <c r="D16" s="24" t="s">
        <v>71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2</v>
      </c>
      <c r="S16" s="28">
        <f t="shared" si="8"/>
        <v>0</v>
      </c>
      <c r="T16" s="28">
        <f t="shared" si="8"/>
        <v>6</v>
      </c>
      <c r="U16" s="28">
        <f t="shared" si="8"/>
        <v>2</v>
      </c>
      <c r="V16" s="29">
        <f t="shared" si="8"/>
        <v>121</v>
      </c>
      <c r="W16" s="28">
        <f t="shared" si="8"/>
        <v>26</v>
      </c>
      <c r="X16" s="29">
        <f t="shared" si="8"/>
        <v>1777.85</v>
      </c>
    </row>
    <row r="17" spans="1:24" x14ac:dyDescent="0.25">
      <c r="A17" s="24" t="s">
        <v>47</v>
      </c>
      <c r="B17" s="24" t="s">
        <v>1543</v>
      </c>
      <c r="C17" s="24" t="s">
        <v>1544</v>
      </c>
      <c r="D17" s="24" t="s">
        <v>66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18</v>
      </c>
      <c r="K17" s="24">
        <v>1</v>
      </c>
      <c r="L17" s="25">
        <v>58.41</v>
      </c>
      <c r="M17" s="24" t="s">
        <v>90</v>
      </c>
    </row>
    <row r="18" spans="1:24" x14ac:dyDescent="0.25">
      <c r="A18" s="24" t="s">
        <v>55</v>
      </c>
      <c r="B18" s="24" t="s">
        <v>1545</v>
      </c>
      <c r="C18" s="24" t="s">
        <v>1546</v>
      </c>
      <c r="D18" s="24" t="s">
        <v>74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45</v>
      </c>
      <c r="B19" s="24" t="s">
        <v>1547</v>
      </c>
      <c r="C19" s="24" t="s">
        <v>1548</v>
      </c>
      <c r="D19" s="24" t="s">
        <v>48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57</v>
      </c>
      <c r="B20" s="24" t="s">
        <v>1549</v>
      </c>
      <c r="C20" s="24" t="s">
        <v>1550</v>
      </c>
      <c r="D20" s="24" t="s">
        <v>66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191.01</v>
      </c>
      <c r="M20" s="24" t="s">
        <v>90</v>
      </c>
    </row>
    <row r="21" spans="1:24" x14ac:dyDescent="0.25">
      <c r="A21" s="24" t="s">
        <v>49</v>
      </c>
      <c r="B21" s="24" t="s">
        <v>1551</v>
      </c>
      <c r="C21" s="24" t="s">
        <v>1552</v>
      </c>
      <c r="D21" s="24" t="s">
        <v>50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57</v>
      </c>
      <c r="B22" s="24" t="s">
        <v>1553</v>
      </c>
      <c r="C22" s="24" t="s">
        <v>1554</v>
      </c>
      <c r="D22" s="24" t="s">
        <v>75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63.05</v>
      </c>
      <c r="M22" s="24" t="s">
        <v>90</v>
      </c>
    </row>
    <row r="23" spans="1:24" x14ac:dyDescent="0.25">
      <c r="A23" s="24" t="s">
        <v>59</v>
      </c>
      <c r="B23" s="24" t="s">
        <v>1555</v>
      </c>
      <c r="C23" s="24" t="s">
        <v>1556</v>
      </c>
      <c r="D23" s="24" t="s">
        <v>73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55</v>
      </c>
      <c r="B24" s="24" t="s">
        <v>1557</v>
      </c>
      <c r="C24" s="24" t="s">
        <v>1558</v>
      </c>
      <c r="D24" s="24" t="s">
        <v>56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95.6</v>
      </c>
      <c r="M24" s="24" t="s">
        <v>90</v>
      </c>
    </row>
    <row r="25" spans="1:24" x14ac:dyDescent="0.25">
      <c r="A25" s="24" t="s">
        <v>65</v>
      </c>
      <c r="B25" s="24" t="s">
        <v>1559</v>
      </c>
      <c r="C25" s="24" t="s">
        <v>1560</v>
      </c>
      <c r="D25" s="24" t="s">
        <v>67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15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43</v>
      </c>
      <c r="B26" s="24" t="s">
        <v>1561</v>
      </c>
      <c r="C26" s="24" t="s">
        <v>1562</v>
      </c>
      <c r="D26" s="24" t="s">
        <v>62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82.25</v>
      </c>
      <c r="M26" s="24" t="s">
        <v>90</v>
      </c>
    </row>
    <row r="27" spans="1:24" x14ac:dyDescent="0.25">
      <c r="A27" s="24" t="s">
        <v>59</v>
      </c>
      <c r="B27" s="24" t="s">
        <v>1563</v>
      </c>
      <c r="C27" s="24" t="s">
        <v>1564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114.97</v>
      </c>
      <c r="M27" s="24" t="s">
        <v>90</v>
      </c>
    </row>
    <row r="28" spans="1:24" x14ac:dyDescent="0.25">
      <c r="A28" s="24" t="s">
        <v>43</v>
      </c>
      <c r="B28" s="24" t="s">
        <v>1565</v>
      </c>
      <c r="C28" s="24" t="s">
        <v>1566</v>
      </c>
      <c r="D28" s="24" t="s">
        <v>62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193.39</v>
      </c>
      <c r="M28" s="24" t="s">
        <v>168</v>
      </c>
    </row>
    <row r="29" spans="1:24" x14ac:dyDescent="0.25">
      <c r="A29" s="24" t="s">
        <v>43</v>
      </c>
      <c r="B29" s="24" t="s">
        <v>1567</v>
      </c>
      <c r="C29" s="24" t="s">
        <v>1568</v>
      </c>
      <c r="D29" s="24" t="s">
        <v>79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61</v>
      </c>
      <c r="B30" s="24" t="s">
        <v>1569</v>
      </c>
      <c r="C30" s="24" t="s">
        <v>1570</v>
      </c>
      <c r="D30" s="24" t="s">
        <v>77</v>
      </c>
      <c r="E30" s="24">
        <v>0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3.32</v>
      </c>
      <c r="M30" s="24" t="s">
        <v>90</v>
      </c>
    </row>
    <row r="31" spans="1:24" x14ac:dyDescent="0.25">
      <c r="A31" s="24" t="s">
        <v>65</v>
      </c>
      <c r="B31" s="24" t="s">
        <v>1571</v>
      </c>
      <c r="C31" s="24" t="s">
        <v>1572</v>
      </c>
      <c r="D31" s="24" t="s">
        <v>69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143.38</v>
      </c>
      <c r="M31" s="24" t="s">
        <v>90</v>
      </c>
    </row>
    <row r="32" spans="1:24" x14ac:dyDescent="0.25">
      <c r="A32" s="24" t="s">
        <v>49</v>
      </c>
      <c r="B32" s="24" t="s">
        <v>1573</v>
      </c>
      <c r="C32" s="24" t="s">
        <v>1574</v>
      </c>
      <c r="D32" s="24" t="s">
        <v>80</v>
      </c>
      <c r="E32" s="24">
        <v>0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0</v>
      </c>
      <c r="L32" s="25">
        <v>142</v>
      </c>
      <c r="M32" s="24" t="s">
        <v>90</v>
      </c>
    </row>
    <row r="33" spans="1:13" x14ac:dyDescent="0.25">
      <c r="A33" s="24" t="s">
        <v>59</v>
      </c>
      <c r="B33" s="24" t="s">
        <v>1575</v>
      </c>
      <c r="C33" s="24" t="s">
        <v>1576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1578</v>
      </c>
      <c r="C4" s="24" t="s">
        <v>1579</v>
      </c>
      <c r="D4" s="24" t="s">
        <v>80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87.44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1</v>
      </c>
      <c r="S4" s="21">
        <f t="shared" ref="S4:S15" si="2">SUMIF($A$4:$A$63,$P4,G$4:G$63)</f>
        <v>1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55</v>
      </c>
      <c r="W4" s="21">
        <f t="shared" ref="W4:W15" si="6">SUMIF($A$4:$A$63,$P4,K$4:K$63)</f>
        <v>4</v>
      </c>
      <c r="X4" s="26">
        <f t="shared" ref="X4:X15" si="7">SUMIF($A$4:$A$63,$P4,L$4:L$63)</f>
        <v>297.82</v>
      </c>
    </row>
    <row r="5" spans="1:24" x14ac:dyDescent="0.25">
      <c r="A5" s="24" t="s">
        <v>43</v>
      </c>
      <c r="B5" s="24" t="s">
        <v>1580</v>
      </c>
      <c r="C5" s="24" t="s">
        <v>1581</v>
      </c>
      <c r="D5" s="24" t="s">
        <v>67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129.16999999999999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1</v>
      </c>
      <c r="S5" s="21">
        <f t="shared" si="2"/>
        <v>1</v>
      </c>
      <c r="T5" s="21">
        <f t="shared" si="3"/>
        <v>1</v>
      </c>
      <c r="U5" s="21">
        <f t="shared" si="4"/>
        <v>0</v>
      </c>
      <c r="V5" s="26">
        <f t="shared" si="5"/>
        <v>99</v>
      </c>
      <c r="W5" s="21">
        <f t="shared" si="6"/>
        <v>4</v>
      </c>
      <c r="X5" s="26">
        <f t="shared" si="7"/>
        <v>162.16000000000003</v>
      </c>
    </row>
    <row r="6" spans="1:24" x14ac:dyDescent="0.25">
      <c r="A6" s="24" t="s">
        <v>49</v>
      </c>
      <c r="B6" s="24" t="s">
        <v>1582</v>
      </c>
      <c r="C6" s="24" t="s">
        <v>1583</v>
      </c>
      <c r="D6" s="24" t="s">
        <v>66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18</v>
      </c>
      <c r="W6" s="21">
        <f t="shared" si="6"/>
        <v>2</v>
      </c>
      <c r="X6" s="26">
        <f t="shared" si="7"/>
        <v>72.2</v>
      </c>
    </row>
    <row r="7" spans="1:24" x14ac:dyDescent="0.25">
      <c r="A7" s="24" t="s">
        <v>61</v>
      </c>
      <c r="B7" s="24" t="s">
        <v>1584</v>
      </c>
      <c r="C7" s="24" t="s">
        <v>1585</v>
      </c>
      <c r="D7" s="24" t="s">
        <v>72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24</v>
      </c>
      <c r="W7" s="21">
        <f t="shared" si="6"/>
        <v>3</v>
      </c>
      <c r="X7" s="26">
        <f t="shared" si="7"/>
        <v>12.54</v>
      </c>
    </row>
    <row r="8" spans="1:24" x14ac:dyDescent="0.25">
      <c r="A8" s="24" t="s">
        <v>45</v>
      </c>
      <c r="B8" s="24" t="s">
        <v>1586</v>
      </c>
      <c r="C8" s="24" t="s">
        <v>1587</v>
      </c>
      <c r="D8" s="24" t="s">
        <v>50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24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55</v>
      </c>
      <c r="B9" s="24" t="s">
        <v>1588</v>
      </c>
      <c r="C9" s="24" t="s">
        <v>1589</v>
      </c>
      <c r="D9" s="24" t="s">
        <v>70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0</v>
      </c>
    </row>
    <row r="10" spans="1:24" x14ac:dyDescent="0.25">
      <c r="A10" s="24" t="s">
        <v>49</v>
      </c>
      <c r="B10" s="24" t="s">
        <v>1590</v>
      </c>
      <c r="C10" s="24" t="s">
        <v>1591</v>
      </c>
      <c r="D10" s="24" t="s">
        <v>76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1</v>
      </c>
      <c r="S10" s="21">
        <f t="shared" si="2"/>
        <v>0</v>
      </c>
      <c r="T10" s="21">
        <f t="shared" si="3"/>
        <v>3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46.69</v>
      </c>
    </row>
    <row r="11" spans="1:24" x14ac:dyDescent="0.25">
      <c r="A11" s="24" t="s">
        <v>45</v>
      </c>
      <c r="B11" s="24" t="s">
        <v>1592</v>
      </c>
      <c r="C11" s="24" t="s">
        <v>1593</v>
      </c>
      <c r="D11" s="24" t="s">
        <v>67</v>
      </c>
      <c r="E11" s="24">
        <v>0</v>
      </c>
      <c r="F11" s="24">
        <v>1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80.650000000000006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1</v>
      </c>
      <c r="V11" s="26">
        <f t="shared" si="5"/>
        <v>0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57</v>
      </c>
      <c r="B12" s="24" t="s">
        <v>1594</v>
      </c>
      <c r="C12" s="24" t="s">
        <v>1595</v>
      </c>
      <c r="D12" s="24" t="s">
        <v>76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43</v>
      </c>
      <c r="B13" s="24" t="s">
        <v>1596</v>
      </c>
      <c r="C13" s="24" t="s">
        <v>1597</v>
      </c>
      <c r="D13" s="24" t="s">
        <v>62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109.04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2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33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45</v>
      </c>
      <c r="B14" s="24" t="s">
        <v>1598</v>
      </c>
      <c r="C14" s="24" t="s">
        <v>1599</v>
      </c>
      <c r="D14" s="24" t="s">
        <v>77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3</v>
      </c>
      <c r="R14" s="21">
        <f t="shared" si="1"/>
        <v>0</v>
      </c>
      <c r="S14" s="21">
        <f t="shared" si="2"/>
        <v>0</v>
      </c>
      <c r="T14" s="21">
        <f t="shared" si="3"/>
        <v>3</v>
      </c>
      <c r="U14" s="21">
        <f t="shared" si="4"/>
        <v>0</v>
      </c>
      <c r="V14" s="26">
        <f t="shared" si="5"/>
        <v>34</v>
      </c>
      <c r="W14" s="21">
        <f t="shared" si="6"/>
        <v>3</v>
      </c>
      <c r="X14" s="26">
        <f t="shared" si="7"/>
        <v>199.89</v>
      </c>
    </row>
    <row r="15" spans="1:24" x14ac:dyDescent="0.25">
      <c r="A15" s="24" t="s">
        <v>53</v>
      </c>
      <c r="B15" s="24" t="s">
        <v>1600</v>
      </c>
      <c r="C15" s="24" t="s">
        <v>1601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45</v>
      </c>
      <c r="B16" s="24" t="s">
        <v>1602</v>
      </c>
      <c r="C16" s="24" t="s">
        <v>1603</v>
      </c>
      <c r="D16" s="24" t="s">
        <v>78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0</v>
      </c>
      <c r="L16" s="25">
        <v>81.510000000000005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5</v>
      </c>
      <c r="S16" s="28">
        <f t="shared" si="8"/>
        <v>2</v>
      </c>
      <c r="T16" s="28">
        <f t="shared" si="8"/>
        <v>10</v>
      </c>
      <c r="U16" s="28">
        <f t="shared" si="8"/>
        <v>2</v>
      </c>
      <c r="V16" s="29">
        <f t="shared" si="8"/>
        <v>296</v>
      </c>
      <c r="W16" s="28">
        <f t="shared" si="8"/>
        <v>24</v>
      </c>
      <c r="X16" s="29">
        <f t="shared" si="8"/>
        <v>791.30000000000018</v>
      </c>
    </row>
    <row r="17" spans="1:24" x14ac:dyDescent="0.25">
      <c r="A17" s="24" t="s">
        <v>43</v>
      </c>
      <c r="B17" s="24" t="s">
        <v>1604</v>
      </c>
      <c r="C17" s="24" t="s">
        <v>1605</v>
      </c>
      <c r="D17" s="24" t="s">
        <v>72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15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43</v>
      </c>
      <c r="B18" s="24" t="s">
        <v>1606</v>
      </c>
      <c r="C18" s="24" t="s">
        <v>1607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61</v>
      </c>
      <c r="B19" s="24" t="s">
        <v>1608</v>
      </c>
      <c r="C19" s="24" t="s">
        <v>1609</v>
      </c>
      <c r="D19" s="24" t="s">
        <v>79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47</v>
      </c>
      <c r="B20" s="24" t="s">
        <v>1610</v>
      </c>
      <c r="C20" s="24" t="s">
        <v>1611</v>
      </c>
      <c r="D20" s="24" t="s">
        <v>62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37.14</v>
      </c>
      <c r="M20" s="24" t="s">
        <v>168</v>
      </c>
    </row>
    <row r="21" spans="1:24" x14ac:dyDescent="0.25">
      <c r="A21" s="24" t="s">
        <v>55</v>
      </c>
      <c r="B21" s="24" t="s">
        <v>1612</v>
      </c>
      <c r="C21" s="24" t="s">
        <v>1613</v>
      </c>
      <c r="D21" s="24" t="s">
        <v>71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55</v>
      </c>
      <c r="B22" s="24" t="s">
        <v>1614</v>
      </c>
      <c r="C22" s="24" t="s">
        <v>1615</v>
      </c>
      <c r="D22" s="24" t="s">
        <v>79</v>
      </c>
      <c r="E22" s="24">
        <v>0</v>
      </c>
      <c r="F22" s="24">
        <v>1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46.69</v>
      </c>
      <c r="M22" s="24" t="s">
        <v>90</v>
      </c>
    </row>
    <row r="23" spans="1:24" x14ac:dyDescent="0.25">
      <c r="A23" s="24" t="s">
        <v>63</v>
      </c>
      <c r="B23" s="24" t="s">
        <v>1616</v>
      </c>
      <c r="C23" s="24" t="s">
        <v>1617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16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43</v>
      </c>
      <c r="B24" s="24" t="s">
        <v>1618</v>
      </c>
      <c r="C24" s="24" t="s">
        <v>1619</v>
      </c>
      <c r="D24" s="24" t="s">
        <v>80</v>
      </c>
      <c r="E24" s="24">
        <v>0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0</v>
      </c>
      <c r="L24" s="25">
        <v>59.61</v>
      </c>
      <c r="M24" s="24" t="s">
        <v>90</v>
      </c>
    </row>
    <row r="25" spans="1:24" x14ac:dyDescent="0.25">
      <c r="A25" s="24" t="s">
        <v>51</v>
      </c>
      <c r="B25" s="24" t="s">
        <v>1620</v>
      </c>
      <c r="C25" s="24" t="s">
        <v>1621</v>
      </c>
      <c r="D25" s="24" t="s">
        <v>77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33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1622</v>
      </c>
      <c r="C26" s="24" t="s">
        <v>1623</v>
      </c>
      <c r="D26" s="24" t="s">
        <v>58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61</v>
      </c>
      <c r="B27" s="24" t="s">
        <v>1624</v>
      </c>
      <c r="C27" s="24" t="s">
        <v>1625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45</v>
      </c>
      <c r="B28" s="24" t="s">
        <v>1626</v>
      </c>
      <c r="C28" s="24" t="s">
        <v>1627</v>
      </c>
      <c r="D28" s="24" t="s">
        <v>64</v>
      </c>
      <c r="E28" s="24">
        <v>1</v>
      </c>
      <c r="F28" s="24">
        <v>0</v>
      </c>
      <c r="G28" s="24">
        <v>1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55</v>
      </c>
      <c r="B29" s="24" t="s">
        <v>1628</v>
      </c>
      <c r="C29" s="24" t="s">
        <v>1629</v>
      </c>
      <c r="D29" s="24" t="s">
        <v>70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63</v>
      </c>
      <c r="B30" s="24" t="s">
        <v>1630</v>
      </c>
      <c r="C30" s="24" t="s">
        <v>1631</v>
      </c>
      <c r="D30" s="24" t="s">
        <v>52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18</v>
      </c>
      <c r="K30" s="24">
        <v>1</v>
      </c>
      <c r="L30" s="25">
        <v>112.45</v>
      </c>
      <c r="M30" s="24" t="s">
        <v>90</v>
      </c>
    </row>
    <row r="31" spans="1:24" x14ac:dyDescent="0.25">
      <c r="A31" s="24" t="s">
        <v>49</v>
      </c>
      <c r="B31" s="24" t="s">
        <v>1632</v>
      </c>
      <c r="C31" s="24" t="s">
        <v>1633</v>
      </c>
      <c r="D31" s="24" t="s">
        <v>50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12.54</v>
      </c>
      <c r="M31" s="24" t="s">
        <v>90</v>
      </c>
    </row>
    <row r="32" spans="1:24" x14ac:dyDescent="0.25">
      <c r="A32" s="24" t="s">
        <v>47</v>
      </c>
      <c r="B32" s="24" t="s">
        <v>1634</v>
      </c>
      <c r="C32" s="24" t="s">
        <v>1635</v>
      </c>
      <c r="D32" s="24" t="s">
        <v>46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35.06</v>
      </c>
      <c r="M32" s="24" t="s">
        <v>90</v>
      </c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1636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1637</v>
      </c>
      <c r="C4" s="24" t="s">
        <v>1638</v>
      </c>
      <c r="D4" s="24" t="s">
        <v>71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139.29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4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1</v>
      </c>
      <c r="V4" s="26">
        <f t="shared" ref="V4:V15" si="5">SUMIF($A$4:$A$63,$P4,J$4:J$63)</f>
        <v>16</v>
      </c>
      <c r="W4" s="21">
        <f t="shared" ref="W4:W15" si="6">SUMIF($A$4:$A$63,$P4,K$4:K$63)</f>
        <v>4</v>
      </c>
      <c r="X4" s="26">
        <f t="shared" ref="X4:X15" si="7">SUMIF($A$4:$A$63,$P4,L$4:L$63)</f>
        <v>227.35</v>
      </c>
    </row>
    <row r="5" spans="1:24" x14ac:dyDescent="0.25">
      <c r="A5" s="24" t="s">
        <v>53</v>
      </c>
      <c r="B5" s="24" t="s">
        <v>1639</v>
      </c>
      <c r="C5" s="24" t="s">
        <v>1640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4</v>
      </c>
      <c r="R5" s="21">
        <f t="shared" si="1"/>
        <v>0</v>
      </c>
      <c r="S5" s="21">
        <f t="shared" si="2"/>
        <v>0</v>
      </c>
      <c r="T5" s="21">
        <f t="shared" si="3"/>
        <v>3</v>
      </c>
      <c r="U5" s="21">
        <f t="shared" si="4"/>
        <v>0</v>
      </c>
      <c r="V5" s="26">
        <f t="shared" si="5"/>
        <v>0</v>
      </c>
      <c r="W5" s="21">
        <f t="shared" si="6"/>
        <v>4</v>
      </c>
      <c r="X5" s="26">
        <f t="shared" si="7"/>
        <v>409.68000000000006</v>
      </c>
    </row>
    <row r="6" spans="1:24" x14ac:dyDescent="0.25">
      <c r="A6" s="24" t="s">
        <v>47</v>
      </c>
      <c r="B6" s="24" t="s">
        <v>1641</v>
      </c>
      <c r="C6" s="24" t="s">
        <v>1642</v>
      </c>
      <c r="D6" s="24" t="s">
        <v>79</v>
      </c>
      <c r="E6" s="24">
        <v>0</v>
      </c>
      <c r="F6" s="24">
        <v>1</v>
      </c>
      <c r="G6" s="24">
        <v>0</v>
      </c>
      <c r="H6" s="24">
        <v>0</v>
      </c>
      <c r="I6" s="24">
        <v>0</v>
      </c>
      <c r="J6" s="25">
        <v>0</v>
      </c>
      <c r="K6" s="24">
        <v>0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0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123.67</v>
      </c>
    </row>
    <row r="7" spans="1:24" x14ac:dyDescent="0.25">
      <c r="A7" s="24" t="s">
        <v>55</v>
      </c>
      <c r="B7" s="24" t="s">
        <v>1643</v>
      </c>
      <c r="C7" s="24" t="s">
        <v>1644</v>
      </c>
      <c r="D7" s="24" t="s">
        <v>80</v>
      </c>
      <c r="E7" s="24">
        <v>0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0</v>
      </c>
      <c r="L7" s="25">
        <v>132.09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47</v>
      </c>
      <c r="B8" s="24" t="s">
        <v>1645</v>
      </c>
      <c r="C8" s="24" t="s">
        <v>1646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3</v>
      </c>
      <c r="R8" s="21">
        <f t="shared" si="1"/>
        <v>1</v>
      </c>
      <c r="S8" s="21">
        <f t="shared" si="2"/>
        <v>1</v>
      </c>
      <c r="T8" s="21">
        <f t="shared" si="3"/>
        <v>1</v>
      </c>
      <c r="U8" s="21">
        <f t="shared" si="4"/>
        <v>0</v>
      </c>
      <c r="V8" s="26">
        <f t="shared" si="5"/>
        <v>16</v>
      </c>
      <c r="W8" s="21">
        <f t="shared" si="6"/>
        <v>3</v>
      </c>
      <c r="X8" s="26">
        <f t="shared" si="7"/>
        <v>194.03</v>
      </c>
    </row>
    <row r="9" spans="1:24" x14ac:dyDescent="0.25">
      <c r="A9" s="24" t="s">
        <v>61</v>
      </c>
      <c r="B9" s="24" t="s">
        <v>1647</v>
      </c>
      <c r="C9" s="24" t="s">
        <v>1648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18</v>
      </c>
      <c r="K9" s="24">
        <v>1</v>
      </c>
      <c r="L9" s="25">
        <v>107.46</v>
      </c>
      <c r="M9" s="24" t="s">
        <v>90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30</v>
      </c>
      <c r="W9" s="21">
        <f t="shared" si="6"/>
        <v>3</v>
      </c>
      <c r="X9" s="26">
        <f t="shared" si="7"/>
        <v>0</v>
      </c>
    </row>
    <row r="10" spans="1:24" x14ac:dyDescent="0.25">
      <c r="A10" s="24" t="s">
        <v>45</v>
      </c>
      <c r="B10" s="24" t="s">
        <v>1649</v>
      </c>
      <c r="C10" s="24" t="s">
        <v>1650</v>
      </c>
      <c r="D10" s="24" t="s">
        <v>75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171.8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1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152.86000000000001</v>
      </c>
    </row>
    <row r="11" spans="1:24" x14ac:dyDescent="0.25">
      <c r="A11" s="24" t="s">
        <v>53</v>
      </c>
      <c r="B11" s="24" t="s">
        <v>1651</v>
      </c>
      <c r="C11" s="24" t="s">
        <v>1652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1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36.159999999999997</v>
      </c>
    </row>
    <row r="12" spans="1:24" x14ac:dyDescent="0.25">
      <c r="A12" s="24" t="s">
        <v>51</v>
      </c>
      <c r="B12" s="24" t="s">
        <v>1653</v>
      </c>
      <c r="C12" s="24" t="s">
        <v>1654</v>
      </c>
      <c r="D12" s="24" t="s">
        <v>64</v>
      </c>
      <c r="E12" s="24">
        <v>1</v>
      </c>
      <c r="F12" s="24">
        <v>0</v>
      </c>
      <c r="G12" s="24">
        <v>1</v>
      </c>
      <c r="H12" s="24">
        <v>0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45</v>
      </c>
      <c r="B13" s="24" t="s">
        <v>1655</v>
      </c>
      <c r="C13" s="24" t="s">
        <v>1656</v>
      </c>
      <c r="D13" s="24" t="s">
        <v>54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168</v>
      </c>
      <c r="P13" s="21" t="str">
        <f>Setup!$A$14</f>
        <v>Expert 10</v>
      </c>
      <c r="Q13" s="21">
        <f t="shared" si="0"/>
        <v>5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99</v>
      </c>
      <c r="W13" s="21">
        <f t="shared" si="6"/>
        <v>4</v>
      </c>
      <c r="X13" s="26">
        <f t="shared" si="7"/>
        <v>190.82999999999998</v>
      </c>
    </row>
    <row r="14" spans="1:24" x14ac:dyDescent="0.25">
      <c r="A14" s="24" t="s">
        <v>61</v>
      </c>
      <c r="B14" s="24" t="s">
        <v>1657</v>
      </c>
      <c r="C14" s="24" t="s">
        <v>1658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18</v>
      </c>
      <c r="K14" s="24">
        <v>1</v>
      </c>
      <c r="L14" s="25">
        <v>51.75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24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43</v>
      </c>
      <c r="B15" s="24" t="s">
        <v>1659</v>
      </c>
      <c r="C15" s="24" t="s">
        <v>1660</v>
      </c>
      <c r="D15" s="24" t="s">
        <v>78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16</v>
      </c>
      <c r="K15" s="24">
        <v>0</v>
      </c>
      <c r="L15" s="25">
        <v>0</v>
      </c>
      <c r="M15" s="24" t="s">
        <v>168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57</v>
      </c>
      <c r="B16" s="24" t="s">
        <v>1661</v>
      </c>
      <c r="C16" s="24" t="s">
        <v>1662</v>
      </c>
      <c r="D16" s="24" t="s">
        <v>72</v>
      </c>
      <c r="E16" s="24">
        <v>0</v>
      </c>
      <c r="F16" s="24">
        <v>1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36.159999999999997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5</v>
      </c>
      <c r="S16" s="28">
        <f t="shared" si="8"/>
        <v>1</v>
      </c>
      <c r="T16" s="28">
        <f t="shared" si="8"/>
        <v>8</v>
      </c>
      <c r="U16" s="28">
        <f t="shared" si="8"/>
        <v>1</v>
      </c>
      <c r="V16" s="29">
        <f t="shared" si="8"/>
        <v>209</v>
      </c>
      <c r="W16" s="28">
        <f t="shared" si="8"/>
        <v>24</v>
      </c>
      <c r="X16" s="29">
        <f t="shared" si="8"/>
        <v>1334.5799999999997</v>
      </c>
    </row>
    <row r="17" spans="1:24" x14ac:dyDescent="0.25">
      <c r="A17" s="24" t="s">
        <v>61</v>
      </c>
      <c r="B17" s="24" t="s">
        <v>1663</v>
      </c>
      <c r="C17" s="24" t="s">
        <v>1664</v>
      </c>
      <c r="D17" s="24" t="s">
        <v>79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0</v>
      </c>
      <c r="L17" s="25">
        <v>0</v>
      </c>
      <c r="M17" s="24" t="s">
        <v>90</v>
      </c>
    </row>
    <row r="18" spans="1:24" x14ac:dyDescent="0.25">
      <c r="A18" s="24" t="s">
        <v>51</v>
      </c>
      <c r="B18" s="24" t="s">
        <v>1665</v>
      </c>
      <c r="C18" s="24" t="s">
        <v>1666</v>
      </c>
      <c r="D18" s="24" t="s">
        <v>46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194.03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43</v>
      </c>
      <c r="B19" s="24" t="s">
        <v>1667</v>
      </c>
      <c r="C19" s="24" t="s">
        <v>1668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75.88</v>
      </c>
      <c r="M19" s="24" t="s">
        <v>90</v>
      </c>
    </row>
    <row r="20" spans="1:24" x14ac:dyDescent="0.25">
      <c r="A20" s="24" t="s">
        <v>55</v>
      </c>
      <c r="B20" s="24" t="s">
        <v>1669</v>
      </c>
      <c r="C20" s="24" t="s">
        <v>1670</v>
      </c>
      <c r="D20" s="24" t="s">
        <v>79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0</v>
      </c>
      <c r="K20" s="24">
        <v>0</v>
      </c>
      <c r="L20" s="25">
        <v>20.77</v>
      </c>
      <c r="M20" s="24" t="s">
        <v>90</v>
      </c>
    </row>
    <row r="21" spans="1:24" x14ac:dyDescent="0.25">
      <c r="A21" s="24" t="s">
        <v>49</v>
      </c>
      <c r="B21" s="24" t="s">
        <v>1671</v>
      </c>
      <c r="C21" s="24" t="s">
        <v>1672</v>
      </c>
      <c r="D21" s="24" t="s">
        <v>73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1673</v>
      </c>
      <c r="C22" s="24" t="s">
        <v>1674</v>
      </c>
      <c r="D22" s="24" t="s">
        <v>46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106.88</v>
      </c>
      <c r="M22" s="24" t="s">
        <v>90</v>
      </c>
    </row>
    <row r="23" spans="1:24" x14ac:dyDescent="0.25">
      <c r="A23" s="24" t="s">
        <v>45</v>
      </c>
      <c r="B23" s="24" t="s">
        <v>1675</v>
      </c>
      <c r="C23" s="24" t="s">
        <v>1676</v>
      </c>
      <c r="D23" s="24" t="s">
        <v>77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98.59</v>
      </c>
      <c r="M23" s="24" t="s">
        <v>90</v>
      </c>
    </row>
    <row r="24" spans="1:24" x14ac:dyDescent="0.25">
      <c r="A24" s="24" t="s">
        <v>53</v>
      </c>
      <c r="B24" s="24" t="s">
        <v>1677</v>
      </c>
      <c r="C24" s="24" t="s">
        <v>1678</v>
      </c>
      <c r="D24" s="24" t="s">
        <v>73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51</v>
      </c>
      <c r="B25" s="24" t="s">
        <v>1679</v>
      </c>
      <c r="C25" s="24" t="s">
        <v>1680</v>
      </c>
      <c r="D25" s="24" t="s">
        <v>52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1681</v>
      </c>
      <c r="C26" s="24" t="s">
        <v>1682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24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43</v>
      </c>
      <c r="B27" s="24" t="s">
        <v>1683</v>
      </c>
      <c r="C27" s="24" t="s">
        <v>1684</v>
      </c>
      <c r="D27" s="24" t="s">
        <v>76</v>
      </c>
      <c r="E27" s="24">
        <v>0</v>
      </c>
      <c r="F27" s="24">
        <v>0</v>
      </c>
      <c r="G27" s="24">
        <v>0</v>
      </c>
      <c r="H27" s="24">
        <v>0</v>
      </c>
      <c r="I27" s="24">
        <v>1</v>
      </c>
      <c r="J27" s="25">
        <v>0</v>
      </c>
      <c r="K27" s="24">
        <v>1</v>
      </c>
      <c r="L27" s="25">
        <v>44.59</v>
      </c>
      <c r="M27" s="24" t="s">
        <v>90</v>
      </c>
    </row>
    <row r="28" spans="1:24" x14ac:dyDescent="0.25">
      <c r="A28" s="24" t="s">
        <v>61</v>
      </c>
      <c r="B28" s="24" t="s">
        <v>1685</v>
      </c>
      <c r="C28" s="24" t="s">
        <v>1686</v>
      </c>
      <c r="D28" s="24" t="s">
        <v>46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31.62</v>
      </c>
      <c r="M28" s="24" t="s">
        <v>90</v>
      </c>
    </row>
    <row r="29" spans="1:24" x14ac:dyDescent="0.25">
      <c r="A29" s="24" t="s">
        <v>59</v>
      </c>
      <c r="B29" s="24" t="s">
        <v>1687</v>
      </c>
      <c r="C29" s="24" t="s">
        <v>1688</v>
      </c>
      <c r="D29" s="24" t="s">
        <v>78</v>
      </c>
      <c r="E29" s="24">
        <v>0</v>
      </c>
      <c r="F29" s="24">
        <v>1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55</v>
      </c>
      <c r="B30" s="24" t="s">
        <v>1689</v>
      </c>
      <c r="C30" s="24" t="s">
        <v>1690</v>
      </c>
      <c r="D30" s="24" t="s">
        <v>70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47</v>
      </c>
      <c r="B31" s="24" t="s">
        <v>1691</v>
      </c>
      <c r="C31" s="24" t="s">
        <v>1692</v>
      </c>
      <c r="D31" s="24" t="s">
        <v>80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0</v>
      </c>
      <c r="L31" s="25">
        <v>123.67</v>
      </c>
      <c r="M31" s="24" t="s">
        <v>90</v>
      </c>
    </row>
    <row r="32" spans="1:24" x14ac:dyDescent="0.25">
      <c r="A32" s="24" t="s">
        <v>61</v>
      </c>
      <c r="B32" s="24" t="s">
        <v>1693</v>
      </c>
      <c r="C32" s="24" t="s">
        <v>1694</v>
      </c>
      <c r="D32" s="24" t="s">
        <v>66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15</v>
      </c>
      <c r="K32" s="24">
        <v>1</v>
      </c>
      <c r="L32" s="25">
        <v>0</v>
      </c>
      <c r="M32" s="24" t="s">
        <v>90</v>
      </c>
    </row>
    <row r="33" spans="1:13" x14ac:dyDescent="0.25">
      <c r="A33" s="24" t="s">
        <v>43</v>
      </c>
      <c r="B33" s="24" t="s">
        <v>1695</v>
      </c>
      <c r="C33" s="24" t="s">
        <v>1696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51</v>
      </c>
      <c r="B34" s="24" t="s">
        <v>1697</v>
      </c>
      <c r="C34" s="24" t="s">
        <v>1698</v>
      </c>
      <c r="D34" s="24" t="s">
        <v>78</v>
      </c>
      <c r="E34" s="24">
        <v>0</v>
      </c>
      <c r="F34" s="24">
        <v>1</v>
      </c>
      <c r="G34" s="24">
        <v>0</v>
      </c>
      <c r="H34" s="24">
        <v>0</v>
      </c>
      <c r="I34" s="24">
        <v>0</v>
      </c>
      <c r="J34" s="25">
        <v>16</v>
      </c>
      <c r="K34" s="24">
        <v>0</v>
      </c>
      <c r="L34" s="25">
        <v>0</v>
      </c>
      <c r="M34" s="24" t="s">
        <v>168</v>
      </c>
    </row>
    <row r="35" spans="1:13" x14ac:dyDescent="0.25">
      <c r="A35" s="24" t="s">
        <v>55</v>
      </c>
      <c r="B35" s="24" t="s">
        <v>1699</v>
      </c>
      <c r="C35" s="24" t="s">
        <v>1700</v>
      </c>
      <c r="D35" s="24" t="s">
        <v>72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0</v>
      </c>
      <c r="M35" s="24" t="s">
        <v>90</v>
      </c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1701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43</v>
      </c>
      <c r="B4" s="24" t="s">
        <v>1702</v>
      </c>
      <c r="C4" s="24" t="s">
        <v>1703</v>
      </c>
      <c r="D4" s="24" t="s">
        <v>62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64.03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5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147</v>
      </c>
      <c r="W4" s="21">
        <f t="shared" ref="W4:W15" si="6">SUMIF($A$4:$A$63,$P4,K$4:K$63)</f>
        <v>6</v>
      </c>
      <c r="X4" s="26">
        <f t="shared" ref="X4:X15" si="7">SUMIF($A$4:$A$63,$P4,L$4:L$63)</f>
        <v>677.65000000000009</v>
      </c>
    </row>
    <row r="5" spans="1:24" x14ac:dyDescent="0.25">
      <c r="A5" s="24" t="s">
        <v>49</v>
      </c>
      <c r="B5" s="24" t="s">
        <v>1704</v>
      </c>
      <c r="C5" s="24" t="s">
        <v>1705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64.87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16</v>
      </c>
      <c r="W5" s="21">
        <f t="shared" si="6"/>
        <v>1</v>
      </c>
      <c r="X5" s="26">
        <f t="shared" si="7"/>
        <v>125.04</v>
      </c>
    </row>
    <row r="6" spans="1:24" x14ac:dyDescent="0.25">
      <c r="A6" s="24" t="s">
        <v>53</v>
      </c>
      <c r="B6" s="24" t="s">
        <v>1706</v>
      </c>
      <c r="C6" s="24" t="s">
        <v>1707</v>
      </c>
      <c r="D6" s="24" t="s">
        <v>52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45.3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57</v>
      </c>
      <c r="B7" s="24" t="s">
        <v>1708</v>
      </c>
      <c r="C7" s="24" t="s">
        <v>1709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116.92</v>
      </c>
    </row>
    <row r="8" spans="1:24" x14ac:dyDescent="0.25">
      <c r="A8" s="24" t="s">
        <v>43</v>
      </c>
      <c r="B8" s="24" t="s">
        <v>1710</v>
      </c>
      <c r="C8" s="24" t="s">
        <v>1711</v>
      </c>
      <c r="D8" s="24" t="s">
        <v>64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187.2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133.87</v>
      </c>
    </row>
    <row r="9" spans="1:24" x14ac:dyDescent="0.25">
      <c r="A9" s="24" t="s">
        <v>57</v>
      </c>
      <c r="B9" s="24" t="s">
        <v>1712</v>
      </c>
      <c r="C9" s="24" t="s">
        <v>1713</v>
      </c>
      <c r="D9" s="24" t="s">
        <v>66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24</v>
      </c>
      <c r="K9" s="24">
        <v>1</v>
      </c>
      <c r="L9" s="25">
        <v>23.77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45.3</v>
      </c>
    </row>
    <row r="10" spans="1:24" x14ac:dyDescent="0.25">
      <c r="A10" s="24" t="s">
        <v>45</v>
      </c>
      <c r="B10" s="24" t="s">
        <v>1714</v>
      </c>
      <c r="C10" s="24" t="s">
        <v>1715</v>
      </c>
      <c r="D10" s="24" t="s">
        <v>64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125.04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16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49</v>
      </c>
      <c r="B11" s="24" t="s">
        <v>1716</v>
      </c>
      <c r="C11" s="24" t="s">
        <v>1717</v>
      </c>
      <c r="D11" s="24" t="s">
        <v>80</v>
      </c>
      <c r="E11" s="24">
        <v>0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52.05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23.77</v>
      </c>
    </row>
    <row r="12" spans="1:24" x14ac:dyDescent="0.25">
      <c r="A12" s="24" t="s">
        <v>63</v>
      </c>
      <c r="B12" s="24" t="s">
        <v>1718</v>
      </c>
      <c r="C12" s="24" t="s">
        <v>1719</v>
      </c>
      <c r="D12" s="24" t="s">
        <v>73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1</v>
      </c>
      <c r="L12" s="25">
        <v>105.34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61</v>
      </c>
      <c r="B13" s="24" t="s">
        <v>1720</v>
      </c>
      <c r="C13" s="24" t="s">
        <v>1721</v>
      </c>
      <c r="D13" s="24" t="s">
        <v>72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130.66999999999999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130.66999999999999</v>
      </c>
    </row>
    <row r="14" spans="1:24" x14ac:dyDescent="0.25">
      <c r="A14" s="24" t="s">
        <v>43</v>
      </c>
      <c r="B14" s="24" t="s">
        <v>1722</v>
      </c>
      <c r="C14" s="24" t="s">
        <v>1723</v>
      </c>
      <c r="D14" s="24" t="s">
        <v>68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15</v>
      </c>
      <c r="K14" s="24">
        <v>1</v>
      </c>
      <c r="L14" s="25">
        <v>93.45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33</v>
      </c>
      <c r="W14" s="21">
        <f t="shared" si="6"/>
        <v>1</v>
      </c>
      <c r="X14" s="26">
        <f t="shared" si="7"/>
        <v>105.34</v>
      </c>
    </row>
    <row r="15" spans="1:24" x14ac:dyDescent="0.25">
      <c r="A15" s="24" t="s">
        <v>51</v>
      </c>
      <c r="B15" s="24" t="s">
        <v>1724</v>
      </c>
      <c r="C15" s="24" t="s">
        <v>1725</v>
      </c>
      <c r="D15" s="24" t="s">
        <v>79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18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43</v>
      </c>
      <c r="B16" s="24" t="s">
        <v>1726</v>
      </c>
      <c r="C16" s="24" t="s">
        <v>1727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1</v>
      </c>
      <c r="S16" s="28">
        <f t="shared" si="8"/>
        <v>0</v>
      </c>
      <c r="T16" s="28">
        <f t="shared" si="8"/>
        <v>6</v>
      </c>
      <c r="U16" s="28">
        <f t="shared" si="8"/>
        <v>0</v>
      </c>
      <c r="V16" s="29">
        <f t="shared" si="8"/>
        <v>254</v>
      </c>
      <c r="W16" s="28">
        <f t="shared" si="8"/>
        <v>16</v>
      </c>
      <c r="X16" s="29">
        <f t="shared" si="8"/>
        <v>1358.56</v>
      </c>
    </row>
    <row r="17" spans="1:24" x14ac:dyDescent="0.25">
      <c r="A17" s="24" t="s">
        <v>43</v>
      </c>
      <c r="B17" s="24" t="s">
        <v>1728</v>
      </c>
      <c r="C17" s="24" t="s">
        <v>1729</v>
      </c>
      <c r="D17" s="24" t="s">
        <v>68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1</v>
      </c>
      <c r="L17" s="25">
        <v>182.26</v>
      </c>
      <c r="M17" s="24" t="s">
        <v>90</v>
      </c>
    </row>
    <row r="18" spans="1:24" x14ac:dyDescent="0.25">
      <c r="A18" s="24" t="s">
        <v>55</v>
      </c>
      <c r="B18" s="24" t="s">
        <v>1730</v>
      </c>
      <c r="C18" s="24" t="s">
        <v>1731</v>
      </c>
      <c r="D18" s="24" t="s">
        <v>71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16</v>
      </c>
      <c r="K18" s="24">
        <v>1</v>
      </c>
      <c r="L18" s="25">
        <v>0</v>
      </c>
      <c r="M18" s="24" t="s">
        <v>168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4"/>
      <c r="S18" s="34"/>
      <c r="T18" s="34"/>
      <c r="U18" s="34"/>
      <c r="V18" s="34"/>
      <c r="W18" s="34"/>
      <c r="X18" s="34"/>
    </row>
    <row r="19" spans="1:24" x14ac:dyDescent="0.25">
      <c r="A19" s="24" t="s">
        <v>45</v>
      </c>
      <c r="B19" s="24" t="s">
        <v>1732</v>
      </c>
      <c r="C19" s="24" t="s">
        <v>1733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61</v>
      </c>
      <c r="B20" s="24" t="s">
        <v>1734</v>
      </c>
      <c r="C20" s="24" t="s">
        <v>1735</v>
      </c>
      <c r="D20" s="24" t="s">
        <v>52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0</v>
      </c>
      <c r="K20" s="24">
        <v>1</v>
      </c>
      <c r="L20" s="25">
        <v>0</v>
      </c>
      <c r="M20" s="24" t="s">
        <v>168</v>
      </c>
    </row>
    <row r="21" spans="1:24" x14ac:dyDescent="0.25">
      <c r="A21" s="24" t="s">
        <v>51</v>
      </c>
      <c r="B21" s="24" t="s">
        <v>1736</v>
      </c>
      <c r="C21" s="24" t="s">
        <v>1737</v>
      </c>
      <c r="D21" s="24" t="s">
        <v>56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133.87</v>
      </c>
      <c r="M21" s="24" t="s">
        <v>90</v>
      </c>
    </row>
    <row r="22" spans="1:24" x14ac:dyDescent="0.25">
      <c r="A22" s="24" t="s">
        <v>43</v>
      </c>
      <c r="B22" s="24" t="s">
        <v>1738</v>
      </c>
      <c r="C22" s="24" t="s">
        <v>1739</v>
      </c>
      <c r="D22" s="24" t="s">
        <v>72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1</v>
      </c>
      <c r="L22" s="25">
        <v>150.71</v>
      </c>
      <c r="M22" s="24" t="s">
        <v>168</v>
      </c>
    </row>
    <row r="23" spans="1:24" x14ac:dyDescent="0.25">
      <c r="A23" s="24" t="s">
        <v>47</v>
      </c>
      <c r="B23" s="24" t="s">
        <v>1740</v>
      </c>
      <c r="C23" s="24" t="s">
        <v>1741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D4:D63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2026-08-17T19:49:25Z</dcterms:created>
  <dcterms:modified xsi:type="dcterms:W3CDTF">2026-08-17T19:51:03Z</dcterms:modified>
</cp:coreProperties>
</file>