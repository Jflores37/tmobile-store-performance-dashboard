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5EA7432F-D761-44FC-A34F-41C9D11FFEF9}" xr6:coauthVersionLast="47" xr6:coauthVersionMax="47" xr10:uidLastSave="{00000000-0000-0000-0000-000000000000}"/>
  <bookViews>
    <workbookView minimized="1" xWindow="30765" yWindow="855" windowWidth="21600" windowHeight="14835" activeTab="3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36" l="1"/>
  <c r="P14" i="36"/>
  <c r="P13" i="36"/>
  <c r="P12" i="36"/>
  <c r="P11" i="36"/>
  <c r="P10" i="36"/>
  <c r="P9" i="36"/>
  <c r="P8" i="36"/>
  <c r="P7" i="36"/>
  <c r="P6" i="36"/>
  <c r="P5" i="36"/>
  <c r="P4" i="36"/>
  <c r="P15" i="35"/>
  <c r="P14" i="35"/>
  <c r="P13" i="35"/>
  <c r="P12" i="35"/>
  <c r="P11" i="35"/>
  <c r="P10" i="35"/>
  <c r="P9" i="35"/>
  <c r="P8" i="35"/>
  <c r="P7" i="35"/>
  <c r="P6" i="35"/>
  <c r="P5" i="35"/>
  <c r="P4" i="35"/>
  <c r="P15" i="34"/>
  <c r="P14" i="34"/>
  <c r="P13" i="34"/>
  <c r="P12" i="34"/>
  <c r="P11" i="34"/>
  <c r="P10" i="34"/>
  <c r="P9" i="34"/>
  <c r="P8" i="34"/>
  <c r="P7" i="34"/>
  <c r="P6" i="34"/>
  <c r="P5" i="34"/>
  <c r="P4" i="34"/>
  <c r="P15" i="33"/>
  <c r="P14" i="33"/>
  <c r="P13" i="33"/>
  <c r="P12" i="33"/>
  <c r="P11" i="33"/>
  <c r="P10" i="33"/>
  <c r="P9" i="33"/>
  <c r="P8" i="33"/>
  <c r="P7" i="33"/>
  <c r="P6" i="33"/>
  <c r="P5" i="33"/>
  <c r="P4" i="33"/>
  <c r="P15" i="32"/>
  <c r="P14" i="32"/>
  <c r="V13" i="32"/>
  <c r="P13" i="32"/>
  <c r="P12" i="32"/>
  <c r="P11" i="32"/>
  <c r="P10" i="32"/>
  <c r="P9" i="32"/>
  <c r="P8" i="32"/>
  <c r="P7" i="32"/>
  <c r="P6" i="32"/>
  <c r="P5" i="32"/>
  <c r="P4" i="32"/>
  <c r="P15" i="31"/>
  <c r="P14" i="31"/>
  <c r="P13" i="31"/>
  <c r="P12" i="31"/>
  <c r="P11" i="31"/>
  <c r="P10" i="31"/>
  <c r="P9" i="31"/>
  <c r="P8" i="31"/>
  <c r="P7" i="31"/>
  <c r="P6" i="31"/>
  <c r="P5" i="31"/>
  <c r="P4" i="31"/>
  <c r="P15" i="30"/>
  <c r="P14" i="30"/>
  <c r="P13" i="30"/>
  <c r="P12" i="30"/>
  <c r="P11" i="30"/>
  <c r="P10" i="30"/>
  <c r="P9" i="30"/>
  <c r="P8" i="30"/>
  <c r="P7" i="30"/>
  <c r="P6" i="30"/>
  <c r="P5" i="30"/>
  <c r="P4" i="30"/>
  <c r="P15" i="29"/>
  <c r="P14" i="29"/>
  <c r="P13" i="29"/>
  <c r="P12" i="29"/>
  <c r="P11" i="29"/>
  <c r="P10" i="29"/>
  <c r="P9" i="29"/>
  <c r="P8" i="29"/>
  <c r="P7" i="29"/>
  <c r="P6" i="29"/>
  <c r="P5" i="29"/>
  <c r="P4" i="29"/>
  <c r="P15" i="28"/>
  <c r="P14" i="28"/>
  <c r="P13" i="28"/>
  <c r="P12" i="28"/>
  <c r="P11" i="28"/>
  <c r="P10" i="28"/>
  <c r="P9" i="28"/>
  <c r="P8" i="28"/>
  <c r="P7" i="28"/>
  <c r="P6" i="28"/>
  <c r="P5" i="28"/>
  <c r="P4" i="28"/>
  <c r="P15" i="27"/>
  <c r="P14" i="27"/>
  <c r="P13" i="27"/>
  <c r="P12" i="27"/>
  <c r="P11" i="27"/>
  <c r="P10" i="27"/>
  <c r="P9" i="27"/>
  <c r="P8" i="27"/>
  <c r="P7" i="27"/>
  <c r="P6" i="27"/>
  <c r="P5" i="27"/>
  <c r="P4" i="27"/>
  <c r="P15" i="26"/>
  <c r="P14" i="26"/>
  <c r="P13" i="26"/>
  <c r="P12" i="26"/>
  <c r="P11" i="26"/>
  <c r="P10" i="26"/>
  <c r="P9" i="26"/>
  <c r="P8" i="26"/>
  <c r="U7" i="26"/>
  <c r="P7" i="26"/>
  <c r="P6" i="26"/>
  <c r="P5" i="26"/>
  <c r="P4" i="26"/>
  <c r="P15" i="25"/>
  <c r="P14" i="25"/>
  <c r="P13" i="25"/>
  <c r="P12" i="25"/>
  <c r="P11" i="25"/>
  <c r="P10" i="25"/>
  <c r="P9" i="25"/>
  <c r="P8" i="25"/>
  <c r="P7" i="25"/>
  <c r="P6" i="25"/>
  <c r="P5" i="25"/>
  <c r="P4" i="25"/>
  <c r="P15" i="24"/>
  <c r="P14" i="24"/>
  <c r="P13" i="24"/>
  <c r="P12" i="24"/>
  <c r="P11" i="24"/>
  <c r="P10" i="24"/>
  <c r="P9" i="24"/>
  <c r="P8" i="24"/>
  <c r="P7" i="24"/>
  <c r="P6" i="24"/>
  <c r="W5" i="24"/>
  <c r="P5" i="24"/>
  <c r="P4" i="24"/>
  <c r="P15" i="23"/>
  <c r="P14" i="23"/>
  <c r="P13" i="23"/>
  <c r="P12" i="23"/>
  <c r="P11" i="23"/>
  <c r="P10" i="23"/>
  <c r="P9" i="23"/>
  <c r="P8" i="23"/>
  <c r="P7" i="23"/>
  <c r="P6" i="23"/>
  <c r="P5" i="23"/>
  <c r="P4" i="23"/>
  <c r="P15" i="22"/>
  <c r="P14" i="22"/>
  <c r="P13" i="22"/>
  <c r="P12" i="22"/>
  <c r="P11" i="22"/>
  <c r="P10" i="22"/>
  <c r="P9" i="22"/>
  <c r="P8" i="22"/>
  <c r="P7" i="22"/>
  <c r="P6" i="22"/>
  <c r="P5" i="22"/>
  <c r="P4" i="22"/>
  <c r="P15" i="21"/>
  <c r="P14" i="21"/>
  <c r="P13" i="21"/>
  <c r="P12" i="21"/>
  <c r="P11" i="21"/>
  <c r="P10" i="21"/>
  <c r="P9" i="21"/>
  <c r="P8" i="21"/>
  <c r="P7" i="21"/>
  <c r="P6" i="21"/>
  <c r="P5" i="21"/>
  <c r="P4" i="21"/>
  <c r="P15" i="20"/>
  <c r="P14" i="20"/>
  <c r="P13" i="20"/>
  <c r="P12" i="20"/>
  <c r="P11" i="20"/>
  <c r="P10" i="20"/>
  <c r="P9" i="20"/>
  <c r="P8" i="20"/>
  <c r="P7" i="20"/>
  <c r="P6" i="20"/>
  <c r="P5" i="20"/>
  <c r="P4" i="20"/>
  <c r="P15" i="19"/>
  <c r="P14" i="19"/>
  <c r="P13" i="19"/>
  <c r="P12" i="19"/>
  <c r="P11" i="19"/>
  <c r="P10" i="19"/>
  <c r="P9" i="19"/>
  <c r="P8" i="19"/>
  <c r="P7" i="19"/>
  <c r="P6" i="19"/>
  <c r="P5" i="19"/>
  <c r="P4" i="19"/>
  <c r="P15" i="18"/>
  <c r="P14" i="18"/>
  <c r="P13" i="18"/>
  <c r="P12" i="18"/>
  <c r="P11" i="18"/>
  <c r="P10" i="18"/>
  <c r="P9" i="18"/>
  <c r="P8" i="18"/>
  <c r="P7" i="18"/>
  <c r="P6" i="18"/>
  <c r="P5" i="18"/>
  <c r="P4" i="18"/>
  <c r="P15" i="17"/>
  <c r="P14" i="17"/>
  <c r="P13" i="17"/>
  <c r="P12" i="17"/>
  <c r="P11" i="17"/>
  <c r="P10" i="17"/>
  <c r="P9" i="17"/>
  <c r="P8" i="17"/>
  <c r="P7" i="17"/>
  <c r="P6" i="17"/>
  <c r="P5" i="17"/>
  <c r="P4" i="17"/>
  <c r="P15" i="16"/>
  <c r="P14" i="16"/>
  <c r="P13" i="16"/>
  <c r="P12" i="16"/>
  <c r="P11" i="16"/>
  <c r="P10" i="16"/>
  <c r="P9" i="16"/>
  <c r="P8" i="16"/>
  <c r="P7" i="16"/>
  <c r="P6" i="16"/>
  <c r="P5" i="16"/>
  <c r="P4" i="16"/>
  <c r="P15" i="15"/>
  <c r="P14" i="15"/>
  <c r="P13" i="15"/>
  <c r="P12" i="15"/>
  <c r="P11" i="15"/>
  <c r="P10" i="15"/>
  <c r="P9" i="15"/>
  <c r="P8" i="15"/>
  <c r="P7" i="15"/>
  <c r="P6" i="15"/>
  <c r="P5" i="15"/>
  <c r="P4" i="15"/>
  <c r="P15" i="14"/>
  <c r="P14" i="14"/>
  <c r="P13" i="14"/>
  <c r="P12" i="14"/>
  <c r="P11" i="14"/>
  <c r="P10" i="14"/>
  <c r="P9" i="14"/>
  <c r="P8" i="14"/>
  <c r="P7" i="14"/>
  <c r="P6" i="14"/>
  <c r="P5" i="14"/>
  <c r="P4" i="14"/>
  <c r="P15" i="13"/>
  <c r="P14" i="13"/>
  <c r="P13" i="13"/>
  <c r="P12" i="13"/>
  <c r="P11" i="13"/>
  <c r="P10" i="13"/>
  <c r="P9" i="13"/>
  <c r="W8" i="13"/>
  <c r="P8" i="13"/>
  <c r="X8" i="13" s="1"/>
  <c r="P7" i="13"/>
  <c r="P6" i="13"/>
  <c r="P5" i="13"/>
  <c r="P4" i="13"/>
  <c r="P15" i="12"/>
  <c r="P14" i="12"/>
  <c r="P13" i="12"/>
  <c r="P12" i="12"/>
  <c r="P11" i="12"/>
  <c r="P10" i="12"/>
  <c r="P9" i="12"/>
  <c r="P8" i="12"/>
  <c r="P7" i="12"/>
  <c r="P6" i="12"/>
  <c r="P5" i="12"/>
  <c r="P4" i="12"/>
  <c r="P15" i="11"/>
  <c r="P14" i="11"/>
  <c r="P13" i="11"/>
  <c r="P12" i="11"/>
  <c r="P11" i="11"/>
  <c r="P10" i="11"/>
  <c r="P9" i="11"/>
  <c r="P8" i="11"/>
  <c r="P7" i="11"/>
  <c r="P6" i="11"/>
  <c r="X6" i="11" s="1"/>
  <c r="P5" i="11"/>
  <c r="P4" i="11"/>
  <c r="P15" i="10"/>
  <c r="P14" i="10"/>
  <c r="P13" i="10"/>
  <c r="P12" i="10"/>
  <c r="P11" i="10"/>
  <c r="P10" i="10"/>
  <c r="P9" i="10"/>
  <c r="P8" i="10"/>
  <c r="P7" i="10"/>
  <c r="P6" i="10"/>
  <c r="P5" i="10"/>
  <c r="P4" i="10"/>
  <c r="P15" i="9"/>
  <c r="P14" i="9"/>
  <c r="P13" i="9"/>
  <c r="P12" i="9"/>
  <c r="P11" i="9"/>
  <c r="P10" i="9"/>
  <c r="P9" i="9"/>
  <c r="P8" i="9"/>
  <c r="P7" i="9"/>
  <c r="P6" i="9"/>
  <c r="P5" i="9"/>
  <c r="P4" i="9"/>
  <c r="P15" i="8"/>
  <c r="P14" i="8"/>
  <c r="P13" i="8"/>
  <c r="P12" i="8"/>
  <c r="P11" i="8"/>
  <c r="P10" i="8"/>
  <c r="P9" i="8"/>
  <c r="P8" i="8"/>
  <c r="P7" i="8"/>
  <c r="P6" i="8"/>
  <c r="P5" i="8"/>
  <c r="P4" i="8"/>
  <c r="P15" i="7"/>
  <c r="P14" i="7"/>
  <c r="P13" i="7"/>
  <c r="P12" i="7"/>
  <c r="P11" i="7"/>
  <c r="P10" i="7"/>
  <c r="P9" i="7"/>
  <c r="P8" i="7"/>
  <c r="P7" i="7"/>
  <c r="P6" i="7"/>
  <c r="P5" i="7"/>
  <c r="P4" i="7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B15" i="2"/>
  <c r="B14" i="2"/>
  <c r="B13" i="2"/>
  <c r="B12" i="2"/>
  <c r="B11" i="2"/>
  <c r="B10" i="2"/>
  <c r="B9" i="2"/>
  <c r="B8" i="2"/>
  <c r="B7" i="2"/>
  <c r="B6" i="2"/>
  <c r="B5" i="2"/>
  <c r="B4" i="2"/>
  <c r="X13" i="32" l="1"/>
  <c r="W13" i="32"/>
  <c r="U13" i="32"/>
  <c r="T13" i="32"/>
  <c r="S13" i="32"/>
  <c r="R13" i="32"/>
  <c r="Q13" i="32"/>
  <c r="Q11" i="30"/>
  <c r="W11" i="30"/>
  <c r="U11" i="30"/>
  <c r="S11" i="30"/>
  <c r="R11" i="30"/>
  <c r="X11" i="30"/>
  <c r="V11" i="30"/>
  <c r="T11" i="30"/>
  <c r="X9" i="28"/>
  <c r="W9" i="28"/>
  <c r="V9" i="28"/>
  <c r="U9" i="28"/>
  <c r="T9" i="28"/>
  <c r="S9" i="28"/>
  <c r="X7" i="26"/>
  <c r="W7" i="26"/>
  <c r="V7" i="26"/>
  <c r="T7" i="26"/>
  <c r="U5" i="24"/>
  <c r="T5" i="24"/>
  <c r="V5" i="24"/>
  <c r="X5" i="24"/>
  <c r="X14" i="19"/>
  <c r="U14" i="19"/>
  <c r="V14" i="19"/>
  <c r="W14" i="19"/>
  <c r="X10" i="15"/>
  <c r="W10" i="15"/>
  <c r="X15" i="36"/>
  <c r="W15" i="36"/>
  <c r="V15" i="36"/>
  <c r="U15" i="36"/>
  <c r="T15" i="36"/>
  <c r="S15" i="36"/>
  <c r="R15" i="36"/>
  <c r="Q15" i="36"/>
  <c r="X14" i="36"/>
  <c r="W14" i="36"/>
  <c r="V14" i="36"/>
  <c r="U14" i="36"/>
  <c r="T14" i="36"/>
  <c r="S14" i="36"/>
  <c r="R14" i="36"/>
  <c r="Q14" i="36"/>
  <c r="X13" i="36"/>
  <c r="W13" i="36"/>
  <c r="V13" i="36"/>
  <c r="U13" i="36"/>
  <c r="T13" i="36"/>
  <c r="S13" i="36"/>
  <c r="R13" i="36"/>
  <c r="Q13" i="36"/>
  <c r="X12" i="36"/>
  <c r="W12" i="36"/>
  <c r="V12" i="36"/>
  <c r="U12" i="36"/>
  <c r="T12" i="36"/>
  <c r="S12" i="36"/>
  <c r="R12" i="36"/>
  <c r="Q12" i="36"/>
  <c r="X11" i="36"/>
  <c r="W11" i="36"/>
  <c r="V11" i="36"/>
  <c r="U11" i="36"/>
  <c r="T11" i="36"/>
  <c r="S11" i="36"/>
  <c r="R11" i="36"/>
  <c r="Q11" i="36"/>
  <c r="X10" i="36"/>
  <c r="W10" i="36"/>
  <c r="V10" i="36"/>
  <c r="U10" i="36"/>
  <c r="T10" i="36"/>
  <c r="S10" i="36"/>
  <c r="R10" i="36"/>
  <c r="Q10" i="36"/>
  <c r="X9" i="36"/>
  <c r="W9" i="36"/>
  <c r="V9" i="36"/>
  <c r="U9" i="36"/>
  <c r="T9" i="36"/>
  <c r="S9" i="36"/>
  <c r="R9" i="36"/>
  <c r="Q9" i="36"/>
  <c r="X8" i="36"/>
  <c r="W8" i="36"/>
  <c r="V8" i="36"/>
  <c r="U8" i="36"/>
  <c r="T8" i="36"/>
  <c r="S8" i="36"/>
  <c r="R8" i="36"/>
  <c r="Q8" i="36"/>
  <c r="X7" i="36"/>
  <c r="W7" i="36"/>
  <c r="V7" i="36"/>
  <c r="U7" i="36"/>
  <c r="T7" i="36"/>
  <c r="S7" i="36"/>
  <c r="R7" i="36"/>
  <c r="Q7" i="36"/>
  <c r="X6" i="36"/>
  <c r="W6" i="36"/>
  <c r="V6" i="36"/>
  <c r="U6" i="36"/>
  <c r="T6" i="36"/>
  <c r="S6" i="36"/>
  <c r="R6" i="36"/>
  <c r="Q6" i="36"/>
  <c r="X5" i="36"/>
  <c r="W5" i="36"/>
  <c r="V5" i="36"/>
  <c r="U5" i="36"/>
  <c r="T5" i="36"/>
  <c r="S5" i="36"/>
  <c r="R5" i="36"/>
  <c r="Q5" i="36"/>
  <c r="X4" i="36"/>
  <c r="X16" i="36" s="1"/>
  <c r="I34" i="3" s="1"/>
  <c r="W4" i="36"/>
  <c r="W16" i="36" s="1"/>
  <c r="H34" i="3" s="1"/>
  <c r="V4" i="36"/>
  <c r="V16" i="36" s="1"/>
  <c r="G34" i="3" s="1"/>
  <c r="U4" i="36"/>
  <c r="U16" i="36" s="1"/>
  <c r="F34" i="3" s="1"/>
  <c r="T4" i="36"/>
  <c r="T16" i="36" s="1"/>
  <c r="E34" i="3" s="1"/>
  <c r="S4" i="36"/>
  <c r="S16" i="36" s="1"/>
  <c r="D34" i="3" s="1"/>
  <c r="R4" i="36"/>
  <c r="R16" i="36" s="1"/>
  <c r="C34" i="3" s="1"/>
  <c r="Q4" i="36"/>
  <c r="Q16" i="36" s="1"/>
  <c r="X15" i="35"/>
  <c r="W15" i="35"/>
  <c r="V15" i="35"/>
  <c r="U15" i="35"/>
  <c r="T15" i="35"/>
  <c r="S15" i="35"/>
  <c r="R15" i="35"/>
  <c r="Q15" i="35"/>
  <c r="X14" i="35"/>
  <c r="W14" i="35"/>
  <c r="V14" i="35"/>
  <c r="U14" i="35"/>
  <c r="T14" i="35"/>
  <c r="S14" i="35"/>
  <c r="R14" i="35"/>
  <c r="Q14" i="35"/>
  <c r="X13" i="35"/>
  <c r="W13" i="35"/>
  <c r="V13" i="35"/>
  <c r="U13" i="35"/>
  <c r="T13" i="35"/>
  <c r="S13" i="35"/>
  <c r="R13" i="35"/>
  <c r="Q13" i="35"/>
  <c r="X12" i="35"/>
  <c r="W12" i="35"/>
  <c r="V12" i="35"/>
  <c r="U12" i="35"/>
  <c r="T12" i="35"/>
  <c r="S12" i="35"/>
  <c r="R12" i="35"/>
  <c r="Q12" i="35"/>
  <c r="X11" i="35"/>
  <c r="W11" i="35"/>
  <c r="V11" i="35"/>
  <c r="U11" i="35"/>
  <c r="T11" i="35"/>
  <c r="S11" i="35"/>
  <c r="R11" i="35"/>
  <c r="Q11" i="35"/>
  <c r="X10" i="35"/>
  <c r="W10" i="35"/>
  <c r="V10" i="35"/>
  <c r="U10" i="35"/>
  <c r="T10" i="35"/>
  <c r="S10" i="35"/>
  <c r="R10" i="35"/>
  <c r="Q10" i="35"/>
  <c r="X9" i="35"/>
  <c r="W9" i="35"/>
  <c r="V9" i="35"/>
  <c r="U9" i="35"/>
  <c r="T9" i="35"/>
  <c r="S9" i="35"/>
  <c r="R9" i="35"/>
  <c r="Q9" i="35"/>
  <c r="X8" i="35"/>
  <c r="W8" i="35"/>
  <c r="V8" i="35"/>
  <c r="U8" i="35"/>
  <c r="T8" i="35"/>
  <c r="S8" i="35"/>
  <c r="R8" i="35"/>
  <c r="Q8" i="35"/>
  <c r="X7" i="35"/>
  <c r="W7" i="35"/>
  <c r="V7" i="35"/>
  <c r="U7" i="35"/>
  <c r="T7" i="35"/>
  <c r="S7" i="35"/>
  <c r="R7" i="35"/>
  <c r="Q7" i="35"/>
  <c r="X6" i="35"/>
  <c r="W6" i="35"/>
  <c r="V6" i="35"/>
  <c r="U6" i="35"/>
  <c r="T6" i="35"/>
  <c r="S6" i="35"/>
  <c r="R6" i="35"/>
  <c r="Q6" i="35"/>
  <c r="X5" i="35"/>
  <c r="W5" i="35"/>
  <c r="V5" i="35"/>
  <c r="U5" i="35"/>
  <c r="T5" i="35"/>
  <c r="S5" i="35"/>
  <c r="R5" i="35"/>
  <c r="Q5" i="35"/>
  <c r="X4" i="35"/>
  <c r="W4" i="35"/>
  <c r="V4" i="35"/>
  <c r="U4" i="35"/>
  <c r="T4" i="35"/>
  <c r="S4" i="35"/>
  <c r="R4" i="35"/>
  <c r="Q4" i="35"/>
  <c r="X15" i="34"/>
  <c r="W15" i="34"/>
  <c r="V15" i="34"/>
  <c r="U15" i="34"/>
  <c r="T15" i="34"/>
  <c r="S15" i="34"/>
  <c r="R15" i="34"/>
  <c r="Q15" i="34"/>
  <c r="Q14" i="34"/>
  <c r="R14" i="34"/>
  <c r="S14" i="34"/>
  <c r="T14" i="34"/>
  <c r="U14" i="34"/>
  <c r="V14" i="34"/>
  <c r="W14" i="34"/>
  <c r="X14" i="34"/>
  <c r="V13" i="34"/>
  <c r="U13" i="34"/>
  <c r="T13" i="34"/>
  <c r="R13" i="34"/>
  <c r="W13" i="34"/>
  <c r="Q13" i="34"/>
  <c r="S13" i="34"/>
  <c r="X13" i="34"/>
  <c r="X12" i="34"/>
  <c r="V12" i="34"/>
  <c r="T12" i="34"/>
  <c r="S12" i="34"/>
  <c r="Q12" i="34"/>
  <c r="R12" i="34"/>
  <c r="U12" i="34"/>
  <c r="W12" i="34"/>
  <c r="X11" i="34"/>
  <c r="V11" i="34"/>
  <c r="T11" i="34"/>
  <c r="R11" i="34"/>
  <c r="S11" i="34"/>
  <c r="Q11" i="34"/>
  <c r="U11" i="34"/>
  <c r="W11" i="34"/>
  <c r="R10" i="34"/>
  <c r="S10" i="34"/>
  <c r="Q10" i="34"/>
  <c r="X10" i="34"/>
  <c r="T10" i="34"/>
  <c r="V10" i="34"/>
  <c r="W10" i="34"/>
  <c r="U10" i="34"/>
  <c r="R9" i="34"/>
  <c r="U9" i="34"/>
  <c r="W9" i="34"/>
  <c r="X9" i="34"/>
  <c r="V9" i="34"/>
  <c r="T9" i="34"/>
  <c r="S9" i="34"/>
  <c r="Q9" i="34"/>
  <c r="S8" i="34"/>
  <c r="T8" i="34"/>
  <c r="Q8" i="34"/>
  <c r="V8" i="34"/>
  <c r="X8" i="34"/>
  <c r="W8" i="34"/>
  <c r="U8" i="34"/>
  <c r="R8" i="34"/>
  <c r="U7" i="34"/>
  <c r="X7" i="34"/>
  <c r="V7" i="34"/>
  <c r="T7" i="34"/>
  <c r="R7" i="34"/>
  <c r="S7" i="34"/>
  <c r="Q7" i="34"/>
  <c r="W7" i="34"/>
  <c r="T6" i="34"/>
  <c r="Q6" i="34"/>
  <c r="X6" i="34"/>
  <c r="W6" i="34"/>
  <c r="S6" i="34"/>
  <c r="U6" i="34"/>
  <c r="R6" i="34"/>
  <c r="V6" i="34"/>
  <c r="X5" i="34"/>
  <c r="W5" i="34"/>
  <c r="U5" i="34"/>
  <c r="S5" i="34"/>
  <c r="V5" i="34"/>
  <c r="Q5" i="34"/>
  <c r="T5" i="34"/>
  <c r="R5" i="34"/>
  <c r="W4" i="34"/>
  <c r="W16" i="34" s="1"/>
  <c r="H32" i="3" s="1"/>
  <c r="U4" i="34"/>
  <c r="U16" i="34" s="1"/>
  <c r="F32" i="3" s="1"/>
  <c r="R4" i="34"/>
  <c r="R16" i="34" s="1"/>
  <c r="C32" i="3" s="1"/>
  <c r="Q4" i="34"/>
  <c r="Q16" i="34" s="1"/>
  <c r="S4" i="34"/>
  <c r="S16" i="34" s="1"/>
  <c r="D32" i="3" s="1"/>
  <c r="T4" i="34"/>
  <c r="T16" i="34" s="1"/>
  <c r="E32" i="3" s="1"/>
  <c r="V4" i="34"/>
  <c r="V16" i="34" s="1"/>
  <c r="G32" i="3" s="1"/>
  <c r="X4" i="34"/>
  <c r="X16" i="34" s="1"/>
  <c r="I32" i="3" s="1"/>
  <c r="X15" i="33"/>
  <c r="S15" i="33"/>
  <c r="Q15" i="33"/>
  <c r="T15" i="33"/>
  <c r="W15" i="33"/>
  <c r="R15" i="33"/>
  <c r="U15" i="33"/>
  <c r="V15" i="33"/>
  <c r="Q14" i="33"/>
  <c r="W14" i="33"/>
  <c r="U14" i="33"/>
  <c r="T14" i="33"/>
  <c r="S14" i="33"/>
  <c r="X14" i="33"/>
  <c r="R14" i="33"/>
  <c r="V14" i="33"/>
  <c r="U13" i="33"/>
  <c r="W13" i="33"/>
  <c r="X13" i="33"/>
  <c r="V13" i="33"/>
  <c r="T13" i="33"/>
  <c r="R13" i="33"/>
  <c r="Q13" i="33"/>
  <c r="S13" i="33"/>
  <c r="X12" i="33"/>
  <c r="W12" i="33"/>
  <c r="V12" i="33"/>
  <c r="T12" i="33"/>
  <c r="R12" i="33"/>
  <c r="Q12" i="33"/>
  <c r="S12" i="33"/>
  <c r="U12" i="33"/>
  <c r="V11" i="33"/>
  <c r="W11" i="33"/>
  <c r="U11" i="33"/>
  <c r="S11" i="33"/>
  <c r="Q11" i="33"/>
  <c r="R11" i="33"/>
  <c r="T11" i="33"/>
  <c r="X11" i="33"/>
  <c r="X10" i="33"/>
  <c r="V10" i="33"/>
  <c r="T10" i="33"/>
  <c r="R10" i="33"/>
  <c r="W10" i="33"/>
  <c r="U10" i="33"/>
  <c r="S10" i="33"/>
  <c r="Q10" i="33"/>
  <c r="U9" i="33"/>
  <c r="T9" i="33"/>
  <c r="R9" i="33"/>
  <c r="W9" i="33"/>
  <c r="X9" i="33"/>
  <c r="V9" i="33"/>
  <c r="S9" i="33"/>
  <c r="Q9" i="33"/>
  <c r="S8" i="33"/>
  <c r="Q8" i="33"/>
  <c r="R8" i="33"/>
  <c r="V8" i="33"/>
  <c r="X8" i="33"/>
  <c r="T8" i="33"/>
  <c r="W8" i="33"/>
  <c r="U8" i="33"/>
  <c r="W7" i="33"/>
  <c r="U7" i="33"/>
  <c r="T7" i="33"/>
  <c r="Q7" i="33"/>
  <c r="V7" i="33"/>
  <c r="X7" i="33"/>
  <c r="R7" i="33"/>
  <c r="S7" i="33"/>
  <c r="U6" i="33"/>
  <c r="R6" i="33"/>
  <c r="W6" i="33"/>
  <c r="S6" i="33"/>
  <c r="Q6" i="33"/>
  <c r="X6" i="33"/>
  <c r="V6" i="33"/>
  <c r="T6" i="33"/>
  <c r="W5" i="33"/>
  <c r="T5" i="33"/>
  <c r="R5" i="33"/>
  <c r="S5" i="33"/>
  <c r="X5" i="33"/>
  <c r="Q5" i="33"/>
  <c r="U5" i="33"/>
  <c r="V5" i="33"/>
  <c r="S4" i="33"/>
  <c r="W4" i="33"/>
  <c r="T4" i="33"/>
  <c r="Q4" i="33"/>
  <c r="R4" i="33"/>
  <c r="U4" i="33"/>
  <c r="X4" i="33"/>
  <c r="V4" i="33"/>
  <c r="X15" i="32"/>
  <c r="U15" i="32"/>
  <c r="V15" i="32"/>
  <c r="T15" i="32"/>
  <c r="W15" i="32"/>
  <c r="S15" i="32"/>
  <c r="Q15" i="32"/>
  <c r="R15" i="32"/>
  <c r="W14" i="32"/>
  <c r="U14" i="32"/>
  <c r="S14" i="32"/>
  <c r="Q14" i="32"/>
  <c r="X14" i="32"/>
  <c r="V14" i="32"/>
  <c r="T14" i="32"/>
  <c r="R14" i="32"/>
  <c r="X12" i="32"/>
  <c r="W12" i="32"/>
  <c r="V12" i="32"/>
  <c r="U12" i="32"/>
  <c r="T12" i="32"/>
  <c r="S12" i="32"/>
  <c r="R12" i="32"/>
  <c r="Q12" i="32"/>
  <c r="X11" i="32"/>
  <c r="W11" i="32"/>
  <c r="V11" i="32"/>
  <c r="U11" i="32"/>
  <c r="T11" i="32"/>
  <c r="S11" i="32"/>
  <c r="R11" i="32"/>
  <c r="Q11" i="32"/>
  <c r="X10" i="32"/>
  <c r="W10" i="32"/>
  <c r="V10" i="32"/>
  <c r="U10" i="32"/>
  <c r="T10" i="32"/>
  <c r="S10" i="32"/>
  <c r="R10" i="32"/>
  <c r="Q10" i="32"/>
  <c r="X9" i="32"/>
  <c r="W9" i="32"/>
  <c r="V9" i="32"/>
  <c r="U9" i="32"/>
  <c r="T9" i="32"/>
  <c r="S9" i="32"/>
  <c r="R9" i="32"/>
  <c r="Q9" i="32"/>
  <c r="X8" i="32"/>
  <c r="W8" i="32"/>
  <c r="V8" i="32"/>
  <c r="U8" i="32"/>
  <c r="T8" i="32"/>
  <c r="S8" i="32"/>
  <c r="R8" i="32"/>
  <c r="Q8" i="32"/>
  <c r="X7" i="32"/>
  <c r="W7" i="32"/>
  <c r="V7" i="32"/>
  <c r="U7" i="32"/>
  <c r="T7" i="32"/>
  <c r="S7" i="32"/>
  <c r="R7" i="32"/>
  <c r="Q7" i="32"/>
  <c r="X6" i="32"/>
  <c r="W6" i="32"/>
  <c r="V6" i="32"/>
  <c r="U6" i="32"/>
  <c r="T6" i="32"/>
  <c r="S6" i="32"/>
  <c r="R6" i="32"/>
  <c r="Q6" i="32"/>
  <c r="X5" i="32"/>
  <c r="W5" i="32"/>
  <c r="V5" i="32"/>
  <c r="U5" i="32"/>
  <c r="T5" i="32"/>
  <c r="S5" i="32"/>
  <c r="R5" i="32"/>
  <c r="Q5" i="32"/>
  <c r="X4" i="32"/>
  <c r="X16" i="32" s="1"/>
  <c r="I30" i="3" s="1"/>
  <c r="W4" i="32"/>
  <c r="W16" i="32" s="1"/>
  <c r="H30" i="3" s="1"/>
  <c r="V4" i="32"/>
  <c r="V16" i="32" s="1"/>
  <c r="G30" i="3" s="1"/>
  <c r="U4" i="32"/>
  <c r="U16" i="32" s="1"/>
  <c r="F30" i="3" s="1"/>
  <c r="T4" i="32"/>
  <c r="T16" i="32" s="1"/>
  <c r="E30" i="3" s="1"/>
  <c r="Q4" i="32"/>
  <c r="Q16" i="32" s="1"/>
  <c r="R4" i="32"/>
  <c r="R16" i="32" s="1"/>
  <c r="C30" i="3" s="1"/>
  <c r="S4" i="32"/>
  <c r="S16" i="32" s="1"/>
  <c r="D30" i="3" s="1"/>
  <c r="W15" i="31"/>
  <c r="X15" i="31"/>
  <c r="T15" i="31"/>
  <c r="U15" i="31"/>
  <c r="V15" i="31"/>
  <c r="Q15" i="31"/>
  <c r="R15" i="31"/>
  <c r="S15" i="31"/>
  <c r="Q14" i="31"/>
  <c r="R14" i="31"/>
  <c r="S14" i="31"/>
  <c r="T14" i="31"/>
  <c r="U14" i="31"/>
  <c r="V14" i="31"/>
  <c r="W14" i="31"/>
  <c r="X14" i="31"/>
  <c r="R13" i="31"/>
  <c r="X13" i="31"/>
  <c r="W13" i="31"/>
  <c r="V13" i="31"/>
  <c r="U13" i="31"/>
  <c r="T13" i="31"/>
  <c r="S13" i="31"/>
  <c r="Q13" i="31"/>
  <c r="U12" i="31"/>
  <c r="X12" i="31"/>
  <c r="W12" i="31"/>
  <c r="Q12" i="31"/>
  <c r="R12" i="31"/>
  <c r="S12" i="31"/>
  <c r="T12" i="31"/>
  <c r="V12" i="31"/>
  <c r="T11" i="31"/>
  <c r="U11" i="31"/>
  <c r="X11" i="31"/>
  <c r="V11" i="31"/>
  <c r="W11" i="31"/>
  <c r="Q11" i="31"/>
  <c r="R11" i="31"/>
  <c r="S11" i="31"/>
  <c r="Q10" i="31"/>
  <c r="R10" i="31"/>
  <c r="S10" i="31"/>
  <c r="T10" i="31"/>
  <c r="U10" i="31"/>
  <c r="V10" i="31"/>
  <c r="W10" i="31"/>
  <c r="X10" i="31"/>
  <c r="X9" i="31"/>
  <c r="W9" i="31"/>
  <c r="V9" i="31"/>
  <c r="T9" i="31"/>
  <c r="U9" i="31"/>
  <c r="Q9" i="31"/>
  <c r="S9" i="31"/>
  <c r="R9" i="31"/>
  <c r="X8" i="31"/>
  <c r="W8" i="31"/>
  <c r="V8" i="31"/>
  <c r="T8" i="31"/>
  <c r="R8" i="31"/>
  <c r="U8" i="31"/>
  <c r="Q8" i="31"/>
  <c r="S8" i="31"/>
  <c r="X7" i="31"/>
  <c r="W7" i="31"/>
  <c r="V7" i="31"/>
  <c r="U7" i="31"/>
  <c r="S7" i="31"/>
  <c r="R7" i="31"/>
  <c r="Q7" i="31"/>
  <c r="T7" i="31"/>
  <c r="X6" i="31"/>
  <c r="T6" i="31"/>
  <c r="S6" i="31"/>
  <c r="R6" i="31"/>
  <c r="Q6" i="31"/>
  <c r="V6" i="31"/>
  <c r="W6" i="31"/>
  <c r="U6" i="31"/>
  <c r="V5" i="31"/>
  <c r="X5" i="31"/>
  <c r="W5" i="31"/>
  <c r="Q5" i="31"/>
  <c r="R5" i="31"/>
  <c r="S5" i="31"/>
  <c r="T5" i="31"/>
  <c r="U5" i="31"/>
  <c r="Q4" i="31"/>
  <c r="R4" i="31"/>
  <c r="S4" i="31"/>
  <c r="T4" i="31"/>
  <c r="U4" i="31"/>
  <c r="V4" i="31"/>
  <c r="W4" i="31"/>
  <c r="X4" i="31"/>
  <c r="U15" i="30"/>
  <c r="R15" i="30"/>
  <c r="S15" i="30"/>
  <c r="T15" i="30"/>
  <c r="Q15" i="30"/>
  <c r="V15" i="30"/>
  <c r="W15" i="30"/>
  <c r="X15" i="30"/>
  <c r="R14" i="30"/>
  <c r="S14" i="30"/>
  <c r="T14" i="30"/>
  <c r="Q14" i="30"/>
  <c r="U14" i="30"/>
  <c r="V14" i="30"/>
  <c r="W14" i="30"/>
  <c r="X14" i="30"/>
  <c r="R13" i="30"/>
  <c r="S13" i="30"/>
  <c r="T13" i="30"/>
  <c r="X13" i="30"/>
  <c r="Q13" i="30"/>
  <c r="U13" i="30"/>
  <c r="V13" i="30"/>
  <c r="W13" i="30"/>
  <c r="X12" i="30"/>
  <c r="S12" i="30"/>
  <c r="Q12" i="30"/>
  <c r="R12" i="30"/>
  <c r="T12" i="30"/>
  <c r="U12" i="30"/>
  <c r="V12" i="30"/>
  <c r="W12" i="30"/>
  <c r="T10" i="30"/>
  <c r="S10" i="30"/>
  <c r="R10" i="30"/>
  <c r="Q10" i="30"/>
  <c r="W10" i="30"/>
  <c r="V10" i="30"/>
  <c r="X10" i="30"/>
  <c r="U10" i="30"/>
  <c r="X9" i="30"/>
  <c r="W9" i="30"/>
  <c r="V9" i="30"/>
  <c r="U9" i="30"/>
  <c r="T9" i="30"/>
  <c r="S9" i="30"/>
  <c r="R9" i="30"/>
  <c r="Q9" i="30"/>
  <c r="X8" i="30"/>
  <c r="W8" i="30"/>
  <c r="V8" i="30"/>
  <c r="U8" i="30"/>
  <c r="T8" i="30"/>
  <c r="S8" i="30"/>
  <c r="R8" i="30"/>
  <c r="Q8" i="30"/>
  <c r="T7" i="30"/>
  <c r="S7" i="30"/>
  <c r="R7" i="30"/>
  <c r="Q7" i="30"/>
  <c r="W7" i="30"/>
  <c r="V7" i="30"/>
  <c r="U7" i="30"/>
  <c r="X7" i="30"/>
  <c r="X6" i="30"/>
  <c r="W6" i="30"/>
  <c r="V6" i="30"/>
  <c r="U6" i="30"/>
  <c r="T6" i="30"/>
  <c r="S6" i="30"/>
  <c r="R6" i="30"/>
  <c r="Q6" i="30"/>
  <c r="S5" i="30"/>
  <c r="R5" i="30"/>
  <c r="Q5" i="30"/>
  <c r="X5" i="30"/>
  <c r="W5" i="30"/>
  <c r="V5" i="30"/>
  <c r="U5" i="30"/>
  <c r="T5" i="30"/>
  <c r="S4" i="30"/>
  <c r="S16" i="30" s="1"/>
  <c r="D28" i="3" s="1"/>
  <c r="R4" i="30"/>
  <c r="R16" i="30" s="1"/>
  <c r="C28" i="3" s="1"/>
  <c r="Q4" i="30"/>
  <c r="Q16" i="30" s="1"/>
  <c r="X4" i="30"/>
  <c r="X16" i="30" s="1"/>
  <c r="I28" i="3" s="1"/>
  <c r="W4" i="30"/>
  <c r="W16" i="30" s="1"/>
  <c r="H28" i="3" s="1"/>
  <c r="V4" i="30"/>
  <c r="V16" i="30" s="1"/>
  <c r="G28" i="3" s="1"/>
  <c r="U4" i="30"/>
  <c r="U16" i="30" s="1"/>
  <c r="F28" i="3" s="1"/>
  <c r="T4" i="30"/>
  <c r="T16" i="30" s="1"/>
  <c r="E28" i="3" s="1"/>
  <c r="X15" i="29"/>
  <c r="W15" i="29"/>
  <c r="V15" i="29"/>
  <c r="U15" i="29"/>
  <c r="T15" i="29"/>
  <c r="S15" i="29"/>
  <c r="R15" i="29"/>
  <c r="Q15" i="29"/>
  <c r="W14" i="29"/>
  <c r="V14" i="29"/>
  <c r="U14" i="29"/>
  <c r="T14" i="29"/>
  <c r="S14" i="29"/>
  <c r="R14" i="29"/>
  <c r="Q14" i="29"/>
  <c r="X14" i="29"/>
  <c r="X13" i="29"/>
  <c r="W13" i="29"/>
  <c r="U13" i="29"/>
  <c r="T13" i="29"/>
  <c r="S13" i="29"/>
  <c r="R13" i="29"/>
  <c r="Q13" i="29"/>
  <c r="V13" i="29"/>
  <c r="X12" i="29"/>
  <c r="W12" i="29"/>
  <c r="V12" i="29"/>
  <c r="U12" i="29"/>
  <c r="T12" i="29"/>
  <c r="S12" i="29"/>
  <c r="Q12" i="29"/>
  <c r="R12" i="29"/>
  <c r="X11" i="29"/>
  <c r="Q11" i="29"/>
  <c r="W11" i="29"/>
  <c r="V11" i="29"/>
  <c r="U11" i="29"/>
  <c r="T11" i="29"/>
  <c r="S11" i="29"/>
  <c r="R11" i="29"/>
  <c r="Q10" i="29"/>
  <c r="X10" i="29"/>
  <c r="W10" i="29"/>
  <c r="V10" i="29"/>
  <c r="U10" i="29"/>
  <c r="T10" i="29"/>
  <c r="S10" i="29"/>
  <c r="R10" i="29"/>
  <c r="Q9" i="29"/>
  <c r="X9" i="29"/>
  <c r="W9" i="29"/>
  <c r="V9" i="29"/>
  <c r="U9" i="29"/>
  <c r="T9" i="29"/>
  <c r="S9" i="29"/>
  <c r="R9" i="29"/>
  <c r="T8" i="29"/>
  <c r="X8" i="29"/>
  <c r="W8" i="29"/>
  <c r="V8" i="29"/>
  <c r="U8" i="29"/>
  <c r="S8" i="29"/>
  <c r="R8" i="29"/>
  <c r="Q8" i="29"/>
  <c r="T7" i="29"/>
  <c r="Q7" i="29"/>
  <c r="R7" i="29"/>
  <c r="S7" i="29"/>
  <c r="X7" i="29"/>
  <c r="W7" i="29"/>
  <c r="V7" i="29"/>
  <c r="U7" i="29"/>
  <c r="U6" i="29"/>
  <c r="V6" i="29"/>
  <c r="W6" i="29"/>
  <c r="X6" i="29"/>
  <c r="T6" i="29"/>
  <c r="S6" i="29"/>
  <c r="R6" i="29"/>
  <c r="Q6" i="29"/>
  <c r="Q5" i="29"/>
  <c r="X5" i="29"/>
  <c r="W5" i="29"/>
  <c r="V5" i="29"/>
  <c r="U5" i="29"/>
  <c r="T5" i="29"/>
  <c r="S5" i="29"/>
  <c r="R5" i="29"/>
  <c r="T4" i="29"/>
  <c r="X4" i="29"/>
  <c r="W4" i="29"/>
  <c r="Q4" i="29"/>
  <c r="R4" i="29"/>
  <c r="U4" i="29"/>
  <c r="S4" i="29"/>
  <c r="V4" i="29"/>
  <c r="U15" i="28"/>
  <c r="V15" i="28"/>
  <c r="W15" i="28"/>
  <c r="X15" i="28"/>
  <c r="T15" i="28"/>
  <c r="Q15" i="28"/>
  <c r="R15" i="28"/>
  <c r="S15" i="28"/>
  <c r="U14" i="28"/>
  <c r="Q14" i="28"/>
  <c r="R14" i="28"/>
  <c r="S14" i="28"/>
  <c r="T14" i="28"/>
  <c r="V14" i="28"/>
  <c r="W14" i="28"/>
  <c r="X14" i="28"/>
  <c r="V13" i="28"/>
  <c r="U13" i="28"/>
  <c r="T13" i="28"/>
  <c r="S13" i="28"/>
  <c r="R13" i="28"/>
  <c r="Q13" i="28"/>
  <c r="W13" i="28"/>
  <c r="X13" i="28"/>
  <c r="U12" i="28"/>
  <c r="X12" i="28"/>
  <c r="W12" i="28"/>
  <c r="V12" i="28"/>
  <c r="T12" i="28"/>
  <c r="S12" i="28"/>
  <c r="R12" i="28"/>
  <c r="Q12" i="28"/>
  <c r="U11" i="28"/>
  <c r="S11" i="28"/>
  <c r="R11" i="28"/>
  <c r="T11" i="28"/>
  <c r="Q11" i="28"/>
  <c r="X11" i="28"/>
  <c r="W11" i="28"/>
  <c r="V11" i="28"/>
  <c r="U10" i="28"/>
  <c r="V10" i="28"/>
  <c r="W10" i="28"/>
  <c r="X10" i="28"/>
  <c r="Q10" i="28"/>
  <c r="T10" i="28"/>
  <c r="R10" i="28"/>
  <c r="S10" i="28"/>
  <c r="Q9" i="28"/>
  <c r="R9" i="28"/>
  <c r="Q8" i="28"/>
  <c r="S8" i="28"/>
  <c r="X8" i="28"/>
  <c r="W8" i="28"/>
  <c r="R8" i="28"/>
  <c r="T8" i="28"/>
  <c r="V8" i="28"/>
  <c r="U8" i="28"/>
  <c r="X7" i="28"/>
  <c r="W7" i="28"/>
  <c r="V7" i="28"/>
  <c r="Q7" i="28"/>
  <c r="R7" i="28"/>
  <c r="S7" i="28"/>
  <c r="T7" i="28"/>
  <c r="U7" i="28"/>
  <c r="R6" i="28"/>
  <c r="U6" i="28"/>
  <c r="V6" i="28"/>
  <c r="W6" i="28"/>
  <c r="X6" i="28"/>
  <c r="Q6" i="28"/>
  <c r="S6" i="28"/>
  <c r="T6" i="28"/>
  <c r="S5" i="28"/>
  <c r="R5" i="28"/>
  <c r="Q5" i="28"/>
  <c r="V5" i="28"/>
  <c r="U5" i="28"/>
  <c r="T5" i="28"/>
  <c r="X5" i="28"/>
  <c r="W5" i="28"/>
  <c r="V4" i="28"/>
  <c r="V16" i="28" s="1"/>
  <c r="G26" i="3" s="1"/>
  <c r="W4" i="28"/>
  <c r="W16" i="28" s="1"/>
  <c r="H26" i="3" s="1"/>
  <c r="X4" i="28"/>
  <c r="X16" i="28" s="1"/>
  <c r="I26" i="3" s="1"/>
  <c r="Q4" i="28"/>
  <c r="Q16" i="28" s="1"/>
  <c r="R4" i="28"/>
  <c r="R16" i="28" s="1"/>
  <c r="C26" i="3" s="1"/>
  <c r="S4" i="28"/>
  <c r="S16" i="28" s="1"/>
  <c r="D26" i="3" s="1"/>
  <c r="T4" i="28"/>
  <c r="T16" i="28" s="1"/>
  <c r="E26" i="3" s="1"/>
  <c r="U4" i="28"/>
  <c r="U16" i="28" s="1"/>
  <c r="F26" i="3" s="1"/>
  <c r="Q15" i="27"/>
  <c r="X15" i="27"/>
  <c r="W15" i="27"/>
  <c r="V15" i="27"/>
  <c r="U15" i="27"/>
  <c r="T15" i="27"/>
  <c r="S15" i="27"/>
  <c r="R15" i="27"/>
  <c r="V14" i="27"/>
  <c r="X14" i="27"/>
  <c r="W14" i="27"/>
  <c r="U14" i="27"/>
  <c r="T14" i="27"/>
  <c r="S14" i="27"/>
  <c r="R14" i="27"/>
  <c r="Q14" i="27"/>
  <c r="V13" i="27"/>
  <c r="X13" i="27"/>
  <c r="Q13" i="27"/>
  <c r="T13" i="27"/>
  <c r="R13" i="27"/>
  <c r="S13" i="27"/>
  <c r="U13" i="27"/>
  <c r="W13" i="27"/>
  <c r="V12" i="27"/>
  <c r="U12" i="27"/>
  <c r="T12" i="27"/>
  <c r="Q12" i="27"/>
  <c r="S12" i="27"/>
  <c r="R12" i="27"/>
  <c r="X12" i="27"/>
  <c r="W12" i="27"/>
  <c r="U11" i="27"/>
  <c r="V11" i="27"/>
  <c r="W11" i="27"/>
  <c r="X11" i="27"/>
  <c r="R11" i="27"/>
  <c r="Q11" i="27"/>
  <c r="S11" i="27"/>
  <c r="T11" i="27"/>
  <c r="V10" i="27"/>
  <c r="W10" i="27"/>
  <c r="R10" i="27"/>
  <c r="X10" i="27"/>
  <c r="Q10" i="27"/>
  <c r="S10" i="27"/>
  <c r="T10" i="27"/>
  <c r="U10" i="27"/>
  <c r="R9" i="27"/>
  <c r="W9" i="27"/>
  <c r="V9" i="27"/>
  <c r="Q9" i="27"/>
  <c r="S9" i="27"/>
  <c r="U9" i="27"/>
  <c r="X9" i="27"/>
  <c r="T9" i="27"/>
  <c r="V8" i="27"/>
  <c r="X8" i="27"/>
  <c r="W8" i="27"/>
  <c r="Q8" i="27"/>
  <c r="T8" i="27"/>
  <c r="S8" i="27"/>
  <c r="U8" i="27"/>
  <c r="R8" i="27"/>
  <c r="S7" i="27"/>
  <c r="R7" i="27"/>
  <c r="Q7" i="27"/>
  <c r="V7" i="27"/>
  <c r="U7" i="27"/>
  <c r="W7" i="27"/>
  <c r="T7" i="27"/>
  <c r="X7" i="27"/>
  <c r="V6" i="27"/>
  <c r="W6" i="27"/>
  <c r="U6" i="27"/>
  <c r="X6" i="27"/>
  <c r="S6" i="27"/>
  <c r="T6" i="27"/>
  <c r="Q6" i="27"/>
  <c r="R6" i="27"/>
  <c r="Q5" i="27"/>
  <c r="R5" i="27"/>
  <c r="T5" i="27"/>
  <c r="U5" i="27"/>
  <c r="V5" i="27"/>
  <c r="W5" i="27"/>
  <c r="X5" i="27"/>
  <c r="S5" i="27"/>
  <c r="X4" i="27"/>
  <c r="X16" i="27" s="1"/>
  <c r="I25" i="3" s="1"/>
  <c r="W4" i="27"/>
  <c r="W16" i="27" s="1"/>
  <c r="H25" i="3" s="1"/>
  <c r="V4" i="27"/>
  <c r="V16" i="27" s="1"/>
  <c r="G25" i="3" s="1"/>
  <c r="U4" i="27"/>
  <c r="U16" i="27" s="1"/>
  <c r="F25" i="3" s="1"/>
  <c r="T4" i="27"/>
  <c r="S4" i="27"/>
  <c r="R4" i="27"/>
  <c r="Q4" i="27"/>
  <c r="S15" i="26"/>
  <c r="T15" i="26"/>
  <c r="V15" i="26"/>
  <c r="U15" i="26"/>
  <c r="Q15" i="26"/>
  <c r="R15" i="26"/>
  <c r="W15" i="26"/>
  <c r="X15" i="26"/>
  <c r="U14" i="26"/>
  <c r="Q14" i="26"/>
  <c r="R14" i="26"/>
  <c r="S14" i="26"/>
  <c r="T14" i="26"/>
  <c r="V14" i="26"/>
  <c r="W14" i="26"/>
  <c r="X14" i="26"/>
  <c r="Q13" i="26"/>
  <c r="R13" i="26"/>
  <c r="S13" i="26"/>
  <c r="T13" i="26"/>
  <c r="U13" i="26"/>
  <c r="V13" i="26"/>
  <c r="W13" i="26"/>
  <c r="X13" i="26"/>
  <c r="V12" i="26"/>
  <c r="W12" i="26"/>
  <c r="U12" i="26"/>
  <c r="S12" i="26"/>
  <c r="X12" i="26"/>
  <c r="T12" i="26"/>
  <c r="Q12" i="26"/>
  <c r="R12" i="26"/>
  <c r="T11" i="26"/>
  <c r="R11" i="26"/>
  <c r="Q11" i="26"/>
  <c r="X11" i="26"/>
  <c r="W11" i="26"/>
  <c r="V11" i="26"/>
  <c r="U11" i="26"/>
  <c r="S11" i="26"/>
  <c r="T10" i="26"/>
  <c r="S10" i="26"/>
  <c r="R10" i="26"/>
  <c r="Q10" i="26"/>
  <c r="X10" i="26"/>
  <c r="U10" i="26"/>
  <c r="V10" i="26"/>
  <c r="W10" i="26"/>
  <c r="R9" i="26"/>
  <c r="W9" i="26"/>
  <c r="X9" i="26"/>
  <c r="V9" i="26"/>
  <c r="U9" i="26"/>
  <c r="T9" i="26"/>
  <c r="S9" i="26"/>
  <c r="Q9" i="26"/>
  <c r="X8" i="26"/>
  <c r="W8" i="26"/>
  <c r="V8" i="26"/>
  <c r="U8" i="26"/>
  <c r="Q8" i="26"/>
  <c r="R8" i="26"/>
  <c r="S8" i="26"/>
  <c r="T8" i="26"/>
  <c r="Q7" i="26"/>
  <c r="R7" i="26"/>
  <c r="S7" i="26"/>
  <c r="V6" i="26"/>
  <c r="W6" i="26"/>
  <c r="X6" i="26"/>
  <c r="Q6" i="26"/>
  <c r="R6" i="26"/>
  <c r="S6" i="26"/>
  <c r="T6" i="26"/>
  <c r="U6" i="26"/>
  <c r="S5" i="26"/>
  <c r="X5" i="26"/>
  <c r="W5" i="26"/>
  <c r="V5" i="26"/>
  <c r="T5" i="26"/>
  <c r="R5" i="26"/>
  <c r="Q5" i="26"/>
  <c r="U5" i="26"/>
  <c r="U4" i="26"/>
  <c r="U16" i="26" s="1"/>
  <c r="F24" i="3" s="1"/>
  <c r="X4" i="26"/>
  <c r="X16" i="26" s="1"/>
  <c r="I24" i="3" s="1"/>
  <c r="W4" i="26"/>
  <c r="W16" i="26" s="1"/>
  <c r="H24" i="3" s="1"/>
  <c r="V4" i="26"/>
  <c r="V16" i="26" s="1"/>
  <c r="G24" i="3" s="1"/>
  <c r="T4" i="26"/>
  <c r="T16" i="26" s="1"/>
  <c r="E24" i="3" s="1"/>
  <c r="S4" i="26"/>
  <c r="S16" i="26" s="1"/>
  <c r="D24" i="3" s="1"/>
  <c r="R4" i="26"/>
  <c r="R16" i="26" s="1"/>
  <c r="C24" i="3" s="1"/>
  <c r="Q4" i="26"/>
  <c r="Q16" i="26" s="1"/>
  <c r="R15" i="25"/>
  <c r="Q15" i="25"/>
  <c r="X15" i="25"/>
  <c r="W15" i="25"/>
  <c r="V15" i="25"/>
  <c r="U15" i="25"/>
  <c r="T15" i="25"/>
  <c r="S15" i="25"/>
  <c r="U14" i="25"/>
  <c r="V14" i="25"/>
  <c r="W14" i="25"/>
  <c r="T14" i="25"/>
  <c r="X14" i="25"/>
  <c r="Q14" i="25"/>
  <c r="R14" i="25"/>
  <c r="S14" i="25"/>
  <c r="Q13" i="25"/>
  <c r="R13" i="25"/>
  <c r="S13" i="25"/>
  <c r="T13" i="25"/>
  <c r="U13" i="25"/>
  <c r="V13" i="25"/>
  <c r="W13" i="25"/>
  <c r="X13" i="25"/>
  <c r="Q12" i="25"/>
  <c r="R12" i="25"/>
  <c r="S12" i="25"/>
  <c r="T12" i="25"/>
  <c r="U12" i="25"/>
  <c r="V12" i="25"/>
  <c r="W12" i="25"/>
  <c r="X12" i="25"/>
  <c r="X11" i="25"/>
  <c r="R11" i="25"/>
  <c r="Q11" i="25"/>
  <c r="T11" i="25"/>
  <c r="U11" i="25"/>
  <c r="V11" i="25"/>
  <c r="W11" i="25"/>
  <c r="S11" i="25"/>
  <c r="S10" i="25"/>
  <c r="R10" i="25"/>
  <c r="Q10" i="25"/>
  <c r="U10" i="25"/>
  <c r="V10" i="25"/>
  <c r="W10" i="25"/>
  <c r="X10" i="25"/>
  <c r="T10" i="25"/>
  <c r="T9" i="25"/>
  <c r="Q9" i="25"/>
  <c r="R9" i="25"/>
  <c r="S9" i="25"/>
  <c r="U9" i="25"/>
  <c r="V9" i="25"/>
  <c r="W9" i="25"/>
  <c r="X9" i="25"/>
  <c r="Q8" i="25"/>
  <c r="R8" i="25"/>
  <c r="S8" i="25"/>
  <c r="T8" i="25"/>
  <c r="V8" i="25"/>
  <c r="W8" i="25"/>
  <c r="X8" i="25"/>
  <c r="U8" i="25"/>
  <c r="W7" i="25"/>
  <c r="X7" i="25"/>
  <c r="T7" i="25"/>
  <c r="Q7" i="25"/>
  <c r="R7" i="25"/>
  <c r="S7" i="25"/>
  <c r="U7" i="25"/>
  <c r="V7" i="25"/>
  <c r="S6" i="25"/>
  <c r="Q6" i="25"/>
  <c r="R6" i="25"/>
  <c r="T6" i="25"/>
  <c r="U6" i="25"/>
  <c r="V6" i="25"/>
  <c r="W6" i="25"/>
  <c r="X6" i="25"/>
  <c r="Q5" i="25"/>
  <c r="R5" i="25"/>
  <c r="T5" i="25"/>
  <c r="U5" i="25"/>
  <c r="V5" i="25"/>
  <c r="W5" i="25"/>
  <c r="X5" i="25"/>
  <c r="S5" i="25"/>
  <c r="R4" i="25"/>
  <c r="Q4" i="25"/>
  <c r="U4" i="25"/>
  <c r="V4" i="25"/>
  <c r="W4" i="25"/>
  <c r="X4" i="25"/>
  <c r="S4" i="25"/>
  <c r="T4" i="25"/>
  <c r="X15" i="24"/>
  <c r="W15" i="24"/>
  <c r="V15" i="24"/>
  <c r="U15" i="24"/>
  <c r="T15" i="24"/>
  <c r="S15" i="24"/>
  <c r="Q15" i="24"/>
  <c r="R15" i="24"/>
  <c r="X14" i="24"/>
  <c r="W14" i="24"/>
  <c r="V14" i="24"/>
  <c r="U14" i="24"/>
  <c r="T14" i="24"/>
  <c r="S14" i="24"/>
  <c r="R14" i="24"/>
  <c r="Q14" i="24"/>
  <c r="X13" i="24"/>
  <c r="W13" i="24"/>
  <c r="V13" i="24"/>
  <c r="U13" i="24"/>
  <c r="T13" i="24"/>
  <c r="S13" i="24"/>
  <c r="R13" i="24"/>
  <c r="Q13" i="24"/>
  <c r="X12" i="24"/>
  <c r="W12" i="24"/>
  <c r="V12" i="24"/>
  <c r="U12" i="24"/>
  <c r="T12" i="24"/>
  <c r="S12" i="24"/>
  <c r="R12" i="24"/>
  <c r="Q12" i="24"/>
  <c r="X11" i="24"/>
  <c r="W11" i="24"/>
  <c r="V11" i="24"/>
  <c r="U11" i="24"/>
  <c r="T11" i="24"/>
  <c r="S11" i="24"/>
  <c r="R11" i="24"/>
  <c r="Q11" i="24"/>
  <c r="X10" i="24"/>
  <c r="W10" i="24"/>
  <c r="V10" i="24"/>
  <c r="U10" i="24"/>
  <c r="T10" i="24"/>
  <c r="S10" i="24"/>
  <c r="R10" i="24"/>
  <c r="Q10" i="24"/>
  <c r="W9" i="24"/>
  <c r="X9" i="24"/>
  <c r="V9" i="24"/>
  <c r="U9" i="24"/>
  <c r="T9" i="24"/>
  <c r="S9" i="24"/>
  <c r="R9" i="24"/>
  <c r="Q9" i="24"/>
  <c r="S8" i="24"/>
  <c r="R8" i="24"/>
  <c r="Q8" i="24"/>
  <c r="V8" i="24"/>
  <c r="U8" i="24"/>
  <c r="T8" i="24"/>
  <c r="W8" i="24"/>
  <c r="X8" i="24"/>
  <c r="X7" i="24"/>
  <c r="W7" i="24"/>
  <c r="V7" i="24"/>
  <c r="U7" i="24"/>
  <c r="S7" i="24"/>
  <c r="R7" i="24"/>
  <c r="Q7" i="24"/>
  <c r="T7" i="24"/>
  <c r="T6" i="24"/>
  <c r="U6" i="24"/>
  <c r="V6" i="24"/>
  <c r="W6" i="24"/>
  <c r="X6" i="24"/>
  <c r="R6" i="24"/>
  <c r="Q6" i="24"/>
  <c r="S6" i="24"/>
  <c r="Q5" i="24"/>
  <c r="S5" i="24"/>
  <c r="R5" i="24"/>
  <c r="V4" i="24"/>
  <c r="V16" i="24" s="1"/>
  <c r="G22" i="3" s="1"/>
  <c r="W4" i="24"/>
  <c r="W16" i="24" s="1"/>
  <c r="H22" i="3" s="1"/>
  <c r="X4" i="24"/>
  <c r="X16" i="24" s="1"/>
  <c r="I22" i="3" s="1"/>
  <c r="Q4" i="24"/>
  <c r="Q16" i="24" s="1"/>
  <c r="R4" i="24"/>
  <c r="R16" i="24" s="1"/>
  <c r="C22" i="3" s="1"/>
  <c r="S4" i="24"/>
  <c r="S16" i="24" s="1"/>
  <c r="D22" i="3" s="1"/>
  <c r="T4" i="24"/>
  <c r="T16" i="24" s="1"/>
  <c r="E22" i="3" s="1"/>
  <c r="U4" i="24"/>
  <c r="U16" i="24" s="1"/>
  <c r="F22" i="3" s="1"/>
  <c r="R15" i="23"/>
  <c r="Q15" i="23"/>
  <c r="S15" i="23"/>
  <c r="T15" i="23"/>
  <c r="U15" i="23"/>
  <c r="V15" i="23"/>
  <c r="W15" i="23"/>
  <c r="X15" i="23"/>
  <c r="R14" i="23"/>
  <c r="Q14" i="23"/>
  <c r="X14" i="23"/>
  <c r="W14" i="23"/>
  <c r="V14" i="23"/>
  <c r="U14" i="23"/>
  <c r="T14" i="23"/>
  <c r="S14" i="23"/>
  <c r="Q13" i="23"/>
  <c r="U13" i="23"/>
  <c r="S13" i="23"/>
  <c r="X13" i="23"/>
  <c r="W13" i="23"/>
  <c r="V13" i="23"/>
  <c r="T13" i="23"/>
  <c r="R13" i="23"/>
  <c r="Q12" i="23"/>
  <c r="R12" i="23"/>
  <c r="S12" i="23"/>
  <c r="V12" i="23"/>
  <c r="T12" i="23"/>
  <c r="U12" i="23"/>
  <c r="W12" i="23"/>
  <c r="X12" i="23"/>
  <c r="Q11" i="23"/>
  <c r="R11" i="23"/>
  <c r="S11" i="23"/>
  <c r="U11" i="23"/>
  <c r="V11" i="23"/>
  <c r="W11" i="23"/>
  <c r="X11" i="23"/>
  <c r="T11" i="23"/>
  <c r="X10" i="23"/>
  <c r="V10" i="23"/>
  <c r="Q10" i="23"/>
  <c r="U10" i="23"/>
  <c r="T10" i="23"/>
  <c r="S10" i="23"/>
  <c r="R10" i="23"/>
  <c r="W10" i="23"/>
  <c r="X9" i="23"/>
  <c r="S9" i="23"/>
  <c r="Q9" i="23"/>
  <c r="R9" i="23"/>
  <c r="T9" i="23"/>
  <c r="U9" i="23"/>
  <c r="V9" i="23"/>
  <c r="W9" i="23"/>
  <c r="Q8" i="23"/>
  <c r="X8" i="23"/>
  <c r="W8" i="23"/>
  <c r="V8" i="23"/>
  <c r="U8" i="23"/>
  <c r="T8" i="23"/>
  <c r="S8" i="23"/>
  <c r="R8" i="23"/>
  <c r="T7" i="23"/>
  <c r="S7" i="23"/>
  <c r="R7" i="23"/>
  <c r="Q7" i="23"/>
  <c r="U7" i="23"/>
  <c r="V7" i="23"/>
  <c r="W7" i="23"/>
  <c r="X7" i="23"/>
  <c r="T6" i="23"/>
  <c r="W6" i="23"/>
  <c r="X6" i="23"/>
  <c r="S6" i="23"/>
  <c r="U6" i="23"/>
  <c r="V6" i="23"/>
  <c r="R6" i="23"/>
  <c r="Q6" i="23"/>
  <c r="T5" i="23"/>
  <c r="R5" i="23"/>
  <c r="S5" i="23"/>
  <c r="U5" i="23"/>
  <c r="V5" i="23"/>
  <c r="W5" i="23"/>
  <c r="X5" i="23"/>
  <c r="Q5" i="23"/>
  <c r="S4" i="23"/>
  <c r="T4" i="23"/>
  <c r="U4" i="23"/>
  <c r="W4" i="23"/>
  <c r="Q4" i="23"/>
  <c r="X4" i="23"/>
  <c r="R4" i="23"/>
  <c r="V4" i="23"/>
  <c r="T15" i="22"/>
  <c r="X15" i="22"/>
  <c r="W15" i="22"/>
  <c r="V15" i="22"/>
  <c r="U15" i="22"/>
  <c r="S15" i="22"/>
  <c r="R15" i="22"/>
  <c r="Q15" i="22"/>
  <c r="Q14" i="22"/>
  <c r="R14" i="22"/>
  <c r="S14" i="22"/>
  <c r="T14" i="22"/>
  <c r="U14" i="22"/>
  <c r="V14" i="22"/>
  <c r="W14" i="22"/>
  <c r="X14" i="22"/>
  <c r="T13" i="22"/>
  <c r="U13" i="22"/>
  <c r="X13" i="22"/>
  <c r="V13" i="22"/>
  <c r="W13" i="22"/>
  <c r="Q13" i="22"/>
  <c r="R13" i="22"/>
  <c r="S13" i="22"/>
  <c r="W12" i="22"/>
  <c r="Q12" i="22"/>
  <c r="R12" i="22"/>
  <c r="S12" i="22"/>
  <c r="T12" i="22"/>
  <c r="U12" i="22"/>
  <c r="V12" i="22"/>
  <c r="X12" i="22"/>
  <c r="U11" i="22"/>
  <c r="T11" i="22"/>
  <c r="R11" i="22"/>
  <c r="Q11" i="22"/>
  <c r="W11" i="22"/>
  <c r="X11" i="22"/>
  <c r="V11" i="22"/>
  <c r="S11" i="22"/>
  <c r="X10" i="22"/>
  <c r="Q10" i="22"/>
  <c r="R10" i="22"/>
  <c r="S10" i="22"/>
  <c r="T10" i="22"/>
  <c r="U10" i="22"/>
  <c r="V10" i="22"/>
  <c r="W10" i="22"/>
  <c r="R9" i="22"/>
  <c r="S9" i="22"/>
  <c r="T9" i="22"/>
  <c r="U9" i="22"/>
  <c r="V9" i="22"/>
  <c r="W9" i="22"/>
  <c r="Q9" i="22"/>
  <c r="X9" i="22"/>
  <c r="X8" i="22"/>
  <c r="V8" i="22"/>
  <c r="U8" i="22"/>
  <c r="T8" i="22"/>
  <c r="S8" i="22"/>
  <c r="R8" i="22"/>
  <c r="W8" i="22"/>
  <c r="Q8" i="22"/>
  <c r="Q7" i="22"/>
  <c r="R7" i="22"/>
  <c r="S7" i="22"/>
  <c r="T7" i="22"/>
  <c r="U7" i="22"/>
  <c r="V7" i="22"/>
  <c r="W7" i="22"/>
  <c r="X7" i="22"/>
  <c r="Q6" i="22"/>
  <c r="R6" i="22"/>
  <c r="S6" i="22"/>
  <c r="T6" i="22"/>
  <c r="U6" i="22"/>
  <c r="V6" i="22"/>
  <c r="W6" i="22"/>
  <c r="X6" i="22"/>
  <c r="U5" i="22"/>
  <c r="V5" i="22"/>
  <c r="W5" i="22"/>
  <c r="X5" i="22"/>
  <c r="Q5" i="22"/>
  <c r="S5" i="22"/>
  <c r="T5" i="22"/>
  <c r="R5" i="22"/>
  <c r="X4" i="22"/>
  <c r="X16" i="22" s="1"/>
  <c r="I20" i="3" s="1"/>
  <c r="W4" i="22"/>
  <c r="W16" i="22" s="1"/>
  <c r="H20" i="3" s="1"/>
  <c r="V4" i="22"/>
  <c r="V16" i="22" s="1"/>
  <c r="G20" i="3" s="1"/>
  <c r="U4" i="22"/>
  <c r="U16" i="22" s="1"/>
  <c r="F20" i="3" s="1"/>
  <c r="T4" i="22"/>
  <c r="T16" i="22" s="1"/>
  <c r="E20" i="3" s="1"/>
  <c r="S4" i="22"/>
  <c r="S16" i="22" s="1"/>
  <c r="D20" i="3" s="1"/>
  <c r="R4" i="22"/>
  <c r="R16" i="22" s="1"/>
  <c r="C20" i="3" s="1"/>
  <c r="Q4" i="22"/>
  <c r="Q16" i="22" s="1"/>
  <c r="Q15" i="21"/>
  <c r="R15" i="21"/>
  <c r="S15" i="21"/>
  <c r="T15" i="21"/>
  <c r="U15" i="21"/>
  <c r="V15" i="21"/>
  <c r="W15" i="21"/>
  <c r="X15" i="21"/>
  <c r="R14" i="21"/>
  <c r="Q14" i="21"/>
  <c r="S14" i="21"/>
  <c r="T14" i="21"/>
  <c r="U14" i="21"/>
  <c r="V14" i="21"/>
  <c r="W14" i="21"/>
  <c r="X14" i="21"/>
  <c r="V13" i="21"/>
  <c r="W13" i="21"/>
  <c r="X13" i="21"/>
  <c r="Q13" i="21"/>
  <c r="S13" i="21"/>
  <c r="R13" i="21"/>
  <c r="T13" i="21"/>
  <c r="U13" i="21"/>
  <c r="S12" i="21"/>
  <c r="T12" i="21"/>
  <c r="U12" i="21"/>
  <c r="V12" i="21"/>
  <c r="W12" i="21"/>
  <c r="X12" i="21"/>
  <c r="R12" i="21"/>
  <c r="Q12" i="21"/>
  <c r="S11" i="21"/>
  <c r="R11" i="21"/>
  <c r="Q11" i="21"/>
  <c r="U11" i="21"/>
  <c r="X11" i="21"/>
  <c r="T11" i="21"/>
  <c r="W11" i="21"/>
  <c r="V11" i="21"/>
  <c r="T10" i="21"/>
  <c r="U10" i="21"/>
  <c r="V10" i="21"/>
  <c r="W10" i="21"/>
  <c r="X10" i="21"/>
  <c r="Q10" i="21"/>
  <c r="R10" i="21"/>
  <c r="S10" i="21"/>
  <c r="W9" i="21"/>
  <c r="X9" i="21"/>
  <c r="V9" i="21"/>
  <c r="U9" i="21"/>
  <c r="T9" i="21"/>
  <c r="S9" i="21"/>
  <c r="R9" i="21"/>
  <c r="Q9" i="21"/>
  <c r="U8" i="21"/>
  <c r="T8" i="21"/>
  <c r="S8" i="21"/>
  <c r="R8" i="21"/>
  <c r="X8" i="21"/>
  <c r="Q8" i="21"/>
  <c r="W8" i="21"/>
  <c r="V8" i="21"/>
  <c r="U7" i="21"/>
  <c r="S7" i="21"/>
  <c r="R7" i="21"/>
  <c r="Q7" i="21"/>
  <c r="T7" i="21"/>
  <c r="X7" i="21"/>
  <c r="W7" i="21"/>
  <c r="V7" i="21"/>
  <c r="X6" i="21"/>
  <c r="W6" i="21"/>
  <c r="V6" i="21"/>
  <c r="U6" i="21"/>
  <c r="T6" i="21"/>
  <c r="S6" i="21"/>
  <c r="Q6" i="21"/>
  <c r="R6" i="21"/>
  <c r="Q5" i="21"/>
  <c r="X5" i="21"/>
  <c r="W5" i="21"/>
  <c r="V5" i="21"/>
  <c r="U5" i="21"/>
  <c r="T5" i="21"/>
  <c r="S5" i="21"/>
  <c r="R5" i="21"/>
  <c r="V4" i="21"/>
  <c r="W4" i="21"/>
  <c r="X4" i="21"/>
  <c r="U4" i="21"/>
  <c r="T4" i="21"/>
  <c r="S4" i="21"/>
  <c r="R4" i="21"/>
  <c r="Q4" i="21"/>
  <c r="W15" i="20"/>
  <c r="X15" i="20"/>
  <c r="V15" i="20"/>
  <c r="U15" i="20"/>
  <c r="T15" i="20"/>
  <c r="S15" i="20"/>
  <c r="R15" i="20"/>
  <c r="Q15" i="20"/>
  <c r="Q14" i="20"/>
  <c r="S14" i="20"/>
  <c r="T14" i="20"/>
  <c r="U14" i="20"/>
  <c r="V14" i="20"/>
  <c r="W14" i="20"/>
  <c r="X14" i="20"/>
  <c r="R14" i="20"/>
  <c r="Q13" i="20"/>
  <c r="R13" i="20"/>
  <c r="S13" i="20"/>
  <c r="T13" i="20"/>
  <c r="U13" i="20"/>
  <c r="V13" i="20"/>
  <c r="W13" i="20"/>
  <c r="X13" i="20"/>
  <c r="W12" i="20"/>
  <c r="V12" i="20"/>
  <c r="U12" i="20"/>
  <c r="T12" i="20"/>
  <c r="S12" i="20"/>
  <c r="R12" i="20"/>
  <c r="Q12" i="20"/>
  <c r="X12" i="20"/>
  <c r="S11" i="20"/>
  <c r="T11" i="20"/>
  <c r="U11" i="20"/>
  <c r="V11" i="20"/>
  <c r="X11" i="20"/>
  <c r="Q11" i="20"/>
  <c r="W11" i="20"/>
  <c r="R11" i="20"/>
  <c r="S10" i="20"/>
  <c r="T10" i="20"/>
  <c r="Q10" i="20"/>
  <c r="R10" i="20"/>
  <c r="U10" i="20"/>
  <c r="V10" i="20"/>
  <c r="W10" i="20"/>
  <c r="X10" i="20"/>
  <c r="Q9" i="20"/>
  <c r="W9" i="20"/>
  <c r="V9" i="20"/>
  <c r="U9" i="20"/>
  <c r="T9" i="20"/>
  <c r="S9" i="20"/>
  <c r="R9" i="20"/>
  <c r="X9" i="20"/>
  <c r="X8" i="20"/>
  <c r="W8" i="20"/>
  <c r="V8" i="20"/>
  <c r="U8" i="20"/>
  <c r="T8" i="20"/>
  <c r="S8" i="20"/>
  <c r="R8" i="20"/>
  <c r="Q8" i="20"/>
  <c r="S7" i="20"/>
  <c r="X7" i="20"/>
  <c r="V7" i="20"/>
  <c r="W7" i="20"/>
  <c r="U7" i="20"/>
  <c r="T7" i="20"/>
  <c r="R7" i="20"/>
  <c r="Q7" i="20"/>
  <c r="T6" i="20"/>
  <c r="U6" i="20"/>
  <c r="R6" i="20"/>
  <c r="Q6" i="20"/>
  <c r="S6" i="20"/>
  <c r="X6" i="20"/>
  <c r="W6" i="20"/>
  <c r="V6" i="20"/>
  <c r="R5" i="20"/>
  <c r="S5" i="20"/>
  <c r="T5" i="20"/>
  <c r="V5" i="20"/>
  <c r="U5" i="20"/>
  <c r="W5" i="20"/>
  <c r="X5" i="20"/>
  <c r="Q5" i="20"/>
  <c r="W4" i="20"/>
  <c r="W16" i="20" s="1"/>
  <c r="H18" i="3" s="1"/>
  <c r="V4" i="20"/>
  <c r="V16" i="20" s="1"/>
  <c r="G18" i="3" s="1"/>
  <c r="U4" i="20"/>
  <c r="U16" i="20" s="1"/>
  <c r="F18" i="3" s="1"/>
  <c r="S4" i="20"/>
  <c r="S16" i="20" s="1"/>
  <c r="D18" i="3" s="1"/>
  <c r="R4" i="20"/>
  <c r="R16" i="20" s="1"/>
  <c r="C18" i="3" s="1"/>
  <c r="T4" i="20"/>
  <c r="T16" i="20" s="1"/>
  <c r="E18" i="3" s="1"/>
  <c r="Q4" i="20"/>
  <c r="Q16" i="20" s="1"/>
  <c r="X4" i="20"/>
  <c r="X16" i="20" s="1"/>
  <c r="I18" i="3" s="1"/>
  <c r="U15" i="19"/>
  <c r="Q15" i="19"/>
  <c r="T15" i="19"/>
  <c r="V15" i="19"/>
  <c r="X15" i="19"/>
  <c r="W15" i="19"/>
  <c r="S15" i="19"/>
  <c r="R15" i="19"/>
  <c r="S14" i="19"/>
  <c r="T14" i="19"/>
  <c r="R14" i="19"/>
  <c r="Q14" i="19"/>
  <c r="R13" i="19"/>
  <c r="S13" i="19"/>
  <c r="T13" i="19"/>
  <c r="U13" i="19"/>
  <c r="V13" i="19"/>
  <c r="W13" i="19"/>
  <c r="X13" i="19"/>
  <c r="Q13" i="19"/>
  <c r="U12" i="19"/>
  <c r="T12" i="19"/>
  <c r="S12" i="19"/>
  <c r="R12" i="19"/>
  <c r="Q12" i="19"/>
  <c r="W12" i="19"/>
  <c r="V12" i="19"/>
  <c r="X12" i="19"/>
  <c r="X11" i="19"/>
  <c r="W11" i="19"/>
  <c r="V11" i="19"/>
  <c r="U11" i="19"/>
  <c r="T11" i="19"/>
  <c r="S11" i="19"/>
  <c r="R11" i="19"/>
  <c r="Q11" i="19"/>
  <c r="X10" i="19"/>
  <c r="W10" i="19"/>
  <c r="V10" i="19"/>
  <c r="U10" i="19"/>
  <c r="T10" i="19"/>
  <c r="S10" i="19"/>
  <c r="R10" i="19"/>
  <c r="Q10" i="19"/>
  <c r="W9" i="19"/>
  <c r="T9" i="19"/>
  <c r="V9" i="19"/>
  <c r="X9" i="19"/>
  <c r="U9" i="19"/>
  <c r="S9" i="19"/>
  <c r="R9" i="19"/>
  <c r="Q9" i="19"/>
  <c r="S8" i="19"/>
  <c r="T8" i="19"/>
  <c r="W8" i="19"/>
  <c r="R8" i="19"/>
  <c r="Q8" i="19"/>
  <c r="X8" i="19"/>
  <c r="V8" i="19"/>
  <c r="U8" i="19"/>
  <c r="R7" i="19"/>
  <c r="Q7" i="19"/>
  <c r="X7" i="19"/>
  <c r="W7" i="19"/>
  <c r="V7" i="19"/>
  <c r="U7" i="19"/>
  <c r="T7" i="19"/>
  <c r="S7" i="19"/>
  <c r="R6" i="19"/>
  <c r="Q6" i="19"/>
  <c r="X6" i="19"/>
  <c r="W6" i="19"/>
  <c r="V6" i="19"/>
  <c r="U6" i="19"/>
  <c r="T6" i="19"/>
  <c r="S6" i="19"/>
  <c r="X5" i="19"/>
  <c r="W5" i="19"/>
  <c r="V5" i="19"/>
  <c r="U5" i="19"/>
  <c r="T5" i="19"/>
  <c r="S5" i="19"/>
  <c r="R5" i="19"/>
  <c r="Q5" i="19"/>
  <c r="R4" i="19"/>
  <c r="Q4" i="19"/>
  <c r="X4" i="19"/>
  <c r="W4" i="19"/>
  <c r="V4" i="19"/>
  <c r="U4" i="19"/>
  <c r="T4" i="19"/>
  <c r="S4" i="19"/>
  <c r="X15" i="18"/>
  <c r="W15" i="18"/>
  <c r="V15" i="18"/>
  <c r="T15" i="18"/>
  <c r="S15" i="18"/>
  <c r="R15" i="18"/>
  <c r="Q15" i="18"/>
  <c r="U15" i="18"/>
  <c r="X14" i="18"/>
  <c r="W14" i="18"/>
  <c r="V14" i="18"/>
  <c r="U14" i="18"/>
  <c r="T14" i="18"/>
  <c r="S14" i="18"/>
  <c r="R14" i="18"/>
  <c r="Q14" i="18"/>
  <c r="W13" i="18"/>
  <c r="X13" i="18"/>
  <c r="T13" i="18"/>
  <c r="Q13" i="18"/>
  <c r="R13" i="18"/>
  <c r="S13" i="18"/>
  <c r="U13" i="18"/>
  <c r="V13" i="18"/>
  <c r="Q12" i="18"/>
  <c r="X12" i="18"/>
  <c r="R12" i="18"/>
  <c r="S12" i="18"/>
  <c r="T12" i="18"/>
  <c r="U12" i="18"/>
  <c r="V12" i="18"/>
  <c r="W12" i="18"/>
  <c r="T11" i="18"/>
  <c r="U11" i="18"/>
  <c r="V11" i="18"/>
  <c r="W11" i="18"/>
  <c r="X11" i="18"/>
  <c r="Q11" i="18"/>
  <c r="R11" i="18"/>
  <c r="S11" i="18"/>
  <c r="S10" i="18"/>
  <c r="R10" i="18"/>
  <c r="Q10" i="18"/>
  <c r="T10" i="18"/>
  <c r="U10" i="18"/>
  <c r="V10" i="18"/>
  <c r="W10" i="18"/>
  <c r="X10" i="18"/>
  <c r="X9" i="18"/>
  <c r="W9" i="18"/>
  <c r="V9" i="18"/>
  <c r="U9" i="18"/>
  <c r="T9" i="18"/>
  <c r="S9" i="18"/>
  <c r="Q9" i="18"/>
  <c r="R9" i="18"/>
  <c r="X8" i="18"/>
  <c r="W8" i="18"/>
  <c r="V8" i="18"/>
  <c r="U8" i="18"/>
  <c r="T8" i="18"/>
  <c r="S8" i="18"/>
  <c r="R8" i="18"/>
  <c r="Q8" i="18"/>
  <c r="U7" i="18"/>
  <c r="V7" i="18"/>
  <c r="W7" i="18"/>
  <c r="X7" i="18"/>
  <c r="S7" i="18"/>
  <c r="Q7" i="18"/>
  <c r="R7" i="18"/>
  <c r="T7" i="18"/>
  <c r="V6" i="18"/>
  <c r="U6" i="18"/>
  <c r="T6" i="18"/>
  <c r="S6" i="18"/>
  <c r="R6" i="18"/>
  <c r="Q6" i="18"/>
  <c r="W6" i="18"/>
  <c r="X6" i="18"/>
  <c r="X5" i="18"/>
  <c r="V5" i="18"/>
  <c r="U5" i="18"/>
  <c r="T5" i="18"/>
  <c r="S5" i="18"/>
  <c r="W5" i="18"/>
  <c r="R5" i="18"/>
  <c r="Q5" i="18"/>
  <c r="S4" i="18"/>
  <c r="S16" i="18" s="1"/>
  <c r="D16" i="3" s="1"/>
  <c r="T4" i="18"/>
  <c r="T16" i="18" s="1"/>
  <c r="E16" i="3" s="1"/>
  <c r="U4" i="18"/>
  <c r="U16" i="18" s="1"/>
  <c r="F16" i="3" s="1"/>
  <c r="V4" i="18"/>
  <c r="V16" i="18" s="1"/>
  <c r="G16" i="3" s="1"/>
  <c r="W4" i="18"/>
  <c r="W16" i="18" s="1"/>
  <c r="H16" i="3" s="1"/>
  <c r="X4" i="18"/>
  <c r="X16" i="18" s="1"/>
  <c r="I16" i="3" s="1"/>
  <c r="Q4" i="18"/>
  <c r="Q16" i="18" s="1"/>
  <c r="R4" i="18"/>
  <c r="R16" i="18" s="1"/>
  <c r="C16" i="3" s="1"/>
  <c r="U15" i="17"/>
  <c r="T15" i="17"/>
  <c r="S15" i="17"/>
  <c r="R15" i="17"/>
  <c r="V15" i="17"/>
  <c r="Q15" i="17"/>
  <c r="X15" i="17"/>
  <c r="W15" i="17"/>
  <c r="X14" i="17"/>
  <c r="W14" i="17"/>
  <c r="V14" i="17"/>
  <c r="U14" i="17"/>
  <c r="T14" i="17"/>
  <c r="S14" i="17"/>
  <c r="R14" i="17"/>
  <c r="Q14" i="17"/>
  <c r="R13" i="17"/>
  <c r="X13" i="17"/>
  <c r="W13" i="17"/>
  <c r="T13" i="17"/>
  <c r="S13" i="17"/>
  <c r="Q13" i="17"/>
  <c r="U13" i="17"/>
  <c r="V13" i="17"/>
  <c r="U12" i="17"/>
  <c r="T12" i="17"/>
  <c r="S12" i="17"/>
  <c r="R12" i="17"/>
  <c r="Q12" i="17"/>
  <c r="X12" i="17"/>
  <c r="W12" i="17"/>
  <c r="V12" i="17"/>
  <c r="R11" i="17"/>
  <c r="V11" i="17"/>
  <c r="U11" i="17"/>
  <c r="T11" i="17"/>
  <c r="Q11" i="17"/>
  <c r="S11" i="17"/>
  <c r="X11" i="17"/>
  <c r="W11" i="17"/>
  <c r="V10" i="17"/>
  <c r="R10" i="17"/>
  <c r="T10" i="17"/>
  <c r="Q10" i="17"/>
  <c r="X10" i="17"/>
  <c r="W10" i="17"/>
  <c r="U10" i="17"/>
  <c r="S10" i="17"/>
  <c r="X9" i="17"/>
  <c r="W9" i="17"/>
  <c r="V9" i="17"/>
  <c r="U9" i="17"/>
  <c r="T9" i="17"/>
  <c r="R9" i="17"/>
  <c r="Q9" i="17"/>
  <c r="S9" i="17"/>
  <c r="X8" i="17"/>
  <c r="W8" i="17"/>
  <c r="V8" i="17"/>
  <c r="U8" i="17"/>
  <c r="T8" i="17"/>
  <c r="S8" i="17"/>
  <c r="R8" i="17"/>
  <c r="Q8" i="17"/>
  <c r="X7" i="17"/>
  <c r="W7" i="17"/>
  <c r="V7" i="17"/>
  <c r="U7" i="17"/>
  <c r="T7" i="17"/>
  <c r="S7" i="17"/>
  <c r="R7" i="17"/>
  <c r="Q7" i="17"/>
  <c r="X6" i="17"/>
  <c r="W6" i="17"/>
  <c r="V6" i="17"/>
  <c r="U6" i="17"/>
  <c r="T6" i="17"/>
  <c r="S6" i="17"/>
  <c r="R6" i="17"/>
  <c r="Q6" i="17"/>
  <c r="X5" i="17"/>
  <c r="W5" i="17"/>
  <c r="V5" i="17"/>
  <c r="U5" i="17"/>
  <c r="T5" i="17"/>
  <c r="S5" i="17"/>
  <c r="R5" i="17"/>
  <c r="Q5" i="17"/>
  <c r="X4" i="17"/>
  <c r="W4" i="17"/>
  <c r="V4" i="17"/>
  <c r="U4" i="17"/>
  <c r="T4" i="17"/>
  <c r="S4" i="17"/>
  <c r="R4" i="17"/>
  <c r="Q4" i="17"/>
  <c r="X15" i="16"/>
  <c r="W15" i="16"/>
  <c r="V15" i="16"/>
  <c r="U15" i="16"/>
  <c r="T15" i="16"/>
  <c r="S15" i="16"/>
  <c r="R15" i="16"/>
  <c r="Q15" i="16"/>
  <c r="X14" i="16"/>
  <c r="W14" i="16"/>
  <c r="V14" i="16"/>
  <c r="U14" i="16"/>
  <c r="T14" i="16"/>
  <c r="S14" i="16"/>
  <c r="R14" i="16"/>
  <c r="Q14" i="16"/>
  <c r="X13" i="16"/>
  <c r="W13" i="16"/>
  <c r="V13" i="16"/>
  <c r="U13" i="16"/>
  <c r="T13" i="16"/>
  <c r="S13" i="16"/>
  <c r="R13" i="16"/>
  <c r="Q13" i="16"/>
  <c r="X12" i="16"/>
  <c r="W12" i="16"/>
  <c r="V12" i="16"/>
  <c r="U12" i="16"/>
  <c r="T12" i="16"/>
  <c r="S12" i="16"/>
  <c r="R12" i="16"/>
  <c r="Q12" i="16"/>
  <c r="X11" i="16"/>
  <c r="W11" i="16"/>
  <c r="V11" i="16"/>
  <c r="U11" i="16"/>
  <c r="T11" i="16"/>
  <c r="S11" i="16"/>
  <c r="R11" i="16"/>
  <c r="Q11" i="16"/>
  <c r="X10" i="16"/>
  <c r="W10" i="16"/>
  <c r="V10" i="16"/>
  <c r="U10" i="16"/>
  <c r="T10" i="16"/>
  <c r="S10" i="16"/>
  <c r="R10" i="16"/>
  <c r="Q10" i="16"/>
  <c r="X9" i="16"/>
  <c r="W9" i="16"/>
  <c r="V9" i="16"/>
  <c r="U9" i="16"/>
  <c r="T9" i="16"/>
  <c r="S9" i="16"/>
  <c r="R9" i="16"/>
  <c r="Q9" i="16"/>
  <c r="X8" i="16"/>
  <c r="W8" i="16"/>
  <c r="V8" i="16"/>
  <c r="U8" i="16"/>
  <c r="T8" i="16"/>
  <c r="S8" i="16"/>
  <c r="R8" i="16"/>
  <c r="Q8" i="16"/>
  <c r="X7" i="16"/>
  <c r="W7" i="16"/>
  <c r="V7" i="16"/>
  <c r="U7" i="16"/>
  <c r="T7" i="16"/>
  <c r="S7" i="16"/>
  <c r="R7" i="16"/>
  <c r="Q7" i="16"/>
  <c r="X6" i="16"/>
  <c r="W6" i="16"/>
  <c r="V6" i="16"/>
  <c r="U6" i="16"/>
  <c r="T6" i="16"/>
  <c r="S6" i="16"/>
  <c r="R6" i="16"/>
  <c r="Q6" i="16"/>
  <c r="X5" i="16"/>
  <c r="W5" i="16"/>
  <c r="V5" i="16"/>
  <c r="U5" i="16"/>
  <c r="T5" i="16"/>
  <c r="S5" i="16"/>
  <c r="R5" i="16"/>
  <c r="Q5" i="16"/>
  <c r="X4" i="16"/>
  <c r="X16" i="16" s="1"/>
  <c r="I14" i="3" s="1"/>
  <c r="W4" i="16"/>
  <c r="W16" i="16" s="1"/>
  <c r="H14" i="3" s="1"/>
  <c r="V4" i="16"/>
  <c r="V16" i="16" s="1"/>
  <c r="G14" i="3" s="1"/>
  <c r="U4" i="16"/>
  <c r="U16" i="16" s="1"/>
  <c r="F14" i="3" s="1"/>
  <c r="T4" i="16"/>
  <c r="T16" i="16" s="1"/>
  <c r="E14" i="3" s="1"/>
  <c r="S4" i="16"/>
  <c r="S16" i="16" s="1"/>
  <c r="D14" i="3" s="1"/>
  <c r="R4" i="16"/>
  <c r="R16" i="16" s="1"/>
  <c r="C14" i="3" s="1"/>
  <c r="Q4" i="16"/>
  <c r="Q16" i="16" s="1"/>
  <c r="X15" i="15"/>
  <c r="W15" i="15"/>
  <c r="V15" i="15"/>
  <c r="U15" i="15"/>
  <c r="T15" i="15"/>
  <c r="S15" i="15"/>
  <c r="R15" i="15"/>
  <c r="Q15" i="15"/>
  <c r="X14" i="15"/>
  <c r="W14" i="15"/>
  <c r="V14" i="15"/>
  <c r="U14" i="15"/>
  <c r="T14" i="15"/>
  <c r="S14" i="15"/>
  <c r="R14" i="15"/>
  <c r="Q14" i="15"/>
  <c r="X13" i="15"/>
  <c r="W13" i="15"/>
  <c r="V13" i="15"/>
  <c r="U13" i="15"/>
  <c r="T13" i="15"/>
  <c r="R13" i="15"/>
  <c r="Q13" i="15"/>
  <c r="S13" i="15"/>
  <c r="W12" i="15"/>
  <c r="V12" i="15"/>
  <c r="U12" i="15"/>
  <c r="T12" i="15"/>
  <c r="S12" i="15"/>
  <c r="R12" i="15"/>
  <c r="Q12" i="15"/>
  <c r="X12" i="15"/>
  <c r="X11" i="15"/>
  <c r="W11" i="15"/>
  <c r="V11" i="15"/>
  <c r="U11" i="15"/>
  <c r="T11" i="15"/>
  <c r="S11" i="15"/>
  <c r="R11" i="15"/>
  <c r="Q11" i="15"/>
  <c r="V10" i="15"/>
  <c r="U10" i="15"/>
  <c r="T10" i="15"/>
  <c r="S10" i="15"/>
  <c r="R10" i="15"/>
  <c r="Q10" i="15"/>
  <c r="W9" i="15"/>
  <c r="V9" i="15"/>
  <c r="U9" i="15"/>
  <c r="T9" i="15"/>
  <c r="S9" i="15"/>
  <c r="R9" i="15"/>
  <c r="Q9" i="15"/>
  <c r="X9" i="15"/>
  <c r="W8" i="15"/>
  <c r="V8" i="15"/>
  <c r="U8" i="15"/>
  <c r="X8" i="15"/>
  <c r="S8" i="15"/>
  <c r="R8" i="15"/>
  <c r="Q8" i="15"/>
  <c r="T8" i="15"/>
  <c r="X7" i="15"/>
  <c r="W7" i="15"/>
  <c r="V7" i="15"/>
  <c r="T7" i="15"/>
  <c r="S7" i="15"/>
  <c r="R7" i="15"/>
  <c r="Q7" i="15"/>
  <c r="U7" i="15"/>
  <c r="V6" i="15"/>
  <c r="Q6" i="15"/>
  <c r="R6" i="15"/>
  <c r="S6" i="15"/>
  <c r="T6" i="15"/>
  <c r="U6" i="15"/>
  <c r="W6" i="15"/>
  <c r="X6" i="15"/>
  <c r="R5" i="15"/>
  <c r="X5" i="15"/>
  <c r="W5" i="15"/>
  <c r="V5" i="15"/>
  <c r="U5" i="15"/>
  <c r="T5" i="15"/>
  <c r="S5" i="15"/>
  <c r="Q5" i="15"/>
  <c r="U4" i="15"/>
  <c r="Q4" i="15"/>
  <c r="R4" i="15"/>
  <c r="S4" i="15"/>
  <c r="T4" i="15"/>
  <c r="V4" i="15"/>
  <c r="W4" i="15"/>
  <c r="X4" i="15"/>
  <c r="V15" i="14"/>
  <c r="X15" i="14"/>
  <c r="W15" i="14"/>
  <c r="U15" i="14"/>
  <c r="T15" i="14"/>
  <c r="S15" i="14"/>
  <c r="R15" i="14"/>
  <c r="Q15" i="14"/>
  <c r="U14" i="14"/>
  <c r="S14" i="14"/>
  <c r="Q14" i="14"/>
  <c r="R14" i="14"/>
  <c r="T14" i="14"/>
  <c r="X14" i="14"/>
  <c r="W14" i="14"/>
  <c r="V14" i="14"/>
  <c r="T13" i="14"/>
  <c r="V13" i="14"/>
  <c r="W13" i="14"/>
  <c r="X13" i="14"/>
  <c r="U13" i="14"/>
  <c r="Q13" i="14"/>
  <c r="R13" i="14"/>
  <c r="S13" i="14"/>
  <c r="W12" i="14"/>
  <c r="V12" i="14"/>
  <c r="U12" i="14"/>
  <c r="S12" i="14"/>
  <c r="T12" i="14"/>
  <c r="X12" i="14"/>
  <c r="R12" i="14"/>
  <c r="Q12" i="14"/>
  <c r="Q11" i="14"/>
  <c r="R11" i="14"/>
  <c r="T11" i="14"/>
  <c r="U11" i="14"/>
  <c r="V11" i="14"/>
  <c r="W11" i="14"/>
  <c r="X11" i="14"/>
  <c r="S11" i="14"/>
  <c r="W10" i="14"/>
  <c r="Q10" i="14"/>
  <c r="R10" i="14"/>
  <c r="S10" i="14"/>
  <c r="T10" i="14"/>
  <c r="U10" i="14"/>
  <c r="V10" i="14"/>
  <c r="X10" i="14"/>
  <c r="Q9" i="14"/>
  <c r="R9" i="14"/>
  <c r="T9" i="14"/>
  <c r="U9" i="14"/>
  <c r="V9" i="14"/>
  <c r="X9" i="14"/>
  <c r="W9" i="14"/>
  <c r="S9" i="14"/>
  <c r="U8" i="14"/>
  <c r="V8" i="14"/>
  <c r="W8" i="14"/>
  <c r="X8" i="14"/>
  <c r="R8" i="14"/>
  <c r="Q8" i="14"/>
  <c r="S8" i="14"/>
  <c r="T8" i="14"/>
  <c r="U7" i="14"/>
  <c r="V7" i="14"/>
  <c r="W7" i="14"/>
  <c r="X7" i="14"/>
  <c r="Q7" i="14"/>
  <c r="R7" i="14"/>
  <c r="S7" i="14"/>
  <c r="T7" i="14"/>
  <c r="X6" i="14"/>
  <c r="Q6" i="14"/>
  <c r="R6" i="14"/>
  <c r="S6" i="14"/>
  <c r="T6" i="14"/>
  <c r="U6" i="14"/>
  <c r="V6" i="14"/>
  <c r="W6" i="14"/>
  <c r="V5" i="14"/>
  <c r="W5" i="14"/>
  <c r="X5" i="14"/>
  <c r="R5" i="14"/>
  <c r="Q5" i="14"/>
  <c r="S5" i="14"/>
  <c r="T5" i="14"/>
  <c r="U5" i="14"/>
  <c r="V4" i="14"/>
  <c r="V16" i="14" s="1"/>
  <c r="G12" i="3" s="1"/>
  <c r="U4" i="14"/>
  <c r="U16" i="14" s="1"/>
  <c r="F12" i="3" s="1"/>
  <c r="X4" i="14"/>
  <c r="X16" i="14" s="1"/>
  <c r="I12" i="3" s="1"/>
  <c r="W4" i="14"/>
  <c r="W16" i="14" s="1"/>
  <c r="H12" i="3" s="1"/>
  <c r="Q4" i="14"/>
  <c r="Q16" i="14" s="1"/>
  <c r="R4" i="14"/>
  <c r="R16" i="14" s="1"/>
  <c r="C12" i="3" s="1"/>
  <c r="S4" i="14"/>
  <c r="S16" i="14" s="1"/>
  <c r="D12" i="3" s="1"/>
  <c r="T4" i="14"/>
  <c r="T16" i="14" s="1"/>
  <c r="E12" i="3" s="1"/>
  <c r="V15" i="13"/>
  <c r="X15" i="13"/>
  <c r="U15" i="13"/>
  <c r="T15" i="13"/>
  <c r="S15" i="13"/>
  <c r="R15" i="13"/>
  <c r="Q15" i="13"/>
  <c r="W15" i="13"/>
  <c r="R14" i="13"/>
  <c r="Q14" i="13"/>
  <c r="U14" i="13"/>
  <c r="S14" i="13"/>
  <c r="T14" i="13"/>
  <c r="X14" i="13"/>
  <c r="W14" i="13"/>
  <c r="V14" i="13"/>
  <c r="R13" i="13"/>
  <c r="Q13" i="13"/>
  <c r="U13" i="13"/>
  <c r="T13" i="13"/>
  <c r="S13" i="13"/>
  <c r="X13" i="13"/>
  <c r="W13" i="13"/>
  <c r="V13" i="13"/>
  <c r="U12" i="13"/>
  <c r="V12" i="13"/>
  <c r="W12" i="13"/>
  <c r="Q12" i="13"/>
  <c r="R12" i="13"/>
  <c r="S12" i="13"/>
  <c r="T12" i="13"/>
  <c r="X12" i="13"/>
  <c r="Q11" i="13"/>
  <c r="R11" i="13"/>
  <c r="T11" i="13"/>
  <c r="U11" i="13"/>
  <c r="V11" i="13"/>
  <c r="W11" i="13"/>
  <c r="X11" i="13"/>
  <c r="S11" i="13"/>
  <c r="S10" i="13"/>
  <c r="Q10" i="13"/>
  <c r="R10" i="13"/>
  <c r="T10" i="13"/>
  <c r="X10" i="13"/>
  <c r="W10" i="13"/>
  <c r="V10" i="13"/>
  <c r="U10" i="13"/>
  <c r="W9" i="13"/>
  <c r="X9" i="13"/>
  <c r="S9" i="13"/>
  <c r="R9" i="13"/>
  <c r="Q9" i="13"/>
  <c r="V9" i="13"/>
  <c r="U9" i="13"/>
  <c r="T9" i="13"/>
  <c r="R8" i="13"/>
  <c r="V8" i="13"/>
  <c r="U8" i="13"/>
  <c r="T8" i="13"/>
  <c r="S8" i="13"/>
  <c r="Q8" i="13"/>
  <c r="U7" i="13"/>
  <c r="S7" i="13"/>
  <c r="T7" i="13"/>
  <c r="W7" i="13"/>
  <c r="X7" i="13"/>
  <c r="V7" i="13"/>
  <c r="R7" i="13"/>
  <c r="Q7" i="13"/>
  <c r="W6" i="13"/>
  <c r="U6" i="13"/>
  <c r="S6" i="13"/>
  <c r="R6" i="13"/>
  <c r="Q6" i="13"/>
  <c r="T6" i="13"/>
  <c r="X6" i="13"/>
  <c r="V6" i="13"/>
  <c r="W5" i="13"/>
  <c r="X5" i="13"/>
  <c r="T5" i="13"/>
  <c r="U5" i="13"/>
  <c r="V5" i="13"/>
  <c r="S5" i="13"/>
  <c r="Q5" i="13"/>
  <c r="R5" i="13"/>
  <c r="X4" i="13"/>
  <c r="W4" i="13"/>
  <c r="V4" i="13"/>
  <c r="U4" i="13"/>
  <c r="T4" i="13"/>
  <c r="S4" i="13"/>
  <c r="R4" i="13"/>
  <c r="Q4" i="13"/>
  <c r="U15" i="12"/>
  <c r="T15" i="12"/>
  <c r="S15" i="12"/>
  <c r="R15" i="12"/>
  <c r="Q15" i="12"/>
  <c r="X15" i="12"/>
  <c r="V15" i="12"/>
  <c r="W15" i="12"/>
  <c r="V14" i="12"/>
  <c r="X14" i="12"/>
  <c r="W14" i="12"/>
  <c r="U14" i="12"/>
  <c r="T14" i="12"/>
  <c r="S14" i="12"/>
  <c r="R14" i="12"/>
  <c r="Q14" i="12"/>
  <c r="U13" i="12"/>
  <c r="X13" i="12"/>
  <c r="W13" i="12"/>
  <c r="V13" i="12"/>
  <c r="T13" i="12"/>
  <c r="S13" i="12"/>
  <c r="R13" i="12"/>
  <c r="Q13" i="12"/>
  <c r="Q12" i="12"/>
  <c r="X12" i="12"/>
  <c r="W12" i="12"/>
  <c r="V12" i="12"/>
  <c r="U12" i="12"/>
  <c r="T12" i="12"/>
  <c r="S12" i="12"/>
  <c r="R12" i="12"/>
  <c r="V11" i="12"/>
  <c r="U11" i="12"/>
  <c r="T11" i="12"/>
  <c r="S11" i="12"/>
  <c r="R11" i="12"/>
  <c r="Q11" i="12"/>
  <c r="X11" i="12"/>
  <c r="W11" i="12"/>
  <c r="V10" i="12"/>
  <c r="U10" i="12"/>
  <c r="T10" i="12"/>
  <c r="S10" i="12"/>
  <c r="R10" i="12"/>
  <c r="Q10" i="12"/>
  <c r="X10" i="12"/>
  <c r="W10" i="12"/>
  <c r="X9" i="12"/>
  <c r="V9" i="12"/>
  <c r="U9" i="12"/>
  <c r="T9" i="12"/>
  <c r="S9" i="12"/>
  <c r="R9" i="12"/>
  <c r="Q9" i="12"/>
  <c r="W9" i="12"/>
  <c r="X8" i="12"/>
  <c r="V8" i="12"/>
  <c r="U8" i="12"/>
  <c r="T8" i="12"/>
  <c r="S8" i="12"/>
  <c r="R8" i="12"/>
  <c r="Q8" i="12"/>
  <c r="W8" i="12"/>
  <c r="V7" i="12"/>
  <c r="U7" i="12"/>
  <c r="Q7" i="12"/>
  <c r="T7" i="12"/>
  <c r="S7" i="12"/>
  <c r="R7" i="12"/>
  <c r="X7" i="12"/>
  <c r="W7" i="12"/>
  <c r="W6" i="12"/>
  <c r="V6" i="12"/>
  <c r="U6" i="12"/>
  <c r="T6" i="12"/>
  <c r="S6" i="12"/>
  <c r="R6" i="12"/>
  <c r="Q6" i="12"/>
  <c r="X6" i="12"/>
  <c r="X5" i="12"/>
  <c r="W5" i="12"/>
  <c r="V5" i="12"/>
  <c r="U5" i="12"/>
  <c r="T5" i="12"/>
  <c r="S5" i="12"/>
  <c r="R5" i="12"/>
  <c r="Q5" i="12"/>
  <c r="X4" i="12"/>
  <c r="X16" i="12" s="1"/>
  <c r="I10" i="3" s="1"/>
  <c r="W4" i="12"/>
  <c r="W16" i="12" s="1"/>
  <c r="H10" i="3" s="1"/>
  <c r="V4" i="12"/>
  <c r="V16" i="12" s="1"/>
  <c r="G10" i="3" s="1"/>
  <c r="U4" i="12"/>
  <c r="U16" i="12" s="1"/>
  <c r="F10" i="3" s="1"/>
  <c r="T4" i="12"/>
  <c r="T16" i="12" s="1"/>
  <c r="E10" i="3" s="1"/>
  <c r="S4" i="12"/>
  <c r="S16" i="12" s="1"/>
  <c r="D10" i="3" s="1"/>
  <c r="R4" i="12"/>
  <c r="R16" i="12" s="1"/>
  <c r="C10" i="3" s="1"/>
  <c r="Q4" i="12"/>
  <c r="Q16" i="12" s="1"/>
  <c r="X15" i="11"/>
  <c r="W15" i="11"/>
  <c r="V15" i="11"/>
  <c r="U15" i="11"/>
  <c r="T15" i="11"/>
  <c r="S15" i="11"/>
  <c r="R15" i="11"/>
  <c r="Q15" i="11"/>
  <c r="W14" i="11"/>
  <c r="V14" i="11"/>
  <c r="U14" i="11"/>
  <c r="T14" i="11"/>
  <c r="S14" i="11"/>
  <c r="R14" i="11"/>
  <c r="Q14" i="11"/>
  <c r="X14" i="11"/>
  <c r="W13" i="11"/>
  <c r="V13" i="11"/>
  <c r="U13" i="11"/>
  <c r="T13" i="11"/>
  <c r="S13" i="11"/>
  <c r="R13" i="11"/>
  <c r="Q13" i="11"/>
  <c r="X13" i="11"/>
  <c r="X12" i="11"/>
  <c r="W12" i="11"/>
  <c r="V12" i="11"/>
  <c r="U12" i="11"/>
  <c r="T12" i="11"/>
  <c r="S12" i="11"/>
  <c r="R12" i="11"/>
  <c r="Q12" i="11"/>
  <c r="X11" i="11"/>
  <c r="W11" i="11"/>
  <c r="V11" i="11"/>
  <c r="U11" i="11"/>
  <c r="T11" i="11"/>
  <c r="R11" i="11"/>
  <c r="Q11" i="11"/>
  <c r="S11" i="11"/>
  <c r="X10" i="11"/>
  <c r="W10" i="11"/>
  <c r="V10" i="11"/>
  <c r="U10" i="11"/>
  <c r="T10" i="11"/>
  <c r="S10" i="11"/>
  <c r="R10" i="11"/>
  <c r="Q10" i="11"/>
  <c r="T9" i="11"/>
  <c r="R9" i="11"/>
  <c r="S9" i="11"/>
  <c r="Q9" i="11"/>
  <c r="X9" i="11"/>
  <c r="W9" i="11"/>
  <c r="V9" i="11"/>
  <c r="U9" i="11"/>
  <c r="V8" i="11"/>
  <c r="W8" i="11"/>
  <c r="X8" i="11"/>
  <c r="Q8" i="11"/>
  <c r="R8" i="11"/>
  <c r="S8" i="11"/>
  <c r="T8" i="11"/>
  <c r="U8" i="11"/>
  <c r="W7" i="11"/>
  <c r="V7" i="11"/>
  <c r="U7" i="11"/>
  <c r="T7" i="11"/>
  <c r="S7" i="11"/>
  <c r="R7" i="11"/>
  <c r="Q7" i="11"/>
  <c r="X7" i="11"/>
  <c r="U6" i="11"/>
  <c r="V6" i="11"/>
  <c r="W6" i="11"/>
  <c r="R6" i="11"/>
  <c r="Q6" i="11"/>
  <c r="S6" i="11"/>
  <c r="T6" i="11"/>
  <c r="W5" i="11"/>
  <c r="S5" i="11"/>
  <c r="R5" i="11"/>
  <c r="Q5" i="11"/>
  <c r="V5" i="11"/>
  <c r="U5" i="11"/>
  <c r="T5" i="11"/>
  <c r="X5" i="11"/>
  <c r="W4" i="11"/>
  <c r="W16" i="11" s="1"/>
  <c r="H9" i="3" s="1"/>
  <c r="X4" i="11"/>
  <c r="X16" i="11" s="1"/>
  <c r="I9" i="3" s="1"/>
  <c r="S4" i="11"/>
  <c r="S16" i="11" s="1"/>
  <c r="D9" i="3" s="1"/>
  <c r="T4" i="11"/>
  <c r="T16" i="11" s="1"/>
  <c r="E9" i="3" s="1"/>
  <c r="V4" i="11"/>
  <c r="V16" i="11" s="1"/>
  <c r="G9" i="3" s="1"/>
  <c r="U4" i="11"/>
  <c r="U16" i="11" s="1"/>
  <c r="F9" i="3" s="1"/>
  <c r="Q4" i="11"/>
  <c r="Q16" i="11" s="1"/>
  <c r="R4" i="11"/>
  <c r="R16" i="11" s="1"/>
  <c r="C9" i="3" s="1"/>
  <c r="T15" i="10"/>
  <c r="S15" i="10"/>
  <c r="Q15" i="10"/>
  <c r="R15" i="10"/>
  <c r="X15" i="10"/>
  <c r="W15" i="10"/>
  <c r="V15" i="10"/>
  <c r="U15" i="10"/>
  <c r="R14" i="10"/>
  <c r="U14" i="10"/>
  <c r="V14" i="10"/>
  <c r="W14" i="10"/>
  <c r="X14" i="10"/>
  <c r="Q14" i="10"/>
  <c r="S14" i="10"/>
  <c r="T14" i="10"/>
  <c r="T13" i="10"/>
  <c r="S13" i="10"/>
  <c r="X13" i="10"/>
  <c r="W13" i="10"/>
  <c r="R13" i="10"/>
  <c r="Q13" i="10"/>
  <c r="V13" i="10"/>
  <c r="U13" i="10"/>
  <c r="Q12" i="10"/>
  <c r="R12" i="10"/>
  <c r="S12" i="10"/>
  <c r="T12" i="10"/>
  <c r="U12" i="10"/>
  <c r="X12" i="10"/>
  <c r="W12" i="10"/>
  <c r="V12" i="10"/>
  <c r="T11" i="10"/>
  <c r="U11" i="10"/>
  <c r="V11" i="10"/>
  <c r="W11" i="10"/>
  <c r="X11" i="10"/>
  <c r="Q11" i="10"/>
  <c r="R11" i="10"/>
  <c r="S11" i="10"/>
  <c r="T10" i="10"/>
  <c r="V10" i="10"/>
  <c r="W10" i="10"/>
  <c r="X10" i="10"/>
  <c r="U10" i="10"/>
  <c r="Q10" i="10"/>
  <c r="R10" i="10"/>
  <c r="S10" i="10"/>
  <c r="U9" i="10"/>
  <c r="V9" i="10"/>
  <c r="Q9" i="10"/>
  <c r="T9" i="10"/>
  <c r="S9" i="10"/>
  <c r="X9" i="10"/>
  <c r="R9" i="10"/>
  <c r="W9" i="10"/>
  <c r="S8" i="10"/>
  <c r="R8" i="10"/>
  <c r="Q8" i="10"/>
  <c r="X8" i="10"/>
  <c r="V8" i="10"/>
  <c r="U8" i="10"/>
  <c r="T8" i="10"/>
  <c r="W8" i="10"/>
  <c r="X7" i="10"/>
  <c r="W7" i="10"/>
  <c r="U7" i="10"/>
  <c r="T7" i="10"/>
  <c r="S7" i="10"/>
  <c r="Q7" i="10"/>
  <c r="R7" i="10"/>
  <c r="V7" i="10"/>
  <c r="Q6" i="10"/>
  <c r="R6" i="10"/>
  <c r="S6" i="10"/>
  <c r="T6" i="10"/>
  <c r="U6" i="10"/>
  <c r="V6" i="10"/>
  <c r="W6" i="10"/>
  <c r="X6" i="10"/>
  <c r="U5" i="10"/>
  <c r="T5" i="10"/>
  <c r="S5" i="10"/>
  <c r="R5" i="10"/>
  <c r="Q5" i="10"/>
  <c r="V5" i="10"/>
  <c r="W5" i="10"/>
  <c r="X5" i="10"/>
  <c r="W4" i="10"/>
  <c r="W16" i="10" s="1"/>
  <c r="H8" i="3" s="1"/>
  <c r="X4" i="10"/>
  <c r="X16" i="10" s="1"/>
  <c r="I8" i="3" s="1"/>
  <c r="V4" i="10"/>
  <c r="V16" i="10" s="1"/>
  <c r="G8" i="3" s="1"/>
  <c r="U4" i="10"/>
  <c r="U16" i="10" s="1"/>
  <c r="F8" i="3" s="1"/>
  <c r="T4" i="10"/>
  <c r="T16" i="10" s="1"/>
  <c r="E8" i="3" s="1"/>
  <c r="S4" i="10"/>
  <c r="R4" i="10"/>
  <c r="Q4" i="10"/>
  <c r="X15" i="9"/>
  <c r="W15" i="9"/>
  <c r="T15" i="9"/>
  <c r="U15" i="9"/>
  <c r="V15" i="9"/>
  <c r="S15" i="9"/>
  <c r="Q15" i="9"/>
  <c r="R15" i="9"/>
  <c r="Q14" i="9"/>
  <c r="R14" i="9"/>
  <c r="T14" i="9"/>
  <c r="U14" i="9"/>
  <c r="V14" i="9"/>
  <c r="W14" i="9"/>
  <c r="X14" i="9"/>
  <c r="S14" i="9"/>
  <c r="R13" i="9"/>
  <c r="S13" i="9"/>
  <c r="T13" i="9"/>
  <c r="U13" i="9"/>
  <c r="X13" i="9"/>
  <c r="V13" i="9"/>
  <c r="W13" i="9"/>
  <c r="Q13" i="9"/>
  <c r="T12" i="9"/>
  <c r="S12" i="9"/>
  <c r="W12" i="9"/>
  <c r="X12" i="9"/>
  <c r="U12" i="9"/>
  <c r="R12" i="9"/>
  <c r="Q12" i="9"/>
  <c r="V12" i="9"/>
  <c r="X11" i="9"/>
  <c r="W11" i="9"/>
  <c r="V11" i="9"/>
  <c r="U11" i="9"/>
  <c r="T11" i="9"/>
  <c r="S11" i="9"/>
  <c r="R11" i="9"/>
  <c r="Q11" i="9"/>
  <c r="S10" i="9"/>
  <c r="R10" i="9"/>
  <c r="Q10" i="9"/>
  <c r="X10" i="9"/>
  <c r="W10" i="9"/>
  <c r="V10" i="9"/>
  <c r="U10" i="9"/>
  <c r="T10" i="9"/>
  <c r="X9" i="9"/>
  <c r="Q9" i="9"/>
  <c r="R9" i="9"/>
  <c r="T9" i="9"/>
  <c r="U9" i="9"/>
  <c r="V9" i="9"/>
  <c r="W9" i="9"/>
  <c r="S9" i="9"/>
  <c r="X8" i="9"/>
  <c r="W8" i="9"/>
  <c r="U8" i="9"/>
  <c r="T8" i="9"/>
  <c r="S8" i="9"/>
  <c r="R8" i="9"/>
  <c r="Q8" i="9"/>
  <c r="V8" i="9"/>
  <c r="X7" i="9"/>
  <c r="W7" i="9"/>
  <c r="V7" i="9"/>
  <c r="U7" i="9"/>
  <c r="T7" i="9"/>
  <c r="S7" i="9"/>
  <c r="R7" i="9"/>
  <c r="Q7" i="9"/>
  <c r="X6" i="9"/>
  <c r="W6" i="9"/>
  <c r="V6" i="9"/>
  <c r="U6" i="9"/>
  <c r="T6" i="9"/>
  <c r="S6" i="9"/>
  <c r="R6" i="9"/>
  <c r="Q6" i="9"/>
  <c r="X5" i="9"/>
  <c r="W5" i="9"/>
  <c r="V5" i="9"/>
  <c r="U5" i="9"/>
  <c r="T5" i="9"/>
  <c r="S5" i="9"/>
  <c r="R5" i="9"/>
  <c r="Q5" i="9"/>
  <c r="X4" i="9"/>
  <c r="W4" i="9"/>
  <c r="V4" i="9"/>
  <c r="U4" i="9"/>
  <c r="T4" i="9"/>
  <c r="S4" i="9"/>
  <c r="R4" i="9"/>
  <c r="Q4" i="9"/>
  <c r="X15" i="8"/>
  <c r="W15" i="8"/>
  <c r="V15" i="8"/>
  <c r="U15" i="8"/>
  <c r="T15" i="8"/>
  <c r="S15" i="8"/>
  <c r="R15" i="8"/>
  <c r="Q15" i="8"/>
  <c r="X14" i="8"/>
  <c r="W14" i="8"/>
  <c r="V14" i="8"/>
  <c r="U14" i="8"/>
  <c r="T14" i="8"/>
  <c r="S14" i="8"/>
  <c r="R14" i="8"/>
  <c r="Q14" i="8"/>
  <c r="X13" i="8"/>
  <c r="W13" i="8"/>
  <c r="V13" i="8"/>
  <c r="U13" i="8"/>
  <c r="T13" i="8"/>
  <c r="S13" i="8"/>
  <c r="R13" i="8"/>
  <c r="Q13" i="8"/>
  <c r="X12" i="8"/>
  <c r="U12" i="8"/>
  <c r="T12" i="8"/>
  <c r="R12" i="8"/>
  <c r="Q12" i="8"/>
  <c r="S12" i="8"/>
  <c r="W12" i="8"/>
  <c r="V12" i="8"/>
  <c r="X11" i="8"/>
  <c r="W11" i="8"/>
  <c r="V11" i="8"/>
  <c r="U11" i="8"/>
  <c r="T11" i="8"/>
  <c r="S11" i="8"/>
  <c r="R11" i="8"/>
  <c r="Q11" i="8"/>
  <c r="S10" i="8"/>
  <c r="R10" i="8"/>
  <c r="Q10" i="8"/>
  <c r="T10" i="8"/>
  <c r="X10" i="8"/>
  <c r="W10" i="8"/>
  <c r="V10" i="8"/>
  <c r="U10" i="8"/>
  <c r="X9" i="8"/>
  <c r="R9" i="8"/>
  <c r="S9" i="8"/>
  <c r="T9" i="8"/>
  <c r="U9" i="8"/>
  <c r="V9" i="8"/>
  <c r="W9" i="8"/>
  <c r="Q9" i="8"/>
  <c r="T8" i="8"/>
  <c r="U8" i="8"/>
  <c r="V8" i="8"/>
  <c r="W8" i="8"/>
  <c r="X8" i="8"/>
  <c r="Q8" i="8"/>
  <c r="R8" i="8"/>
  <c r="S8" i="8"/>
  <c r="U7" i="8"/>
  <c r="W7" i="8"/>
  <c r="X7" i="8"/>
  <c r="V7" i="8"/>
  <c r="T7" i="8"/>
  <c r="S7" i="8"/>
  <c r="R7" i="8"/>
  <c r="Q7" i="8"/>
  <c r="X6" i="8"/>
  <c r="W6" i="8"/>
  <c r="V6" i="8"/>
  <c r="U6" i="8"/>
  <c r="T6" i="8"/>
  <c r="S6" i="8"/>
  <c r="R6" i="8"/>
  <c r="Q6" i="8"/>
  <c r="Q5" i="8"/>
  <c r="R5" i="8"/>
  <c r="S5" i="8"/>
  <c r="T5" i="8"/>
  <c r="U5" i="8"/>
  <c r="V5" i="8"/>
  <c r="X5" i="8"/>
  <c r="W5" i="8"/>
  <c r="T4" i="8"/>
  <c r="T16" i="8" s="1"/>
  <c r="E6" i="3" s="1"/>
  <c r="V4" i="8"/>
  <c r="V16" i="8" s="1"/>
  <c r="G6" i="3" s="1"/>
  <c r="W4" i="8"/>
  <c r="W16" i="8" s="1"/>
  <c r="H6" i="3" s="1"/>
  <c r="X4" i="8"/>
  <c r="X16" i="8" s="1"/>
  <c r="I6" i="3" s="1"/>
  <c r="U4" i="8"/>
  <c r="U16" i="8" s="1"/>
  <c r="F6" i="3" s="1"/>
  <c r="S4" i="8"/>
  <c r="S16" i="8" s="1"/>
  <c r="D6" i="3" s="1"/>
  <c r="Q4" i="8"/>
  <c r="Q16" i="8" s="1"/>
  <c r="R4" i="8"/>
  <c r="R16" i="8" s="1"/>
  <c r="C6" i="3" s="1"/>
  <c r="U15" i="7"/>
  <c r="V15" i="7"/>
  <c r="W15" i="7"/>
  <c r="X15" i="7"/>
  <c r="Q15" i="7"/>
  <c r="R15" i="7"/>
  <c r="S15" i="7"/>
  <c r="T15" i="7"/>
  <c r="X14" i="7"/>
  <c r="Q14" i="7"/>
  <c r="R14" i="7"/>
  <c r="S14" i="7"/>
  <c r="T14" i="7"/>
  <c r="U14" i="7"/>
  <c r="V14" i="7"/>
  <c r="W14" i="7"/>
  <c r="Q13" i="7"/>
  <c r="R13" i="7"/>
  <c r="S13" i="7"/>
  <c r="T13" i="7"/>
  <c r="U13" i="7"/>
  <c r="V13" i="7"/>
  <c r="W13" i="7"/>
  <c r="X13" i="7"/>
  <c r="V12" i="7"/>
  <c r="Q12" i="7"/>
  <c r="R12" i="7"/>
  <c r="S12" i="7"/>
  <c r="T12" i="7"/>
  <c r="U12" i="7"/>
  <c r="W12" i="7"/>
  <c r="X12" i="7"/>
  <c r="Q11" i="7"/>
  <c r="S11" i="7"/>
  <c r="T11" i="7"/>
  <c r="U11" i="7"/>
  <c r="R11" i="7"/>
  <c r="V11" i="7"/>
  <c r="W11" i="7"/>
  <c r="X11" i="7"/>
  <c r="T10" i="7"/>
  <c r="Q10" i="7"/>
  <c r="R10" i="7"/>
  <c r="S10" i="7"/>
  <c r="U10" i="7"/>
  <c r="V10" i="7"/>
  <c r="W10" i="7"/>
  <c r="X10" i="7"/>
  <c r="V9" i="7"/>
  <c r="Q9" i="7"/>
  <c r="R9" i="7"/>
  <c r="S9" i="7"/>
  <c r="T9" i="7"/>
  <c r="U9" i="7"/>
  <c r="W9" i="7"/>
  <c r="X9" i="7"/>
  <c r="Q8" i="7"/>
  <c r="R8" i="7"/>
  <c r="S8" i="7"/>
  <c r="T8" i="7"/>
  <c r="U8" i="7"/>
  <c r="V8" i="7"/>
  <c r="W8" i="7"/>
  <c r="X8" i="7"/>
  <c r="V7" i="7"/>
  <c r="U7" i="7"/>
  <c r="T7" i="7"/>
  <c r="S7" i="7"/>
  <c r="R7" i="7"/>
  <c r="Q7" i="7"/>
  <c r="X7" i="7"/>
  <c r="W7" i="7"/>
  <c r="X6" i="7"/>
  <c r="W6" i="7"/>
  <c r="V6" i="7"/>
  <c r="U6" i="7"/>
  <c r="T6" i="7"/>
  <c r="S6" i="7"/>
  <c r="R6" i="7"/>
  <c r="Q6" i="7"/>
  <c r="X5" i="7"/>
  <c r="W5" i="7"/>
  <c r="V5" i="7"/>
  <c r="U5" i="7"/>
  <c r="T5" i="7"/>
  <c r="S5" i="7"/>
  <c r="R5" i="7"/>
  <c r="Q5" i="7"/>
  <c r="T4" i="7"/>
  <c r="S4" i="7"/>
  <c r="R4" i="7"/>
  <c r="Q4" i="7"/>
  <c r="U4" i="7"/>
  <c r="X4" i="7"/>
  <c r="W4" i="7"/>
  <c r="V4" i="7"/>
  <c r="U15" i="6"/>
  <c r="T15" i="6"/>
  <c r="S15" i="6"/>
  <c r="R15" i="6"/>
  <c r="Q15" i="6"/>
  <c r="W15" i="6"/>
  <c r="V15" i="6"/>
  <c r="X15" i="6"/>
  <c r="X14" i="6"/>
  <c r="W14" i="6"/>
  <c r="V14" i="6"/>
  <c r="U14" i="6"/>
  <c r="R14" i="6"/>
  <c r="T14" i="6"/>
  <c r="S14" i="6"/>
  <c r="Q14" i="6"/>
  <c r="U13" i="6"/>
  <c r="V13" i="6"/>
  <c r="W13" i="6"/>
  <c r="X13" i="6"/>
  <c r="R13" i="6"/>
  <c r="Q13" i="6"/>
  <c r="S13" i="6"/>
  <c r="T13" i="6"/>
  <c r="X12" i="6"/>
  <c r="W12" i="6"/>
  <c r="U12" i="6"/>
  <c r="V12" i="6"/>
  <c r="Q12" i="6"/>
  <c r="R12" i="6"/>
  <c r="S12" i="6"/>
  <c r="T12" i="6"/>
  <c r="U11" i="6"/>
  <c r="Q11" i="6"/>
  <c r="R11" i="6"/>
  <c r="S11" i="6"/>
  <c r="T11" i="6"/>
  <c r="V11" i="6"/>
  <c r="W11" i="6"/>
  <c r="X11" i="6"/>
  <c r="V10" i="6"/>
  <c r="S10" i="6"/>
  <c r="U10" i="6"/>
  <c r="T10" i="6"/>
  <c r="R10" i="6"/>
  <c r="Q10" i="6"/>
  <c r="W10" i="6"/>
  <c r="X10" i="6"/>
  <c r="V9" i="6"/>
  <c r="W9" i="6"/>
  <c r="Q9" i="6"/>
  <c r="R9" i="6"/>
  <c r="S9" i="6"/>
  <c r="T9" i="6"/>
  <c r="X9" i="6"/>
  <c r="U9" i="6"/>
  <c r="V8" i="6"/>
  <c r="W8" i="6"/>
  <c r="X8" i="6"/>
  <c r="Q8" i="6"/>
  <c r="U8" i="6"/>
  <c r="T8" i="6"/>
  <c r="S8" i="6"/>
  <c r="R8" i="6"/>
  <c r="W7" i="6"/>
  <c r="X7" i="6"/>
  <c r="V7" i="6"/>
  <c r="U7" i="6"/>
  <c r="T7" i="6"/>
  <c r="S7" i="6"/>
  <c r="R7" i="6"/>
  <c r="Q7" i="6"/>
  <c r="T6" i="6"/>
  <c r="S6" i="6"/>
  <c r="U6" i="6"/>
  <c r="V6" i="6"/>
  <c r="X6" i="6"/>
  <c r="Q6" i="6"/>
  <c r="R6" i="6"/>
  <c r="W6" i="6"/>
  <c r="Q5" i="6"/>
  <c r="R5" i="6"/>
  <c r="S5" i="6"/>
  <c r="T5" i="6"/>
  <c r="U5" i="6"/>
  <c r="V5" i="6"/>
  <c r="W5" i="6"/>
  <c r="X5" i="6"/>
  <c r="V4" i="6"/>
  <c r="V16" i="6" s="1"/>
  <c r="X4" i="6"/>
  <c r="W4" i="6"/>
  <c r="W16" i="6" s="1"/>
  <c r="Q4" i="6"/>
  <c r="R4" i="6"/>
  <c r="S4" i="6"/>
  <c r="S16" i="6" s="1"/>
  <c r="T4" i="6"/>
  <c r="T16" i="6" s="1"/>
  <c r="U4" i="6"/>
  <c r="U16" i="6" s="1"/>
  <c r="X16" i="35" l="1"/>
  <c r="I33" i="3" s="1"/>
  <c r="W16" i="35"/>
  <c r="H33" i="3" s="1"/>
  <c r="V16" i="35"/>
  <c r="G33" i="3" s="1"/>
  <c r="U16" i="35"/>
  <c r="F33" i="3" s="1"/>
  <c r="T16" i="35"/>
  <c r="E33" i="3" s="1"/>
  <c r="S16" i="35"/>
  <c r="D33" i="3" s="1"/>
  <c r="S16" i="33"/>
  <c r="D31" i="3" s="1"/>
  <c r="W16" i="33"/>
  <c r="H31" i="3" s="1"/>
  <c r="T16" i="33"/>
  <c r="Q16" i="31"/>
  <c r="R16" i="31"/>
  <c r="C29" i="3" s="1"/>
  <c r="S16" i="31"/>
  <c r="D29" i="3" s="1"/>
  <c r="T16" i="31"/>
  <c r="E29" i="3" s="1"/>
  <c r="T16" i="29"/>
  <c r="E27" i="3" s="1"/>
  <c r="X16" i="29"/>
  <c r="I27" i="3" s="1"/>
  <c r="W16" i="29"/>
  <c r="H27" i="3" s="1"/>
  <c r="Q16" i="29"/>
  <c r="R16" i="29"/>
  <c r="C27" i="3" s="1"/>
  <c r="R16" i="25"/>
  <c r="C23" i="3" s="1"/>
  <c r="Q16" i="25"/>
  <c r="U16" i="25"/>
  <c r="F23" i="3" s="1"/>
  <c r="V16" i="25"/>
  <c r="G23" i="3" s="1"/>
  <c r="W16" i="25"/>
  <c r="H23" i="3" s="1"/>
  <c r="X16" i="25"/>
  <c r="I23" i="3" s="1"/>
  <c r="S16" i="25"/>
  <c r="D23" i="3" s="1"/>
  <c r="T16" i="25"/>
  <c r="E23" i="3" s="1"/>
  <c r="S16" i="23"/>
  <c r="D21" i="3" s="1"/>
  <c r="T16" i="23"/>
  <c r="E21" i="3" s="1"/>
  <c r="U16" i="23"/>
  <c r="F21" i="3" s="1"/>
  <c r="V16" i="21"/>
  <c r="G19" i="3" s="1"/>
  <c r="W16" i="21"/>
  <c r="H19" i="3" s="1"/>
  <c r="X16" i="21"/>
  <c r="I19" i="3" s="1"/>
  <c r="U16" i="21"/>
  <c r="F19" i="3" s="1"/>
  <c r="T16" i="21"/>
  <c r="E19" i="3" s="1"/>
  <c r="S16" i="21"/>
  <c r="D19" i="3" s="1"/>
  <c r="R16" i="21"/>
  <c r="C19" i="3" s="1"/>
  <c r="Q16" i="21"/>
  <c r="U16" i="15"/>
  <c r="F13" i="3" s="1"/>
  <c r="Q16" i="15"/>
  <c r="R16" i="15"/>
  <c r="C13" i="3" s="1"/>
  <c r="S16" i="15"/>
  <c r="D13" i="3" s="1"/>
  <c r="T16" i="15"/>
  <c r="E13" i="3" s="1"/>
  <c r="V16" i="15"/>
  <c r="G13" i="3" s="1"/>
  <c r="W16" i="15"/>
  <c r="H13" i="3" s="1"/>
  <c r="X16" i="15"/>
  <c r="I13" i="3" s="1"/>
  <c r="S16" i="10"/>
  <c r="D8" i="3" s="1"/>
  <c r="R16" i="10"/>
  <c r="C8" i="3" s="1"/>
  <c r="Q16" i="10"/>
  <c r="O32" i="1"/>
  <c r="B34" i="3"/>
  <c r="O30" i="1"/>
  <c r="B32" i="3"/>
  <c r="O28" i="1"/>
  <c r="B30" i="3"/>
  <c r="O27" i="1"/>
  <c r="B29" i="3"/>
  <c r="O26" i="1"/>
  <c r="B28" i="3"/>
  <c r="O25" i="1"/>
  <c r="B27" i="3"/>
  <c r="O24" i="1"/>
  <c r="B26" i="3"/>
  <c r="O22" i="1"/>
  <c r="B24" i="3"/>
  <c r="O21" i="1"/>
  <c r="B23" i="3"/>
  <c r="O20" i="1"/>
  <c r="B22" i="3"/>
  <c r="O18" i="1"/>
  <c r="B20" i="3"/>
  <c r="O17" i="1"/>
  <c r="B19" i="3"/>
  <c r="O16" i="1"/>
  <c r="B18" i="3"/>
  <c r="O14" i="1"/>
  <c r="B16" i="3"/>
  <c r="O12" i="1"/>
  <c r="B14" i="3"/>
  <c r="O11" i="1"/>
  <c r="B13" i="3"/>
  <c r="O10" i="1"/>
  <c r="B12" i="3"/>
  <c r="O8" i="1"/>
  <c r="B10" i="3"/>
  <c r="B9" i="3"/>
  <c r="O7" i="1"/>
  <c r="O6" i="1"/>
  <c r="B8" i="3"/>
  <c r="B6" i="3"/>
  <c r="O4" i="1"/>
  <c r="G4" i="3"/>
  <c r="X16" i="6"/>
  <c r="F4" i="2"/>
  <c r="H4" i="3"/>
  <c r="Q16" i="6"/>
  <c r="C4" i="2"/>
  <c r="R16" i="6"/>
  <c r="D4" i="2"/>
  <c r="D4" i="3"/>
  <c r="E4" i="3"/>
  <c r="F4" i="3"/>
  <c r="R16" i="35"/>
  <c r="C33" i="3" s="1"/>
  <c r="Q16" i="35"/>
  <c r="Q16" i="33"/>
  <c r="R16" i="33"/>
  <c r="C31" i="3" s="1"/>
  <c r="U16" i="33"/>
  <c r="F31" i="3" s="1"/>
  <c r="X16" i="33"/>
  <c r="I31" i="3" s="1"/>
  <c r="V16" i="33"/>
  <c r="G31" i="3" s="1"/>
  <c r="U16" i="31"/>
  <c r="F29" i="3" s="1"/>
  <c r="V16" i="31"/>
  <c r="G29" i="3" s="1"/>
  <c r="W16" i="31"/>
  <c r="H29" i="3" s="1"/>
  <c r="X16" i="31"/>
  <c r="I29" i="3" s="1"/>
  <c r="U16" i="29"/>
  <c r="F27" i="3" s="1"/>
  <c r="S16" i="29"/>
  <c r="D27" i="3" s="1"/>
  <c r="V16" i="29"/>
  <c r="G27" i="3" s="1"/>
  <c r="T16" i="27"/>
  <c r="E25" i="3" s="1"/>
  <c r="S16" i="27"/>
  <c r="D25" i="3" s="1"/>
  <c r="R16" i="27"/>
  <c r="C25" i="3" s="1"/>
  <c r="Q16" i="27"/>
  <c r="W16" i="23"/>
  <c r="H21" i="3" s="1"/>
  <c r="Q16" i="23"/>
  <c r="X16" i="23"/>
  <c r="I21" i="3" s="1"/>
  <c r="R16" i="23"/>
  <c r="C21" i="3" s="1"/>
  <c r="V16" i="23"/>
  <c r="G21" i="3" s="1"/>
  <c r="R16" i="19"/>
  <c r="C17" i="3" s="1"/>
  <c r="Q16" i="19"/>
  <c r="X16" i="19"/>
  <c r="I17" i="3" s="1"/>
  <c r="W16" i="19"/>
  <c r="V16" i="19"/>
  <c r="U16" i="19"/>
  <c r="T16" i="19"/>
  <c r="E17" i="3" s="1"/>
  <c r="S16" i="19"/>
  <c r="X16" i="17"/>
  <c r="I15" i="3" s="1"/>
  <c r="W16" i="17"/>
  <c r="H15" i="3" s="1"/>
  <c r="V16" i="17"/>
  <c r="G15" i="3" s="1"/>
  <c r="U16" i="17"/>
  <c r="F15" i="3" s="1"/>
  <c r="T16" i="17"/>
  <c r="E15" i="3" s="1"/>
  <c r="S16" i="17"/>
  <c r="D15" i="3" s="1"/>
  <c r="R16" i="17"/>
  <c r="C15" i="3" s="1"/>
  <c r="Q16" i="17"/>
  <c r="X16" i="13"/>
  <c r="I11" i="3" s="1"/>
  <c r="W16" i="13"/>
  <c r="H11" i="3" s="1"/>
  <c r="V16" i="13"/>
  <c r="G11" i="3" s="1"/>
  <c r="U16" i="13"/>
  <c r="F11" i="3" s="1"/>
  <c r="T16" i="13"/>
  <c r="E11" i="3" s="1"/>
  <c r="S16" i="13"/>
  <c r="D11" i="3" s="1"/>
  <c r="R16" i="13"/>
  <c r="C11" i="3" s="1"/>
  <c r="Q16" i="13"/>
  <c r="X16" i="9"/>
  <c r="I7" i="3" s="1"/>
  <c r="W16" i="9"/>
  <c r="H7" i="3" s="1"/>
  <c r="V16" i="9"/>
  <c r="G7" i="3" s="1"/>
  <c r="U16" i="9"/>
  <c r="F7" i="3" s="1"/>
  <c r="T16" i="9"/>
  <c r="E7" i="3" s="1"/>
  <c r="S16" i="9"/>
  <c r="D7" i="3" s="1"/>
  <c r="R16" i="9"/>
  <c r="C7" i="3" s="1"/>
  <c r="Q16" i="9"/>
  <c r="T16" i="7"/>
  <c r="E5" i="3" s="1"/>
  <c r="S16" i="7"/>
  <c r="D5" i="3" s="1"/>
  <c r="R16" i="7"/>
  <c r="C5" i="3" s="1"/>
  <c r="Q16" i="7"/>
  <c r="U16" i="7"/>
  <c r="F5" i="3" s="1"/>
  <c r="X16" i="7"/>
  <c r="I5" i="3" s="1"/>
  <c r="W16" i="7"/>
  <c r="H5" i="3" s="1"/>
  <c r="V16" i="7"/>
  <c r="G5" i="3" s="1"/>
  <c r="D15" i="2"/>
  <c r="C15" i="2"/>
  <c r="F15" i="2"/>
  <c r="F14" i="2"/>
  <c r="D14" i="2"/>
  <c r="C14" i="2"/>
  <c r="E14" i="2" s="1"/>
  <c r="F13" i="2"/>
  <c r="D13" i="2"/>
  <c r="C13" i="2"/>
  <c r="E13" i="2" s="1"/>
  <c r="F12" i="2"/>
  <c r="C12" i="2"/>
  <c r="D12" i="2"/>
  <c r="C11" i="2"/>
  <c r="D11" i="2"/>
  <c r="F11" i="2"/>
  <c r="D10" i="2"/>
  <c r="C10" i="2"/>
  <c r="F10" i="2"/>
  <c r="C9" i="2"/>
  <c r="D9" i="2"/>
  <c r="F9" i="2"/>
  <c r="F8" i="2"/>
  <c r="C8" i="2"/>
  <c r="E8" i="2" s="1"/>
  <c r="D8" i="2"/>
  <c r="F7" i="2"/>
  <c r="D7" i="2"/>
  <c r="C7" i="2"/>
  <c r="E7" i="2" s="1"/>
  <c r="F6" i="2"/>
  <c r="C6" i="2"/>
  <c r="D6" i="2"/>
  <c r="C5" i="2"/>
  <c r="D5" i="2"/>
  <c r="F5" i="2"/>
  <c r="E4" i="2" l="1"/>
  <c r="E15" i="2"/>
  <c r="E31" i="3"/>
  <c r="B7" i="4"/>
  <c r="I4" i="3"/>
  <c r="B11" i="4"/>
  <c r="B4" i="3"/>
  <c r="O2" i="1"/>
  <c r="B4" i="4"/>
  <c r="C4" i="3"/>
  <c r="B5" i="4"/>
  <c r="D7" i="4"/>
  <c r="E7" i="4"/>
  <c r="A9" i="1"/>
  <c r="B33" i="3"/>
  <c r="O31" i="1"/>
  <c r="B31" i="3"/>
  <c r="O29" i="1"/>
  <c r="B25" i="3"/>
  <c r="O23" i="1"/>
  <c r="B21" i="3"/>
  <c r="O19" i="1"/>
  <c r="B17" i="3"/>
  <c r="O15" i="1"/>
  <c r="B15" i="3"/>
  <c r="O13" i="1"/>
  <c r="B11" i="3"/>
  <c r="O9" i="1"/>
  <c r="O5" i="1"/>
  <c r="B7" i="3"/>
  <c r="B5" i="3"/>
  <c r="O3" i="1"/>
  <c r="E5" i="2"/>
  <c r="E12" i="2"/>
  <c r="E6" i="2"/>
  <c r="E11" i="2"/>
  <c r="E10" i="2"/>
  <c r="E9" i="2"/>
  <c r="H17" i="3"/>
  <c r="B10" i="4"/>
  <c r="G17" i="3"/>
  <c r="B9" i="4"/>
  <c r="F17" i="3"/>
  <c r="B8" i="4"/>
  <c r="D17" i="3"/>
  <c r="B6" i="4"/>
  <c r="A10" i="2" l="1"/>
  <c r="A9" i="2"/>
  <c r="D11" i="4"/>
  <c r="E11" i="4"/>
  <c r="G9" i="1"/>
  <c r="D4" i="4"/>
  <c r="J5" i="1" s="1"/>
  <c r="E4" i="4"/>
  <c r="A5" i="1"/>
  <c r="G5" i="1"/>
  <c r="D5" i="4"/>
  <c r="E5" i="4"/>
  <c r="D5" i="1"/>
  <c r="A13" i="2"/>
  <c r="A15" i="2"/>
  <c r="A8" i="2"/>
  <c r="A14" i="2"/>
  <c r="A7" i="2"/>
  <c r="A4" i="2"/>
  <c r="A5" i="2"/>
  <c r="J9" i="1"/>
  <c r="E10" i="4"/>
  <c r="D10" i="4"/>
  <c r="E9" i="4"/>
  <c r="D9" i="4"/>
  <c r="D9" i="1"/>
  <c r="E8" i="4"/>
  <c r="D8" i="4"/>
  <c r="E6" i="4"/>
  <c r="D6" i="4"/>
  <c r="A12" i="2"/>
  <c r="A6" i="2"/>
  <c r="A11" i="2"/>
</calcChain>
</file>

<file path=xl/sharedStrings.xml><?xml version="1.0" encoding="utf-8"?>
<sst xmlns="http://schemas.openxmlformats.org/spreadsheetml/2006/main" count="4967" uniqueCount="1705">
  <si>
    <t>Store Performance Dashboard</t>
  </si>
  <si>
    <t>Day</t>
  </si>
  <si>
    <t>Acts+Pre</t>
  </si>
  <si>
    <t>MOCK DATA — generated for portfolio use. No real employees, customers, device identifiers, or store numbers appear in this file.</t>
  </si>
  <si>
    <t>ACTS</t>
  </si>
  <si>
    <t>PRE</t>
  </si>
  <si>
    <t>ACTS + PRE</t>
  </si>
  <si>
    <t>% TO ACTS GOAL</t>
  </si>
  <si>
    <t>BTS</t>
  </si>
  <si>
    <t>HOME INTERNET</t>
  </si>
  <si>
    <t>ACCESSORY $</t>
  </si>
  <si>
    <t>DEVICES</t>
  </si>
  <si>
    <t>Team Leaderboard  —  ranked by Acts + Pre</t>
  </si>
  <si>
    <t>Rank</t>
  </si>
  <si>
    <t>Mobile Expert</t>
  </si>
  <si>
    <t>Acts</t>
  </si>
  <si>
    <t>Pre</t>
  </si>
  <si>
    <t>Acts + Pre</t>
  </si>
  <si>
    <t>Acc $</t>
  </si>
  <si>
    <t>Daily Trend  —  heatmap by day</t>
  </si>
  <si>
    <t>TFB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</si>
  <si>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</si>
  <si>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</si>
  <si>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</si>
  <si>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</si>
  <si>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</si>
  <si>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</si>
  <si>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</si>
  <si>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</si>
  <si>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</si>
  <si>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edit these lists; every dropdown and roll-up follows them</t>
  </si>
  <si>
    <t>Mobile Experts</t>
  </si>
  <si>
    <t>Device Catalog</t>
  </si>
  <si>
    <t>Expert 01</t>
  </si>
  <si>
    <t>iPhone 15</t>
  </si>
  <si>
    <t>Expert 02</t>
  </si>
  <si>
    <t>iPhone 15 Plus</t>
  </si>
  <si>
    <t>Expert 03</t>
  </si>
  <si>
    <t>iPhone 15 Pro</t>
  </si>
  <si>
    <t>Expert 04</t>
  </si>
  <si>
    <t>iPhone 15 Pro Max</t>
  </si>
  <si>
    <t>Expert 05</t>
  </si>
  <si>
    <t>iPhone 14</t>
  </si>
  <si>
    <t>Expert 06</t>
  </si>
  <si>
    <t>iPhone 13</t>
  </si>
  <si>
    <t>Expert 07</t>
  </si>
  <si>
    <t>Galaxy S24</t>
  </si>
  <si>
    <t>Expert 08</t>
  </si>
  <si>
    <t>Galaxy S24+</t>
  </si>
  <si>
    <t>Expert 09</t>
  </si>
  <si>
    <t>Galaxy S24 Ultra</t>
  </si>
  <si>
    <t>Expert 10</t>
  </si>
  <si>
    <t>Galaxy A15</t>
  </si>
  <si>
    <t>Expert 11</t>
  </si>
  <si>
    <t>Galaxy A35</t>
  </si>
  <si>
    <t>Expert 12</t>
  </si>
  <si>
    <t>Galaxy Z Flip</t>
  </si>
  <si>
    <t>Pixel 8a</t>
  </si>
  <si>
    <t>Moto G Power</t>
  </si>
  <si>
    <t>Add or rename people in column A and devices in column C — the daily tabs pick the changes up automatically. Never type a device by hand; that is what broke the old sheet.</t>
  </si>
  <si>
    <t>iPad 10th Gen</t>
  </si>
  <si>
    <t>Galaxy Tab A9</t>
  </si>
  <si>
    <t>Apple Watch SE</t>
  </si>
  <si>
    <t>Apple Watch S9</t>
  </si>
  <si>
    <t>Apple Watch Ultra</t>
  </si>
  <si>
    <t>Galaxy Watch 7</t>
  </si>
  <si>
    <t>Home Internet Gateway</t>
  </si>
  <si>
    <t>SIM Only</t>
  </si>
  <si>
    <t>BYOD</t>
  </si>
  <si>
    <t>Accessory Only</t>
  </si>
  <si>
    <t>Day 1  —  Daily Entry</t>
  </si>
  <si>
    <t>ME</t>
  </si>
  <si>
    <t>SKU (mock)</t>
  </si>
  <si>
    <t>IMEI / SIM (mock)</t>
  </si>
  <si>
    <t>Device</t>
  </si>
  <si>
    <t>Complete</t>
  </si>
  <si>
    <t>SKU-1923</t>
  </si>
  <si>
    <t>MOCK-904935</t>
  </si>
  <si>
    <t>Y</t>
  </si>
  <si>
    <t>SKU-8172</t>
  </si>
  <si>
    <t>MOCK-737184</t>
  </si>
  <si>
    <t>SKU-5314</t>
  </si>
  <si>
    <t>MOCK-738575</t>
  </si>
  <si>
    <t>N</t>
  </si>
  <si>
    <t>SKU-6536</t>
  </si>
  <si>
    <t>MOCK-923560</t>
  </si>
  <si>
    <t>SKU-1350</t>
  </si>
  <si>
    <t>MOCK-632581</t>
  </si>
  <si>
    <t>SKU-5185</t>
  </si>
  <si>
    <t>MOCK-732777</t>
  </si>
  <si>
    <t>SKU-2115</t>
  </si>
  <si>
    <t>MOCK-318368</t>
  </si>
  <si>
    <t>SKU-4300</t>
  </si>
  <si>
    <t>MOCK-692561</t>
  </si>
  <si>
    <t>SKU-3452</t>
  </si>
  <si>
    <t>MOCK-481951</t>
  </si>
  <si>
    <t>MOCK-956999</t>
  </si>
  <si>
    <t>SKU-2548</t>
  </si>
  <si>
    <t>MOCK-738205</t>
  </si>
  <si>
    <t>SKU-1653</t>
  </si>
  <si>
    <t>MOCK-206689</t>
  </si>
  <si>
    <t>SKU-7882</t>
  </si>
  <si>
    <t>MOCK-373803</t>
  </si>
  <si>
    <t>STORE TOTAL</t>
  </si>
  <si>
    <t>SKU-7914</t>
  </si>
  <si>
    <t>MOCK-801671</t>
  </si>
  <si>
    <t>SKU-8389</t>
  </si>
  <si>
    <t>MOCK-108383</t>
  </si>
  <si>
    <t>SKU-1548</t>
  </si>
  <si>
    <t>MOCK-401291</t>
  </si>
  <si>
    <t>SKU-5729</t>
  </si>
  <si>
    <t>MOCK-407822</t>
  </si>
  <si>
    <t>SKU-4801</t>
  </si>
  <si>
    <t>MOCK-937364</t>
  </si>
  <si>
    <t>SKU-8275</t>
  </si>
  <si>
    <t>MOCK-627721</t>
  </si>
  <si>
    <t>SKU-5145</t>
  </si>
  <si>
    <t>MOCK-168880</t>
  </si>
  <si>
    <t>SKU-1109</t>
  </si>
  <si>
    <t>MOCK-731770</t>
  </si>
  <si>
    <t>SKU-1764</t>
  </si>
  <si>
    <t>MOCK-948156</t>
  </si>
  <si>
    <t>SKU-5691</t>
  </si>
  <si>
    <t>MOCK-494394</t>
  </si>
  <si>
    <t>SKU-3866</t>
  </si>
  <si>
    <t>MOCK-895191</t>
  </si>
  <si>
    <t>SKU-2450</t>
  </si>
  <si>
    <t>MOCK-846304</t>
  </si>
  <si>
    <t>SKU-6346</t>
  </si>
  <si>
    <t>MOCK-465247</t>
  </si>
  <si>
    <t>SKU-4547</t>
  </si>
  <si>
    <t>MOCK-707665</t>
  </si>
  <si>
    <t>Day 2  —  Daily Entry</t>
  </si>
  <si>
    <t>SKU-6550</t>
  </si>
  <si>
    <t>MOCK-923509</t>
  </si>
  <si>
    <t>SKU-1447</t>
  </si>
  <si>
    <t>MOCK-814302</t>
  </si>
  <si>
    <t>SKU-6189</t>
  </si>
  <si>
    <t>MOCK-301520</t>
  </si>
  <si>
    <t>SKU-4933</t>
  </si>
  <si>
    <t>MOCK-517548</t>
  </si>
  <si>
    <t>SKU-6153</t>
  </si>
  <si>
    <t>MOCK-348615</t>
  </si>
  <si>
    <t>SKU-8525</t>
  </si>
  <si>
    <t>MOCK-961726</t>
  </si>
  <si>
    <t>SKU-9015</t>
  </si>
  <si>
    <t>MOCK-426151</t>
  </si>
  <si>
    <t>SKU-9886</t>
  </si>
  <si>
    <t>MOCK-227133</t>
  </si>
  <si>
    <t>SKU-6521</t>
  </si>
  <si>
    <t>MOCK-613709</t>
  </si>
  <si>
    <t>SKU-5464</t>
  </si>
  <si>
    <t>MOCK-939388</t>
  </si>
  <si>
    <t>SKU-7076</t>
  </si>
  <si>
    <t>MOCK-855141</t>
  </si>
  <si>
    <t>SKU-1480</t>
  </si>
  <si>
    <t>MOCK-755871</t>
  </si>
  <si>
    <t>SKU-9121</t>
  </si>
  <si>
    <t>MOCK-689871</t>
  </si>
  <si>
    <t>SKU-5468</t>
  </si>
  <si>
    <t>MOCK-488724</t>
  </si>
  <si>
    <t>SKU-7337</t>
  </si>
  <si>
    <t>MOCK-545522</t>
  </si>
  <si>
    <t>SKU-9810</t>
  </si>
  <si>
    <t>MOCK-187619</t>
  </si>
  <si>
    <t>SKU-7087</t>
  </si>
  <si>
    <t>MOCK-546338</t>
  </si>
  <si>
    <t>SKU-6585</t>
  </si>
  <si>
    <t>MOCK-417604</t>
  </si>
  <si>
    <t>SKU-8072</t>
  </si>
  <si>
    <t>MOCK-705283</t>
  </si>
  <si>
    <t>SKU-3152</t>
  </si>
  <si>
    <t>MOCK-721608</t>
  </si>
  <si>
    <t>Day 3  —  Daily Entry</t>
  </si>
  <si>
    <t>SKU-3992</t>
  </si>
  <si>
    <t>MOCK-398373</t>
  </si>
  <si>
    <t>SKU-8564</t>
  </si>
  <si>
    <t>MOCK-147390</t>
  </si>
  <si>
    <t>SKU-8541</t>
  </si>
  <si>
    <t>MOCK-364573</t>
  </si>
  <si>
    <t>SKU-2551</t>
  </si>
  <si>
    <t>MOCK-965977</t>
  </si>
  <si>
    <t>SKU-2873</t>
  </si>
  <si>
    <t>MOCK-762632</t>
  </si>
  <si>
    <t>SKU-9558</t>
  </si>
  <si>
    <t>MOCK-997332</t>
  </si>
  <si>
    <t>SKU-3843</t>
  </si>
  <si>
    <t>MOCK-595272</t>
  </si>
  <si>
    <t>SKU-9516</t>
  </si>
  <si>
    <t>MOCK-223710</t>
  </si>
  <si>
    <t>SKU-8108</t>
  </si>
  <si>
    <t>MOCK-544828</t>
  </si>
  <si>
    <t>SKU-7223</t>
  </si>
  <si>
    <t>MOCK-231125</t>
  </si>
  <si>
    <t>SKU-4380</t>
  </si>
  <si>
    <t>MOCK-238695</t>
  </si>
  <si>
    <t>SKU-7853</t>
  </si>
  <si>
    <t>MOCK-222537</t>
  </si>
  <si>
    <t>SKU-1103</t>
  </si>
  <si>
    <t>MOCK-552910</t>
  </si>
  <si>
    <t>SKU-8313</t>
  </si>
  <si>
    <t>MOCK-702025</t>
  </si>
  <si>
    <t>SKU-7781</t>
  </si>
  <si>
    <t>MOCK-143679</t>
  </si>
  <si>
    <t>SKU-1220</t>
  </si>
  <si>
    <t>MOCK-986999</t>
  </si>
  <si>
    <t>SKU-8166</t>
  </si>
  <si>
    <t>MOCK-776725</t>
  </si>
  <si>
    <t>SKU-9412</t>
  </si>
  <si>
    <t>MOCK-592794</t>
  </si>
  <si>
    <t>SKU-1739</t>
  </si>
  <si>
    <t>MOCK-278787</t>
  </si>
  <si>
    <t>SKU-1052</t>
  </si>
  <si>
    <t>MOCK-871318</t>
  </si>
  <si>
    <t>SKU-3092</t>
  </si>
  <si>
    <t>MOCK-878238</t>
  </si>
  <si>
    <t>SKU-7127</t>
  </si>
  <si>
    <t>MOCK-972420</t>
  </si>
  <si>
    <t>Day 4  —  Daily Entry</t>
  </si>
  <si>
    <t>SKU-9190</t>
  </si>
  <si>
    <t>MOCK-957135</t>
  </si>
  <si>
    <t>SKU-1934</t>
  </si>
  <si>
    <t>MOCK-147480</t>
  </si>
  <si>
    <t>SKU-1231</t>
  </si>
  <si>
    <t>MOCK-463235</t>
  </si>
  <si>
    <t>SKU-7478</t>
  </si>
  <si>
    <t>MOCK-385939</t>
  </si>
  <si>
    <t>SKU-7722</t>
  </si>
  <si>
    <t>MOCK-899703</t>
  </si>
  <si>
    <t>SKU-2632</t>
  </si>
  <si>
    <t>MOCK-855713</t>
  </si>
  <si>
    <t>SKU-2491</t>
  </si>
  <si>
    <t>MOCK-959275</t>
  </si>
  <si>
    <t>SKU-6061</t>
  </si>
  <si>
    <t>MOCK-145526</t>
  </si>
  <si>
    <t>SKU-4336</t>
  </si>
  <si>
    <t>MOCK-463219</t>
  </si>
  <si>
    <t>SKU-7168</t>
  </si>
  <si>
    <t>MOCK-335974</t>
  </si>
  <si>
    <t>SKU-5452</t>
  </si>
  <si>
    <t>MOCK-270560</t>
  </si>
  <si>
    <t>SKU-1926</t>
  </si>
  <si>
    <t>MOCK-762087</t>
  </si>
  <si>
    <t>SKU-9532</t>
  </si>
  <si>
    <t>MOCK-774560</t>
  </si>
  <si>
    <t>SKU-5999</t>
  </si>
  <si>
    <t>MOCK-314901</t>
  </si>
  <si>
    <t>SKU-9019</t>
  </si>
  <si>
    <t>MOCK-860337</t>
  </si>
  <si>
    <t>SKU-7846</t>
  </si>
  <si>
    <t>MOCK-227324</t>
  </si>
  <si>
    <t>SKU-6223</t>
  </si>
  <si>
    <t>MOCK-773163</t>
  </si>
  <si>
    <t>SKU-2412</t>
  </si>
  <si>
    <t>MOCK-766851</t>
  </si>
  <si>
    <t>SKU-7884</t>
  </si>
  <si>
    <t>MOCK-778054</t>
  </si>
  <si>
    <t>SKU-9017</t>
  </si>
  <si>
    <t>MOCK-612813</t>
  </si>
  <si>
    <t>SKU-1391</t>
  </si>
  <si>
    <t>MOCK-465003</t>
  </si>
  <si>
    <t>SKU-9564</t>
  </si>
  <si>
    <t>MOCK-612575</t>
  </si>
  <si>
    <t>SKU-8143</t>
  </si>
  <si>
    <t>MOCK-306186</t>
  </si>
  <si>
    <t>SKU-8065</t>
  </si>
  <si>
    <t>MOCK-159625</t>
  </si>
  <si>
    <t>SKU-3003</t>
  </si>
  <si>
    <t>MOCK-645160</t>
  </si>
  <si>
    <t>SKU-5886</t>
  </si>
  <si>
    <t>MOCK-178283</t>
  </si>
  <si>
    <t>SKU-7927</t>
  </si>
  <si>
    <t>MOCK-890810</t>
  </si>
  <si>
    <t>SKU-2685</t>
  </si>
  <si>
    <t>MOCK-335003</t>
  </si>
  <si>
    <t>Day 5  —  Daily Entry</t>
  </si>
  <si>
    <t>SKU-2378</t>
  </si>
  <si>
    <t>MOCK-428634</t>
  </si>
  <si>
    <t>SKU-8291</t>
  </si>
  <si>
    <t>MOCK-499476</t>
  </si>
  <si>
    <t>SKU-3807</t>
  </si>
  <si>
    <t>MOCK-804911</t>
  </si>
  <si>
    <t>SKU-6448</t>
  </si>
  <si>
    <t>MOCK-538723</t>
  </si>
  <si>
    <t>SKU-7225</t>
  </si>
  <si>
    <t>MOCK-809847</t>
  </si>
  <si>
    <t>SKU-8722</t>
  </si>
  <si>
    <t>MOCK-351618</t>
  </si>
  <si>
    <t>SKU-2540</t>
  </si>
  <si>
    <t>MOCK-561883</t>
  </si>
  <si>
    <t>SKU-1625</t>
  </si>
  <si>
    <t>MOCK-183520</t>
  </si>
  <si>
    <t>SKU-6247</t>
  </si>
  <si>
    <t>MOCK-823025</t>
  </si>
  <si>
    <t>SKU-7007</t>
  </si>
  <si>
    <t>MOCK-717816</t>
  </si>
  <si>
    <t>SKU-3637</t>
  </si>
  <si>
    <t>MOCK-492575</t>
  </si>
  <si>
    <t>SKU-4534</t>
  </si>
  <si>
    <t>MOCK-431815</t>
  </si>
  <si>
    <t>SKU-2262</t>
  </si>
  <si>
    <t>MOCK-428215</t>
  </si>
  <si>
    <t>SKU-2202</t>
  </si>
  <si>
    <t>MOCK-640407</t>
  </si>
  <si>
    <t>SKU-1412</t>
  </si>
  <si>
    <t>MOCK-219357</t>
  </si>
  <si>
    <t>SKU-9405</t>
  </si>
  <si>
    <t>MOCK-430658</t>
  </si>
  <si>
    <t>SKU-6435</t>
  </si>
  <si>
    <t>MOCK-559087</t>
  </si>
  <si>
    <t>SKU-8507</t>
  </si>
  <si>
    <t>MOCK-770387</t>
  </si>
  <si>
    <t>SKU-1755</t>
  </si>
  <si>
    <t>MOCK-909457</t>
  </si>
  <si>
    <t>SKU-3074</t>
  </si>
  <si>
    <t>MOCK-520325</t>
  </si>
  <si>
    <t>Day 6  —  Daily Entry</t>
  </si>
  <si>
    <t>SKU-2338</t>
  </si>
  <si>
    <t>MOCK-372551</t>
  </si>
  <si>
    <t>SKU-3321</t>
  </si>
  <si>
    <t>MOCK-956382</t>
  </si>
  <si>
    <t>SKU-7038</t>
  </si>
  <si>
    <t>MOCK-660127</t>
  </si>
  <si>
    <t>SKU-6242</t>
  </si>
  <si>
    <t>MOCK-829888</t>
  </si>
  <si>
    <t>SKU-2982</t>
  </si>
  <si>
    <t>MOCK-431223</t>
  </si>
  <si>
    <t>SKU-6758</t>
  </si>
  <si>
    <t>MOCK-414915</t>
  </si>
  <si>
    <t>SKU-5263</t>
  </si>
  <si>
    <t>MOCK-849231</t>
  </si>
  <si>
    <t>SKU-6140</t>
  </si>
  <si>
    <t>MOCK-966223</t>
  </si>
  <si>
    <t>SKU-7046</t>
  </si>
  <si>
    <t>MOCK-792020</t>
  </si>
  <si>
    <t>SKU-7342</t>
  </si>
  <si>
    <t>MOCK-987298</t>
  </si>
  <si>
    <t>SKU-7747</t>
  </si>
  <si>
    <t>MOCK-365734</t>
  </si>
  <si>
    <t>SKU-6109</t>
  </si>
  <si>
    <t>MOCK-292770</t>
  </si>
  <si>
    <t>SKU-8802</t>
  </si>
  <si>
    <t>MOCK-844787</t>
  </si>
  <si>
    <t>SKU-2781</t>
  </si>
  <si>
    <t>MOCK-708097</t>
  </si>
  <si>
    <t>SKU-8357</t>
  </si>
  <si>
    <t>MOCK-240101</t>
  </si>
  <si>
    <t>SKU-6680</t>
  </si>
  <si>
    <t>MOCK-473979</t>
  </si>
  <si>
    <t>SKU-9185</t>
  </si>
  <si>
    <t>MOCK-820779</t>
  </si>
  <si>
    <t>SKU-5411</t>
  </si>
  <si>
    <t>MOCK-206839</t>
  </si>
  <si>
    <t>SKU-8258</t>
  </si>
  <si>
    <t>MOCK-219422</t>
  </si>
  <si>
    <t>SKU-9109</t>
  </si>
  <si>
    <t>MOCK-794408</t>
  </si>
  <si>
    <t>SKU-9769</t>
  </si>
  <si>
    <t>MOCK-293843</t>
  </si>
  <si>
    <t>SKU-5161</t>
  </si>
  <si>
    <t>MOCK-197083</t>
  </si>
  <si>
    <t>SKU-9975</t>
  </si>
  <si>
    <t>MOCK-338937</t>
  </si>
  <si>
    <t>SKU-7453</t>
  </si>
  <si>
    <t>MOCK-786603</t>
  </si>
  <si>
    <t>Day 7  —  Daily Entry</t>
  </si>
  <si>
    <t>SKU-2087</t>
  </si>
  <si>
    <t>MOCK-183620</t>
  </si>
  <si>
    <t>SKU-9768</t>
  </si>
  <si>
    <t>MOCK-453094</t>
  </si>
  <si>
    <t>SKU-9971</t>
  </si>
  <si>
    <t>MOCK-803931</t>
  </si>
  <si>
    <t>SKU-7450</t>
  </si>
  <si>
    <t>MOCK-364903</t>
  </si>
  <si>
    <t>SKU-6042</t>
  </si>
  <si>
    <t>MOCK-114482</t>
  </si>
  <si>
    <t>SKU-4373</t>
  </si>
  <si>
    <t>MOCK-584332</t>
  </si>
  <si>
    <t>SKU-4730</t>
  </si>
  <si>
    <t>MOCK-212367</t>
  </si>
  <si>
    <t>SKU-9666</t>
  </si>
  <si>
    <t>MOCK-319010</t>
  </si>
  <si>
    <t>SKU-8256</t>
  </si>
  <si>
    <t>MOCK-915792</t>
  </si>
  <si>
    <t>SKU-7809</t>
  </si>
  <si>
    <t>MOCK-962315</t>
  </si>
  <si>
    <t>SKU-4789</t>
  </si>
  <si>
    <t>MOCK-587120</t>
  </si>
  <si>
    <t>SKU-4611</t>
  </si>
  <si>
    <t>MOCK-223842</t>
  </si>
  <si>
    <t>SKU-5848</t>
  </si>
  <si>
    <t>MOCK-478570</t>
  </si>
  <si>
    <t>SKU-6642</t>
  </si>
  <si>
    <t>MOCK-137774</t>
  </si>
  <si>
    <t>SKU-1317</t>
  </si>
  <si>
    <t>MOCK-836598</t>
  </si>
  <si>
    <t>SKU-9090</t>
  </si>
  <si>
    <t>MOCK-376401</t>
  </si>
  <si>
    <t>SKU-1936</t>
  </si>
  <si>
    <t>MOCK-620890</t>
  </si>
  <si>
    <t>MOCK-921292</t>
  </si>
  <si>
    <t>SKU-8154</t>
  </si>
  <si>
    <t>MOCK-294401</t>
  </si>
  <si>
    <t>SKU-3780</t>
  </si>
  <si>
    <t>MOCK-519496</t>
  </si>
  <si>
    <t>SKU-5518</t>
  </si>
  <si>
    <t>MOCK-688067</t>
  </si>
  <si>
    <t>SKU-5229</t>
  </si>
  <si>
    <t>MOCK-547768</t>
  </si>
  <si>
    <t>SKU-4884</t>
  </si>
  <si>
    <t>MOCK-416737</t>
  </si>
  <si>
    <t>SKU-2254</t>
  </si>
  <si>
    <t>MOCK-677531</t>
  </si>
  <si>
    <t>Day 8  —  Daily Entry</t>
  </si>
  <si>
    <t>SKU-4389</t>
  </si>
  <si>
    <t>MOCK-455114</t>
  </si>
  <si>
    <t>SKU-1166</t>
  </si>
  <si>
    <t>MOCK-524128</t>
  </si>
  <si>
    <t>SKU-1170</t>
  </si>
  <si>
    <t>MOCK-756348</t>
  </si>
  <si>
    <t>SKU-1188</t>
  </si>
  <si>
    <t>MOCK-969245</t>
  </si>
  <si>
    <t>SKU-3189</t>
  </si>
  <si>
    <t>MOCK-908598</t>
  </si>
  <si>
    <t>SKU-6444</t>
  </si>
  <si>
    <t>MOCK-458826</t>
  </si>
  <si>
    <t>SKU-7538</t>
  </si>
  <si>
    <t>MOCK-791590</t>
  </si>
  <si>
    <t>SKU-2593</t>
  </si>
  <si>
    <t>MOCK-723160</t>
  </si>
  <si>
    <t>SKU-9676</t>
  </si>
  <si>
    <t>MOCK-408004</t>
  </si>
  <si>
    <t>SKU-6830</t>
  </si>
  <si>
    <t>MOCK-525584</t>
  </si>
  <si>
    <t>SKU-4111</t>
  </si>
  <si>
    <t>MOCK-704058</t>
  </si>
  <si>
    <t>SKU-3797</t>
  </si>
  <si>
    <t>MOCK-568385</t>
  </si>
  <si>
    <t>SKU-9726</t>
  </si>
  <si>
    <t>MOCK-459563</t>
  </si>
  <si>
    <t>SKU-3789</t>
  </si>
  <si>
    <t>MOCK-181820</t>
  </si>
  <si>
    <t>SKU-9344</t>
  </si>
  <si>
    <t>MOCK-213570</t>
  </si>
  <si>
    <t>SKU-4899</t>
  </si>
  <si>
    <t>MOCK-488877</t>
  </si>
  <si>
    <t>SKU-5075</t>
  </si>
  <si>
    <t>MOCK-924019</t>
  </si>
  <si>
    <t>SKU-5714</t>
  </si>
  <si>
    <t>MOCK-405788</t>
  </si>
  <si>
    <t>SKU-3914</t>
  </si>
  <si>
    <t>MOCK-319660</t>
  </si>
  <si>
    <t>SKU-4561</t>
  </si>
  <si>
    <t>MOCK-541793</t>
  </si>
  <si>
    <t>SKU-9881</t>
  </si>
  <si>
    <t>MOCK-655517</t>
  </si>
  <si>
    <t>SKU-8385</t>
  </si>
  <si>
    <t>MOCK-495753</t>
  </si>
  <si>
    <t>SKU-5286</t>
  </si>
  <si>
    <t>MOCK-615190</t>
  </si>
  <si>
    <t>SKU-4421</t>
  </si>
  <si>
    <t>MOCK-658156</t>
  </si>
  <si>
    <t>Day 9  —  Daily Entry</t>
  </si>
  <si>
    <t>SKU-5838</t>
  </si>
  <si>
    <t>MOCK-383253</t>
  </si>
  <si>
    <t>SKU-3678</t>
  </si>
  <si>
    <t>MOCK-392142</t>
  </si>
  <si>
    <t>SKU-3213</t>
  </si>
  <si>
    <t>MOCK-804224</t>
  </si>
  <si>
    <t>SKU-3438</t>
  </si>
  <si>
    <t>MOCK-645391</t>
  </si>
  <si>
    <t>SKU-2279</t>
  </si>
  <si>
    <t>MOCK-138967</t>
  </si>
  <si>
    <t>SKU-9878</t>
  </si>
  <si>
    <t>MOCK-232894</t>
  </si>
  <si>
    <t>SKU-1798</t>
  </si>
  <si>
    <t>MOCK-823627</t>
  </si>
  <si>
    <t>SKU-4687</t>
  </si>
  <si>
    <t>MOCK-243010</t>
  </si>
  <si>
    <t>SKU-8499</t>
  </si>
  <si>
    <t>MOCK-507423</t>
  </si>
  <si>
    <t>SKU-3181</t>
  </si>
  <si>
    <t>MOCK-210730</t>
  </si>
  <si>
    <t>SKU-7561</t>
  </si>
  <si>
    <t>MOCK-501513</t>
  </si>
  <si>
    <t>SKU-8512</t>
  </si>
  <si>
    <t>MOCK-806149</t>
  </si>
  <si>
    <t>SKU-5430</t>
  </si>
  <si>
    <t>MOCK-588675</t>
  </si>
  <si>
    <t>SKU-3502</t>
  </si>
  <si>
    <t>MOCK-374753</t>
  </si>
  <si>
    <t>SKU-2644</t>
  </si>
  <si>
    <t>MOCK-647546</t>
  </si>
  <si>
    <t>SKU-5305</t>
  </si>
  <si>
    <t>MOCK-179263</t>
  </si>
  <si>
    <t>SKU-5785</t>
  </si>
  <si>
    <t>MOCK-191127</t>
  </si>
  <si>
    <t>SKU-4188</t>
  </si>
  <si>
    <t>MOCK-697372</t>
  </si>
  <si>
    <t>SKU-3063</t>
  </si>
  <si>
    <t>MOCK-156888</t>
  </si>
  <si>
    <t>SKU-9829</t>
  </si>
  <si>
    <t>MOCK-711920</t>
  </si>
  <si>
    <t>SKU-7941</t>
  </si>
  <si>
    <t>MOCK-592235</t>
  </si>
  <si>
    <t>SKU-3184</t>
  </si>
  <si>
    <t>MOCK-507334</t>
  </si>
  <si>
    <t>SKU-6849</t>
  </si>
  <si>
    <t>MOCK-547004</t>
  </si>
  <si>
    <t>SKU-7146</t>
  </si>
  <si>
    <t>MOCK-353711</t>
  </si>
  <si>
    <t>SKU-6019</t>
  </si>
  <si>
    <t>MOCK-868650</t>
  </si>
  <si>
    <t>SKU-7807</t>
  </si>
  <si>
    <t>MOCK-151977</t>
  </si>
  <si>
    <t>SKU-6383</t>
  </si>
  <si>
    <t>MOCK-108614</t>
  </si>
  <si>
    <t>SKU-1091</t>
  </si>
  <si>
    <t>MOCK-394472</t>
  </si>
  <si>
    <t>SKU-8983</t>
  </si>
  <si>
    <t>MOCK-864311</t>
  </si>
  <si>
    <t>SKU-2586</t>
  </si>
  <si>
    <t>MOCK-476359</t>
  </si>
  <si>
    <t>SKU-6708</t>
  </si>
  <si>
    <t>MOCK-139987</t>
  </si>
  <si>
    <t>Day 10  —  Daily Entry</t>
  </si>
  <si>
    <t>SKU-6279</t>
  </si>
  <si>
    <t>MOCK-578814</t>
  </si>
  <si>
    <t>SKU-1020</t>
  </si>
  <si>
    <t>MOCK-235293</t>
  </si>
  <si>
    <t>SKU-8252</t>
  </si>
  <si>
    <t>MOCK-258004</t>
  </si>
  <si>
    <t>SKU-5083</t>
  </si>
  <si>
    <t>MOCK-875091</t>
  </si>
  <si>
    <t>SKU-8720</t>
  </si>
  <si>
    <t>MOCK-863935</t>
  </si>
  <si>
    <t>SKU-9898</t>
  </si>
  <si>
    <t>MOCK-694122</t>
  </si>
  <si>
    <t>SKU-3822</t>
  </si>
  <si>
    <t>MOCK-870410</t>
  </si>
  <si>
    <t>SKU-5200</t>
  </si>
  <si>
    <t>MOCK-266328</t>
  </si>
  <si>
    <t>SKU-4360</t>
  </si>
  <si>
    <t>MOCK-968959</t>
  </si>
  <si>
    <t>SKU-9485</t>
  </si>
  <si>
    <t>MOCK-220143</t>
  </si>
  <si>
    <t>SKU-3535</t>
  </si>
  <si>
    <t>MOCK-633084</t>
  </si>
  <si>
    <t>SKU-1489</t>
  </si>
  <si>
    <t>MOCK-808140</t>
  </si>
  <si>
    <t>SKU-8645</t>
  </si>
  <si>
    <t>MOCK-515141</t>
  </si>
  <si>
    <t>SKU-7379</t>
  </si>
  <si>
    <t>MOCK-211744</t>
  </si>
  <si>
    <t>SKU-2598</t>
  </si>
  <si>
    <t>MOCK-409562</t>
  </si>
  <si>
    <t>SKU-1199</t>
  </si>
  <si>
    <t>MOCK-930598</t>
  </si>
  <si>
    <t>SKU-6702</t>
  </si>
  <si>
    <t>MOCK-395606</t>
  </si>
  <si>
    <t>SKU-9625</t>
  </si>
  <si>
    <t>MOCK-427935</t>
  </si>
  <si>
    <t>SKU-4676</t>
  </si>
  <si>
    <t>MOCK-510859</t>
  </si>
  <si>
    <t>SKU-4595</t>
  </si>
  <si>
    <t>MOCK-209186</t>
  </si>
  <si>
    <t>SKU-8508</t>
  </si>
  <si>
    <t>MOCK-217715</t>
  </si>
  <si>
    <t>SKU-8920</t>
  </si>
  <si>
    <t>MOCK-772493</t>
  </si>
  <si>
    <t>SKU-6301</t>
  </si>
  <si>
    <t>MOCK-906588</t>
  </si>
  <si>
    <t>SKU-4499</t>
  </si>
  <si>
    <t>MOCK-764206</t>
  </si>
  <si>
    <t>SKU-5283</t>
  </si>
  <si>
    <t>MOCK-296284</t>
  </si>
  <si>
    <t>SKU-3735</t>
  </si>
  <si>
    <t>MOCK-528812</t>
  </si>
  <si>
    <t>SKU-4215</t>
  </si>
  <si>
    <t>MOCK-869248</t>
  </si>
  <si>
    <t>SKU-6538</t>
  </si>
  <si>
    <t>MOCK-355318</t>
  </si>
  <si>
    <t>SKU-7850</t>
  </si>
  <si>
    <t>MOCK-727978</t>
  </si>
  <si>
    <t>SKU-5898</t>
  </si>
  <si>
    <t>MOCK-187491</t>
  </si>
  <si>
    <t>SKU-1636</t>
  </si>
  <si>
    <t>MOCK-452379</t>
  </si>
  <si>
    <t>SKU-1093</t>
  </si>
  <si>
    <t>MOCK-119241</t>
  </si>
  <si>
    <t>SKU-2538</t>
  </si>
  <si>
    <t>MOCK-623538</t>
  </si>
  <si>
    <t>Day 11  —  Daily Entry</t>
  </si>
  <si>
    <t>SKU-4098</t>
  </si>
  <si>
    <t>MOCK-493837</t>
  </si>
  <si>
    <t>SKU-4375</t>
  </si>
  <si>
    <t>MOCK-713244</t>
  </si>
  <si>
    <t>SKU-1967</t>
  </si>
  <si>
    <t>MOCK-773538</t>
  </si>
  <si>
    <t>SKU-9781</t>
  </si>
  <si>
    <t>MOCK-117681</t>
  </si>
  <si>
    <t>SKU-4668</t>
  </si>
  <si>
    <t>MOCK-876769</t>
  </si>
  <si>
    <t>SKU-5797</t>
  </si>
  <si>
    <t>MOCK-412625</t>
  </si>
  <si>
    <t>SKU-5882</t>
  </si>
  <si>
    <t>MOCK-660130</t>
  </si>
  <si>
    <t>SKU-6103</t>
  </si>
  <si>
    <t>MOCK-222728</t>
  </si>
  <si>
    <t>SKU-4299</t>
  </si>
  <si>
    <t>MOCK-359806</t>
  </si>
  <si>
    <t>SKU-3550</t>
  </si>
  <si>
    <t>MOCK-483839</t>
  </si>
  <si>
    <t>SKU-1363</t>
  </si>
  <si>
    <t>MOCK-916474</t>
  </si>
  <si>
    <t>SKU-6789</t>
  </si>
  <si>
    <t>MOCK-853208</t>
  </si>
  <si>
    <t>SKU-7349</t>
  </si>
  <si>
    <t>MOCK-900470</t>
  </si>
  <si>
    <t>SKU-8058</t>
  </si>
  <si>
    <t>MOCK-197870</t>
  </si>
  <si>
    <t>SKU-1348</t>
  </si>
  <si>
    <t>MOCK-476627</t>
  </si>
  <si>
    <t>SKU-8403</t>
  </si>
  <si>
    <t>MOCK-764481</t>
  </si>
  <si>
    <t>SKU-1827</t>
  </si>
  <si>
    <t>MOCK-148095</t>
  </si>
  <si>
    <t>SKU-2454</t>
  </si>
  <si>
    <t>MOCK-580447</t>
  </si>
  <si>
    <t>SKU-7497</t>
  </si>
  <si>
    <t>MOCK-256889</t>
  </si>
  <si>
    <t>SKU-4941</t>
  </si>
  <si>
    <t>MOCK-546796</t>
  </si>
  <si>
    <t>SKU-6895</t>
  </si>
  <si>
    <t>MOCK-843293</t>
  </si>
  <si>
    <t>SKU-1190</t>
  </si>
  <si>
    <t>MOCK-148657</t>
  </si>
  <si>
    <t>SKU-2748</t>
  </si>
  <si>
    <t>MOCK-348870</t>
  </si>
  <si>
    <t>SKU-6609</t>
  </si>
  <si>
    <t>MOCK-464442</t>
  </si>
  <si>
    <t>SKU-8615</t>
  </si>
  <si>
    <t>MOCK-470507</t>
  </si>
  <si>
    <t>SKU-1252</t>
  </si>
  <si>
    <t>MOCK-683294</t>
  </si>
  <si>
    <t>SKU-5516</t>
  </si>
  <si>
    <t>MOCK-522944</t>
  </si>
  <si>
    <t>SKU-5063</t>
  </si>
  <si>
    <t>MOCK-304498</t>
  </si>
  <si>
    <t>SKU-6403</t>
  </si>
  <si>
    <t>MOCK-911447</t>
  </si>
  <si>
    <t>SKU-6499</t>
  </si>
  <si>
    <t>MOCK-381960</t>
  </si>
  <si>
    <t>SKU-8497</t>
  </si>
  <si>
    <t>MOCK-553422</t>
  </si>
  <si>
    <t>SKU-1634</t>
  </si>
  <si>
    <t>MOCK-418888</t>
  </si>
  <si>
    <t>SKU-3867</t>
  </si>
  <si>
    <t>MOCK-987710</t>
  </si>
  <si>
    <t>SKU-6407</t>
  </si>
  <si>
    <t>MOCK-383728</t>
  </si>
  <si>
    <t>Day 12  —  Daily Entry</t>
  </si>
  <si>
    <t>SKU-5046</t>
  </si>
  <si>
    <t>MOCK-744281</t>
  </si>
  <si>
    <t>SKU-7615</t>
  </si>
  <si>
    <t>MOCK-767903</t>
  </si>
  <si>
    <t>SKU-3423</t>
  </si>
  <si>
    <t>MOCK-853766</t>
  </si>
  <si>
    <t>SKU-1259</t>
  </si>
  <si>
    <t>MOCK-738375</t>
  </si>
  <si>
    <t>SKU-4417</t>
  </si>
  <si>
    <t>MOCK-269368</t>
  </si>
  <si>
    <t>SKU-5840</t>
  </si>
  <si>
    <t>MOCK-326449</t>
  </si>
  <si>
    <t>SKU-6157</t>
  </si>
  <si>
    <t>MOCK-257023</t>
  </si>
  <si>
    <t>SKU-8161</t>
  </si>
  <si>
    <t>MOCK-406541</t>
  </si>
  <si>
    <t>SKU-3756</t>
  </si>
  <si>
    <t>MOCK-700431</t>
  </si>
  <si>
    <t>SKU-4246</t>
  </si>
  <si>
    <t>MOCK-136377</t>
  </si>
  <si>
    <t>SKU-7206</t>
  </si>
  <si>
    <t>MOCK-687204</t>
  </si>
  <si>
    <t>SKU-7257</t>
  </si>
  <si>
    <t>MOCK-477818</t>
  </si>
  <si>
    <t>SKU-7723</t>
  </si>
  <si>
    <t>MOCK-936638</t>
  </si>
  <si>
    <t>SKU-3120</t>
  </si>
  <si>
    <t>MOCK-868612</t>
  </si>
  <si>
    <t>SKU-9875</t>
  </si>
  <si>
    <t>MOCK-860144</t>
  </si>
  <si>
    <t>SKU-8376</t>
  </si>
  <si>
    <t>MOCK-849183</t>
  </si>
  <si>
    <t>SKU-3186</t>
  </si>
  <si>
    <t>MOCK-273792</t>
  </si>
  <si>
    <t>SKU-6041</t>
  </si>
  <si>
    <t>MOCK-420405</t>
  </si>
  <si>
    <t>SKU-9449</t>
  </si>
  <si>
    <t>MOCK-953301</t>
  </si>
  <si>
    <t>SKU-9664</t>
  </si>
  <si>
    <t>MOCK-855508</t>
  </si>
  <si>
    <t>MOCK-958973</t>
  </si>
  <si>
    <t>SKU-6452</t>
  </si>
  <si>
    <t>MOCK-140876</t>
  </si>
  <si>
    <t>SKU-3026</t>
  </si>
  <si>
    <t>MOCK-938359</t>
  </si>
  <si>
    <t>SKU-6299</t>
  </si>
  <si>
    <t>MOCK-461412</t>
  </si>
  <si>
    <t>SKU-7524</t>
  </si>
  <si>
    <t>MOCK-838748</t>
  </si>
  <si>
    <t>SKU-8706</t>
  </si>
  <si>
    <t>MOCK-249141</t>
  </si>
  <si>
    <t>SKU-2001</t>
  </si>
  <si>
    <t>MOCK-406412</t>
  </si>
  <si>
    <t>SKU-5774</t>
  </si>
  <si>
    <t>MOCK-141021</t>
  </si>
  <si>
    <t>SKU-9006</t>
  </si>
  <si>
    <t>MOCK-819057</t>
  </si>
  <si>
    <t>SKU-2196</t>
  </si>
  <si>
    <t>MOCK-582804</t>
  </si>
  <si>
    <t>SKU-4391</t>
  </si>
  <si>
    <t>MOCK-648499</t>
  </si>
  <si>
    <t>SKU-1640</t>
  </si>
  <si>
    <t>MOCK-884411</t>
  </si>
  <si>
    <t>SKU-4059</t>
  </si>
  <si>
    <t>MOCK-732179</t>
  </si>
  <si>
    <t>Day 13  —  Daily Entry</t>
  </si>
  <si>
    <t>SKU-3958</t>
  </si>
  <si>
    <t>MOCK-939379</t>
  </si>
  <si>
    <t>SKU-7297</t>
  </si>
  <si>
    <t>MOCK-700216</t>
  </si>
  <si>
    <t>SKU-3773</t>
  </si>
  <si>
    <t>MOCK-853312</t>
  </si>
  <si>
    <t>SKU-2455</t>
  </si>
  <si>
    <t>MOCK-497273</t>
  </si>
  <si>
    <t>SKU-4683</t>
  </si>
  <si>
    <t>MOCK-719497</t>
  </si>
  <si>
    <t>SKU-1305</t>
  </si>
  <si>
    <t>MOCK-318577</t>
  </si>
  <si>
    <t>SKU-8095</t>
  </si>
  <si>
    <t>MOCK-255597</t>
  </si>
  <si>
    <t>SKU-4272</t>
  </si>
  <si>
    <t>MOCK-266871</t>
  </si>
  <si>
    <t>SKU-8549</t>
  </si>
  <si>
    <t>MOCK-921800</t>
  </si>
  <si>
    <t>SKU-8617</t>
  </si>
  <si>
    <t>MOCK-696360</t>
  </si>
  <si>
    <t>SKU-6641</t>
  </si>
  <si>
    <t>MOCK-336673</t>
  </si>
  <si>
    <t>SKU-8041</t>
  </si>
  <si>
    <t>MOCK-362111</t>
  </si>
  <si>
    <t>SKU-6225</t>
  </si>
  <si>
    <t>MOCK-710560</t>
  </si>
  <si>
    <t>MOCK-279033</t>
  </si>
  <si>
    <t>SKU-1514</t>
  </si>
  <si>
    <t>MOCK-137926</t>
  </si>
  <si>
    <t>SKU-4598</t>
  </si>
  <si>
    <t>MOCK-624242</t>
  </si>
  <si>
    <t>SKU-8538</t>
  </si>
  <si>
    <t>MOCK-445568</t>
  </si>
  <si>
    <t>SKU-5805</t>
  </si>
  <si>
    <t>MOCK-626354</t>
  </si>
  <si>
    <t>SKU-6688</t>
  </si>
  <si>
    <t>MOCK-417632</t>
  </si>
  <si>
    <t>SKU-1156</t>
  </si>
  <si>
    <t>MOCK-587755</t>
  </si>
  <si>
    <t>SKU-8366</t>
  </si>
  <si>
    <t>MOCK-821738</t>
  </si>
  <si>
    <t>SKU-6964</t>
  </si>
  <si>
    <t>MOCK-500080</t>
  </si>
  <si>
    <t>SKU-3952</t>
  </si>
  <si>
    <t>MOCK-423050</t>
  </si>
  <si>
    <t>SKU-5122</t>
  </si>
  <si>
    <t>MOCK-885524</t>
  </si>
  <si>
    <t>SKU-6995</t>
  </si>
  <si>
    <t>MOCK-693996</t>
  </si>
  <si>
    <t>SKU-3258</t>
  </si>
  <si>
    <t>MOCK-715301</t>
  </si>
  <si>
    <t>SKU-9691</t>
  </si>
  <si>
    <t>MOCK-661183</t>
  </si>
  <si>
    <t>SKU-2389</t>
  </si>
  <si>
    <t>MOCK-571279</t>
  </si>
  <si>
    <t>SKU-1554</t>
  </si>
  <si>
    <t>MOCK-186141</t>
  </si>
  <si>
    <t>SKU-4794</t>
  </si>
  <si>
    <t>MOCK-232062</t>
  </si>
  <si>
    <t>SKU-1977</t>
  </si>
  <si>
    <t>MOCK-435181</t>
  </si>
  <si>
    <t>SKU-2190</t>
  </si>
  <si>
    <t>MOCK-441054</t>
  </si>
  <si>
    <t>Day 14  —  Daily Entry</t>
  </si>
  <si>
    <t>SKU-6517</t>
  </si>
  <si>
    <t>MOCK-149078</t>
  </si>
  <si>
    <t>SKU-7946</t>
  </si>
  <si>
    <t>MOCK-769700</t>
  </si>
  <si>
    <t>SKU-3709</t>
  </si>
  <si>
    <t>MOCK-916106</t>
  </si>
  <si>
    <t>SKU-9717</t>
  </si>
  <si>
    <t>MOCK-620595</t>
  </si>
  <si>
    <t>SKU-8146</t>
  </si>
  <si>
    <t>MOCK-131024</t>
  </si>
  <si>
    <t>SKU-3209</t>
  </si>
  <si>
    <t>MOCK-279086</t>
  </si>
  <si>
    <t>SKU-9317</t>
  </si>
  <si>
    <t>MOCK-455682</t>
  </si>
  <si>
    <t>SKU-1119</t>
  </si>
  <si>
    <t>MOCK-773927</t>
  </si>
  <si>
    <t>SKU-6835</t>
  </si>
  <si>
    <t>MOCK-792354</t>
  </si>
  <si>
    <t>SKU-2484</t>
  </si>
  <si>
    <t>MOCK-650000</t>
  </si>
  <si>
    <t>SKU-1980</t>
  </si>
  <si>
    <t>MOCK-410837</t>
  </si>
  <si>
    <t>SKU-4029</t>
  </si>
  <si>
    <t>MOCK-604063</t>
  </si>
  <si>
    <t>SKU-4382</t>
  </si>
  <si>
    <t>MOCK-176935</t>
  </si>
  <si>
    <t>SKU-6133</t>
  </si>
  <si>
    <t>MOCK-691906</t>
  </si>
  <si>
    <t>SKU-2954</t>
  </si>
  <si>
    <t>MOCK-669392</t>
  </si>
  <si>
    <t>SKU-7372</t>
  </si>
  <si>
    <t>MOCK-931489</t>
  </si>
  <si>
    <t>SKU-9873</t>
  </si>
  <si>
    <t>MOCK-836384</t>
  </si>
  <si>
    <t>SKU-3697</t>
  </si>
  <si>
    <t>MOCK-628783</t>
  </si>
  <si>
    <t>SKU-7262</t>
  </si>
  <si>
    <t>MOCK-519504</t>
  </si>
  <si>
    <t>Day 15  —  Daily Entry</t>
  </si>
  <si>
    <t>SKU-4007</t>
  </si>
  <si>
    <t>MOCK-245027</t>
  </si>
  <si>
    <t>SKU-7826</t>
  </si>
  <si>
    <t>MOCK-460808</t>
  </si>
  <si>
    <t>SKU-6533</t>
  </si>
  <si>
    <t>MOCK-916660</t>
  </si>
  <si>
    <t>SKU-7391</t>
  </si>
  <si>
    <t>MOCK-384961</t>
  </si>
  <si>
    <t>SKU-8898</t>
  </si>
  <si>
    <t>MOCK-523682</t>
  </si>
  <si>
    <t>SKU-3559</t>
  </si>
  <si>
    <t>MOCK-464399</t>
  </si>
  <si>
    <t>SKU-7382</t>
  </si>
  <si>
    <t>MOCK-735407</t>
  </si>
  <si>
    <t>MOCK-148884</t>
  </si>
  <si>
    <t>SKU-8869</t>
  </si>
  <si>
    <t>MOCK-170670</t>
  </si>
  <si>
    <t>SKU-1556</t>
  </si>
  <si>
    <t>MOCK-354152</t>
  </si>
  <si>
    <t>SKU-9073</t>
  </si>
  <si>
    <t>MOCK-396199</t>
  </si>
  <si>
    <t>SKU-4287</t>
  </si>
  <si>
    <t>MOCK-519144</t>
  </si>
  <si>
    <t>SKU-5738</t>
  </si>
  <si>
    <t>MOCK-340685</t>
  </si>
  <si>
    <t>SKU-6281</t>
  </si>
  <si>
    <t>MOCK-733258</t>
  </si>
  <si>
    <t>MOCK-536121</t>
  </si>
  <si>
    <t>SKU-6899</t>
  </si>
  <si>
    <t>MOCK-862345</t>
  </si>
  <si>
    <t>SKU-3882</t>
  </si>
  <si>
    <t>MOCK-752833</t>
  </si>
  <si>
    <t>SKU-5688</t>
  </si>
  <si>
    <t>MOCK-975315</t>
  </si>
  <si>
    <t>SKU-9349</t>
  </si>
  <si>
    <t>MOCK-842461</t>
  </si>
  <si>
    <t>SKU-4323</t>
  </si>
  <si>
    <t>MOCK-452052</t>
  </si>
  <si>
    <t>Day 16  —  Daily Entry</t>
  </si>
  <si>
    <t>SKU-5940</t>
  </si>
  <si>
    <t>MOCK-130081</t>
  </si>
  <si>
    <t>SKU-9859</t>
  </si>
  <si>
    <t>MOCK-915354</t>
  </si>
  <si>
    <t>SKU-2848</t>
  </si>
  <si>
    <t>MOCK-246552</t>
  </si>
  <si>
    <t>SKU-1970</t>
  </si>
  <si>
    <t>MOCK-508899</t>
  </si>
  <si>
    <t>SKU-8948</t>
  </si>
  <si>
    <t>MOCK-670495</t>
  </si>
  <si>
    <t>SKU-5426</t>
  </si>
  <si>
    <t>MOCK-902218</t>
  </si>
  <si>
    <t>MOCK-627587</t>
  </si>
  <si>
    <t>SKU-3944</t>
  </si>
  <si>
    <t>MOCK-375195</t>
  </si>
  <si>
    <t>SKU-8752</t>
  </si>
  <si>
    <t>MOCK-155215</t>
  </si>
  <si>
    <t>SKU-4741</t>
  </si>
  <si>
    <t>MOCK-466884</t>
  </si>
  <si>
    <t>SKU-4174</t>
  </si>
  <si>
    <t>MOCK-698159</t>
  </si>
  <si>
    <t>MOCK-867772</t>
  </si>
  <si>
    <t>SKU-1573</t>
  </si>
  <si>
    <t>MOCK-737550</t>
  </si>
  <si>
    <t>SKU-4865</t>
  </si>
  <si>
    <t>MOCK-758841</t>
  </si>
  <si>
    <t>SKU-2646</t>
  </si>
  <si>
    <t>MOCK-406629</t>
  </si>
  <si>
    <t>SKU-9138</t>
  </si>
  <si>
    <t>MOCK-659291</t>
  </si>
  <si>
    <t>SKU-6471</t>
  </si>
  <si>
    <t>MOCK-663277</t>
  </si>
  <si>
    <t>SKU-7969</t>
  </si>
  <si>
    <t>MOCK-181197</t>
  </si>
  <si>
    <t>SKU-1832</t>
  </si>
  <si>
    <t>MOCK-296987</t>
  </si>
  <si>
    <t>Day 17  —  Daily Entry</t>
  </si>
  <si>
    <t>SKU-4575</t>
  </si>
  <si>
    <t>MOCK-215514</t>
  </si>
  <si>
    <t>MOCK-928733</t>
  </si>
  <si>
    <t>SKU-9298</t>
  </si>
  <si>
    <t>MOCK-482614</t>
  </si>
  <si>
    <t>SKU-5265</t>
  </si>
  <si>
    <t>MOCK-238546</t>
  </si>
  <si>
    <t>SKU-9750</t>
  </si>
  <si>
    <t>MOCK-517287</t>
  </si>
  <si>
    <t>MOCK-303685</t>
  </si>
  <si>
    <t>SKU-6321</t>
  </si>
  <si>
    <t>MOCK-948815</t>
  </si>
  <si>
    <t>SKU-7433</t>
  </si>
  <si>
    <t>MOCK-698479</t>
  </si>
  <si>
    <t>SKU-9470</t>
  </si>
  <si>
    <t>MOCK-575811</t>
  </si>
  <si>
    <t>SKU-4355</t>
  </si>
  <si>
    <t>MOCK-202946</t>
  </si>
  <si>
    <t>SKU-1522</t>
  </si>
  <si>
    <t>MOCK-407449</t>
  </si>
  <si>
    <t>SKU-5540</t>
  </si>
  <si>
    <t>MOCK-618379</t>
  </si>
  <si>
    <t>SKU-2291</t>
  </si>
  <si>
    <t>MOCK-434428</t>
  </si>
  <si>
    <t>SKU-9546</t>
  </si>
  <si>
    <t>MOCK-921379</t>
  </si>
  <si>
    <t>SKU-1876</t>
  </si>
  <si>
    <t>MOCK-872045</t>
  </si>
  <si>
    <t>SKU-8750</t>
  </si>
  <si>
    <t>MOCK-137677</t>
  </si>
  <si>
    <t>SKU-1498</t>
  </si>
  <si>
    <t>MOCK-848059</t>
  </si>
  <si>
    <t>SKU-8654</t>
  </si>
  <si>
    <t>MOCK-793504</t>
  </si>
  <si>
    <t>SKU-3967</t>
  </si>
  <si>
    <t>MOCK-676293</t>
  </si>
  <si>
    <t>SKU-8116</t>
  </si>
  <si>
    <t>MOCK-210417</t>
  </si>
  <si>
    <t>SKU-8190</t>
  </si>
  <si>
    <t>MOCK-279083</t>
  </si>
  <si>
    <t>SKU-5923</t>
  </si>
  <si>
    <t>MOCK-101267</t>
  </si>
  <si>
    <t>SKU-3010</t>
  </si>
  <si>
    <t>MOCK-986004</t>
  </si>
  <si>
    <t>SKU-8159</t>
  </si>
  <si>
    <t>MOCK-365063</t>
  </si>
  <si>
    <t>SKU-8088</t>
  </si>
  <si>
    <t>MOCK-696380</t>
  </si>
  <si>
    <t>Day 18  —  Daily Entry</t>
  </si>
  <si>
    <t>SKU-8725</t>
  </si>
  <si>
    <t>MOCK-772633</t>
  </si>
  <si>
    <t>SKU-8194</t>
  </si>
  <si>
    <t>MOCK-614209</t>
  </si>
  <si>
    <t>SKU-4555</t>
  </si>
  <si>
    <t>MOCK-642777</t>
  </si>
  <si>
    <t>SKU-6513</t>
  </si>
  <si>
    <t>MOCK-921565</t>
  </si>
  <si>
    <t>SKU-2605</t>
  </si>
  <si>
    <t>MOCK-729351</t>
  </si>
  <si>
    <t>SKU-1932</t>
  </si>
  <si>
    <t>MOCK-553351</t>
  </si>
  <si>
    <t>SKU-4390</t>
  </si>
  <si>
    <t>MOCK-892894</t>
  </si>
  <si>
    <t>SKU-2944</t>
  </si>
  <si>
    <t>MOCK-861936</t>
  </si>
  <si>
    <t>SKU-1106</t>
  </si>
  <si>
    <t>MOCK-244137</t>
  </si>
  <si>
    <t>SKU-9158</t>
  </si>
  <si>
    <t>MOCK-245236</t>
  </si>
  <si>
    <t>SKU-3096</t>
  </si>
  <si>
    <t>MOCK-240046</t>
  </si>
  <si>
    <t>SKU-6675</t>
  </si>
  <si>
    <t>MOCK-406778</t>
  </si>
  <si>
    <t>SKU-6245</t>
  </si>
  <si>
    <t>MOCK-437931</t>
  </si>
  <si>
    <t>SKU-9310</t>
  </si>
  <si>
    <t>MOCK-236736</t>
  </si>
  <si>
    <t>SKU-2839</t>
  </si>
  <si>
    <t>MOCK-819571</t>
  </si>
  <si>
    <t>SKU-7415</t>
  </si>
  <si>
    <t>MOCK-965292</t>
  </si>
  <si>
    <t>SKU-4486</t>
  </si>
  <si>
    <t>MOCK-405899</t>
  </si>
  <si>
    <t>SKU-5811</t>
  </si>
  <si>
    <t>MOCK-528527</t>
  </si>
  <si>
    <t>SKU-2354</t>
  </si>
  <si>
    <t>MOCK-607186</t>
  </si>
  <si>
    <t>SKU-6322</t>
  </si>
  <si>
    <t>MOCK-670067</t>
  </si>
  <si>
    <t>SKU-7769</t>
  </si>
  <si>
    <t>MOCK-880486</t>
  </si>
  <si>
    <t>SKU-4990</t>
  </si>
  <si>
    <t>MOCK-760081</t>
  </si>
  <si>
    <t>SKU-1724</t>
  </si>
  <si>
    <t>MOCK-462026</t>
  </si>
  <si>
    <t>SKU-5741</t>
  </si>
  <si>
    <t>MOCK-397176</t>
  </si>
  <si>
    <t>SKU-2458</t>
  </si>
  <si>
    <t>MOCK-818569</t>
  </si>
  <si>
    <t>MOCK-775470</t>
  </si>
  <si>
    <t>SKU-2900</t>
  </si>
  <si>
    <t>MOCK-358438</t>
  </si>
  <si>
    <t>SKU-1172</t>
  </si>
  <si>
    <t>MOCK-569294</t>
  </si>
  <si>
    <t>SKU-3728</t>
  </si>
  <si>
    <t>MOCK-904116</t>
  </si>
  <si>
    <t>SKU-7858</t>
  </si>
  <si>
    <t>MOCK-430443</t>
  </si>
  <si>
    <t>SKU-3100</t>
  </si>
  <si>
    <t>MOCK-965598</t>
  </si>
  <si>
    <t>SKU-7838</t>
  </si>
  <si>
    <t>MOCK-731514</t>
  </si>
  <si>
    <t>SKU-3332</t>
  </si>
  <si>
    <t>MOCK-560783</t>
  </si>
  <si>
    <t>SKU-6155</t>
  </si>
  <si>
    <t>MOCK-283249</t>
  </si>
  <si>
    <t>Day 19  —  Daily Entry</t>
  </si>
  <si>
    <t>SKU-6382</t>
  </si>
  <si>
    <t>MOCK-425279</t>
  </si>
  <si>
    <t>MOCK-976043</t>
  </si>
  <si>
    <t>SKU-2093</t>
  </si>
  <si>
    <t>MOCK-969963</t>
  </si>
  <si>
    <t>SKU-2637</t>
  </si>
  <si>
    <t>MOCK-337392</t>
  </si>
  <si>
    <t>MOCK-612862</t>
  </si>
  <si>
    <t>SKU-5120</t>
  </si>
  <si>
    <t>MOCK-797245</t>
  </si>
  <si>
    <t>SKU-4349</t>
  </si>
  <si>
    <t>MOCK-286851</t>
  </si>
  <si>
    <t>SKU-7634</t>
  </si>
  <si>
    <t>MOCK-216161</t>
  </si>
  <si>
    <t>SKU-3076</t>
  </si>
  <si>
    <t>MOCK-203912</t>
  </si>
  <si>
    <t>SKU-8359</t>
  </si>
  <si>
    <t>MOCK-271488</t>
  </si>
  <si>
    <t>SKU-7009</t>
  </si>
  <si>
    <t>MOCK-107011</t>
  </si>
  <si>
    <t>SKU-7673</t>
  </si>
  <si>
    <t>MOCK-994048</t>
  </si>
  <si>
    <t>SKU-5722</t>
  </si>
  <si>
    <t>MOCK-163599</t>
  </si>
  <si>
    <t>SKU-6782</t>
  </si>
  <si>
    <t>MOCK-923368</t>
  </si>
  <si>
    <t>SKU-8248</t>
  </si>
  <si>
    <t>MOCK-545075</t>
  </si>
  <si>
    <t>SKU-1464</t>
  </si>
  <si>
    <t>MOCK-992116</t>
  </si>
  <si>
    <t>SKU-2520</t>
  </si>
  <si>
    <t>MOCK-471994</t>
  </si>
  <si>
    <t>SKU-6978</t>
  </si>
  <si>
    <t>MOCK-491689</t>
  </si>
  <si>
    <t>SKU-9718</t>
  </si>
  <si>
    <t>MOCK-841358</t>
  </si>
  <si>
    <t>SKU-4740</t>
  </si>
  <si>
    <t>MOCK-287824</t>
  </si>
  <si>
    <t>SKU-2521</t>
  </si>
  <si>
    <t>MOCK-863217</t>
  </si>
  <si>
    <t>SKU-9057</t>
  </si>
  <si>
    <t>MOCK-151828</t>
  </si>
  <si>
    <t>SKU-9525</t>
  </si>
  <si>
    <t>MOCK-556434</t>
  </si>
  <si>
    <t>SKU-9340</t>
  </si>
  <si>
    <t>MOCK-346498</t>
  </si>
  <si>
    <t>SKU-8582</t>
  </si>
  <si>
    <t>MOCK-966888</t>
  </si>
  <si>
    <t>SKU-7626</t>
  </si>
  <si>
    <t>MOCK-816290</t>
  </si>
  <si>
    <t>Day 20  —  Daily Entry</t>
  </si>
  <si>
    <t>SKU-2234</t>
  </si>
  <si>
    <t>MOCK-513384</t>
  </si>
  <si>
    <t>SKU-7733</t>
  </si>
  <si>
    <t>MOCK-270774</t>
  </si>
  <si>
    <t>SKU-6310</t>
  </si>
  <si>
    <t>MOCK-260532</t>
  </si>
  <si>
    <t>SKU-8437</t>
  </si>
  <si>
    <t>MOCK-156262</t>
  </si>
  <si>
    <t>MOCK-927133</t>
  </si>
  <si>
    <t>SKU-4839</t>
  </si>
  <si>
    <t>MOCK-840861</t>
  </si>
  <si>
    <t>SKU-4257</t>
  </si>
  <si>
    <t>MOCK-387315</t>
  </si>
  <si>
    <t>SKU-6461</t>
  </si>
  <si>
    <t>MOCK-853622</t>
  </si>
  <si>
    <t>SKU-7436</t>
  </si>
  <si>
    <t>MOCK-154288</t>
  </si>
  <si>
    <t>SKU-5542</t>
  </si>
  <si>
    <t>MOCK-606595</t>
  </si>
  <si>
    <t>SKU-1793</t>
  </si>
  <si>
    <t>MOCK-558784</t>
  </si>
  <si>
    <t>SKU-1304</t>
  </si>
  <si>
    <t>MOCK-833907</t>
  </si>
  <si>
    <t>SKU-4963</t>
  </si>
  <si>
    <t>MOCK-736923</t>
  </si>
  <si>
    <t>SKU-9935</t>
  </si>
  <si>
    <t>MOCK-359798</t>
  </si>
  <si>
    <t>SKU-5843</t>
  </si>
  <si>
    <t>MOCK-530246</t>
  </si>
  <si>
    <t>SKU-6890</t>
  </si>
  <si>
    <t>MOCK-176537</t>
  </si>
  <si>
    <t>SKU-1969</t>
  </si>
  <si>
    <t>MOCK-605441</t>
  </si>
  <si>
    <t>SKU-5357</t>
  </si>
  <si>
    <t>MOCK-445399</t>
  </si>
  <si>
    <t>SKU-6231</t>
  </si>
  <si>
    <t>MOCK-280533</t>
  </si>
  <si>
    <t>SKU-9119</t>
  </si>
  <si>
    <t>MOCK-610693</t>
  </si>
  <si>
    <t>SKU-1775</t>
  </si>
  <si>
    <t>MOCK-861396</t>
  </si>
  <si>
    <t>SKU-9132</t>
  </si>
  <si>
    <t>MOCK-760648</t>
  </si>
  <si>
    <t>SKU-8767</t>
  </si>
  <si>
    <t>MOCK-174938</t>
  </si>
  <si>
    <t>SKU-1228</t>
  </si>
  <si>
    <t>MOCK-965737</t>
  </si>
  <si>
    <t>Day 21  —  Daily Entry</t>
  </si>
  <si>
    <t>SKU-5187</t>
  </si>
  <si>
    <t>MOCK-531083</t>
  </si>
  <si>
    <t>SKU-8962</t>
  </si>
  <si>
    <t>MOCK-790855</t>
  </si>
  <si>
    <t>SKU-4616</t>
  </si>
  <si>
    <t>MOCK-777236</t>
  </si>
  <si>
    <t>SKU-8105</t>
  </si>
  <si>
    <t>MOCK-456854</t>
  </si>
  <si>
    <t>SKU-1555</t>
  </si>
  <si>
    <t>MOCK-100057</t>
  </si>
  <si>
    <t>SKU-3070</t>
  </si>
  <si>
    <t>MOCK-317355</t>
  </si>
  <si>
    <t>SKU-8011</t>
  </si>
  <si>
    <t>MOCK-250502</t>
  </si>
  <si>
    <t>SKU-8393</t>
  </si>
  <si>
    <t>MOCK-626338</t>
  </si>
  <si>
    <t>SKU-4137</t>
  </si>
  <si>
    <t>MOCK-412558</t>
  </si>
  <si>
    <t>SKU-6210</t>
  </si>
  <si>
    <t>MOCK-368443</t>
  </si>
  <si>
    <t>SKU-1306</t>
  </si>
  <si>
    <t>MOCK-431290</t>
  </si>
  <si>
    <t>SKU-8882</t>
  </si>
  <si>
    <t>MOCK-868799</t>
  </si>
  <si>
    <t>SKU-1638</t>
  </si>
  <si>
    <t>MOCK-174295</t>
  </si>
  <si>
    <t>SKU-8581</t>
  </si>
  <si>
    <t>MOCK-575327</t>
  </si>
  <si>
    <t>SKU-2953</t>
  </si>
  <si>
    <t>MOCK-666573</t>
  </si>
  <si>
    <t>SKU-2203</t>
  </si>
  <si>
    <t>MOCK-262426</t>
  </si>
  <si>
    <t>SKU-2960</t>
  </si>
  <si>
    <t>MOCK-605696</t>
  </si>
  <si>
    <t>SKU-3769</t>
  </si>
  <si>
    <t>MOCK-764884</t>
  </si>
  <si>
    <t>SKU-9891</t>
  </si>
  <si>
    <t>MOCK-944971</t>
  </si>
  <si>
    <t>SKU-4230</t>
  </si>
  <si>
    <t>MOCK-600451</t>
  </si>
  <si>
    <t>SKU-3813</t>
  </si>
  <si>
    <t>MOCK-478288</t>
  </si>
  <si>
    <t>SKU-5519</t>
  </si>
  <si>
    <t>MOCK-769376</t>
  </si>
  <si>
    <t>SKU-7097</t>
  </si>
  <si>
    <t>MOCK-741051</t>
  </si>
  <si>
    <t>MOCK-833256</t>
  </si>
  <si>
    <t>SKU-3318</t>
  </si>
  <si>
    <t>MOCK-659839</t>
  </si>
  <si>
    <t>SKU-7417</t>
  </si>
  <si>
    <t>MOCK-995742</t>
  </si>
  <si>
    <t>SKU-9826</t>
  </si>
  <si>
    <t>MOCK-133980</t>
  </si>
  <si>
    <t>SKU-7591</t>
  </si>
  <si>
    <t>MOCK-492985</t>
  </si>
  <si>
    <t>SKU-6276</t>
  </si>
  <si>
    <t>MOCK-467163</t>
  </si>
  <si>
    <t>SKU-7714</t>
  </si>
  <si>
    <t>MOCK-669982</t>
  </si>
  <si>
    <t>Day 22  —  Daily Entry</t>
  </si>
  <si>
    <t>SKU-4232</t>
  </si>
  <si>
    <t>MOCK-369691</t>
  </si>
  <si>
    <t>SKU-1417</t>
  </si>
  <si>
    <t>MOCK-941138</t>
  </si>
  <si>
    <t>SKU-4612</t>
  </si>
  <si>
    <t>MOCK-342470</t>
  </si>
  <si>
    <t>SKU-4212</t>
  </si>
  <si>
    <t>MOCK-350872</t>
  </si>
  <si>
    <t>SKU-6940</t>
  </si>
  <si>
    <t>MOCK-484214</t>
  </si>
  <si>
    <t>SKU-9041</t>
  </si>
  <si>
    <t>MOCK-104388</t>
  </si>
  <si>
    <t>SKU-7002</t>
  </si>
  <si>
    <t>MOCK-663540</t>
  </si>
  <si>
    <t>SKU-6033</t>
  </si>
  <si>
    <t>MOCK-672450</t>
  </si>
  <si>
    <t>SKU-9864</t>
  </si>
  <si>
    <t>MOCK-451584</t>
  </si>
  <si>
    <t>SKU-9398</t>
  </si>
  <si>
    <t>MOCK-724830</t>
  </si>
  <si>
    <t>SKU-3324</t>
  </si>
  <si>
    <t>MOCK-230012</t>
  </si>
  <si>
    <t>SKU-8990</t>
  </si>
  <si>
    <t>MOCK-759895</t>
  </si>
  <si>
    <t>SKU-5721</t>
  </si>
  <si>
    <t>MOCK-660041</t>
  </si>
  <si>
    <t>SKU-9668</t>
  </si>
  <si>
    <t>MOCK-649613</t>
  </si>
  <si>
    <t>SKU-4039</t>
  </si>
  <si>
    <t>MOCK-653518</t>
  </si>
  <si>
    <t>SKU-3870</t>
  </si>
  <si>
    <t>MOCK-165669</t>
  </si>
  <si>
    <t>SKU-1821</t>
  </si>
  <si>
    <t>MOCK-624757</t>
  </si>
  <si>
    <t>SKU-7877</t>
  </si>
  <si>
    <t>MOCK-691851</t>
  </si>
  <si>
    <t>SKU-1349</t>
  </si>
  <si>
    <t>MOCK-592081</t>
  </si>
  <si>
    <t>SKU-7343</t>
  </si>
  <si>
    <t>MOCK-482020</t>
  </si>
  <si>
    <t>SKU-5966</t>
  </si>
  <si>
    <t>MOCK-463993</t>
  </si>
  <si>
    <t>MOCK-857835</t>
  </si>
  <si>
    <t>SKU-1884</t>
  </si>
  <si>
    <t>MOCK-823249</t>
  </si>
  <si>
    <t>SKU-9387</t>
  </si>
  <si>
    <t>MOCK-755285</t>
  </si>
  <si>
    <t>MOCK-789473</t>
  </si>
  <si>
    <t>SKU-1659</t>
  </si>
  <si>
    <t>MOCK-809271</t>
  </si>
  <si>
    <t>SKU-3341</t>
  </si>
  <si>
    <t>MOCK-658030</t>
  </si>
  <si>
    <t>SKU-6997</t>
  </si>
  <si>
    <t>MOCK-530680</t>
  </si>
  <si>
    <t>SKU-3696</t>
  </si>
  <si>
    <t>MOCK-517175</t>
  </si>
  <si>
    <t>SKU-8482</t>
  </si>
  <si>
    <t>MOCK-596225</t>
  </si>
  <si>
    <t>SKU-2574</t>
  </si>
  <si>
    <t>MOCK-592065</t>
  </si>
  <si>
    <t>Day 23  —  Daily Entry</t>
  </si>
  <si>
    <t>SKU-3933</t>
  </si>
  <si>
    <t>MOCK-239344</t>
  </si>
  <si>
    <t>SKU-4767</t>
  </si>
  <si>
    <t>MOCK-304794</t>
  </si>
  <si>
    <t>SKU-7109</t>
  </si>
  <si>
    <t>MOCK-857005</t>
  </si>
  <si>
    <t>SKU-1490</t>
  </si>
  <si>
    <t>MOCK-724666</t>
  </si>
  <si>
    <t>SKU-5332</t>
  </si>
  <si>
    <t>MOCK-684143</t>
  </si>
  <si>
    <t>SKU-5460</t>
  </si>
  <si>
    <t>MOCK-257729</t>
  </si>
  <si>
    <t>SKU-6828</t>
  </si>
  <si>
    <t>MOCK-839108</t>
  </si>
  <si>
    <t>SKU-8430</t>
  </si>
  <si>
    <t>MOCK-674881</t>
  </si>
  <si>
    <t>SKU-2537</t>
  </si>
  <si>
    <t>MOCK-922555</t>
  </si>
  <si>
    <t>SKU-7768</t>
  </si>
  <si>
    <t>MOCK-138023</t>
  </si>
  <si>
    <t>SKU-9540</t>
  </si>
  <si>
    <t>MOCK-582043</t>
  </si>
  <si>
    <t>SKU-8866</t>
  </si>
  <si>
    <t>MOCK-418864</t>
  </si>
  <si>
    <t>SKU-7095</t>
  </si>
  <si>
    <t>MOCK-193494</t>
  </si>
  <si>
    <t>SKU-7701</t>
  </si>
  <si>
    <t>MOCK-980946</t>
  </si>
  <si>
    <t>SKU-4091</t>
  </si>
  <si>
    <t>MOCK-135033</t>
  </si>
  <si>
    <t>SKU-9895</t>
  </si>
  <si>
    <t>MOCK-105020</t>
  </si>
  <si>
    <t>SKU-2028</t>
  </si>
  <si>
    <t>MOCK-595464</t>
  </si>
  <si>
    <t>MOCK-250459</t>
  </si>
  <si>
    <t>SKU-3779</t>
  </si>
  <si>
    <t>MOCK-895547</t>
  </si>
  <si>
    <t>SKU-6095</t>
  </si>
  <si>
    <t>MOCK-485369</t>
  </si>
  <si>
    <t>Day 24  —  Daily Entry</t>
  </si>
  <si>
    <t>SKU-1395</t>
  </si>
  <si>
    <t>MOCK-397341</t>
  </si>
  <si>
    <t>SKU-2153</t>
  </si>
  <si>
    <t>MOCK-799345</t>
  </si>
  <si>
    <t>SKU-6814</t>
  </si>
  <si>
    <t>MOCK-560359</t>
  </si>
  <si>
    <t>SKU-7484</t>
  </si>
  <si>
    <t>MOCK-594104</t>
  </si>
  <si>
    <t>SKU-6761</t>
  </si>
  <si>
    <t>MOCK-165485</t>
  </si>
  <si>
    <t>SKU-5851</t>
  </si>
  <si>
    <t>MOCK-895339</t>
  </si>
  <si>
    <t>SKU-1617</t>
  </si>
  <si>
    <t>MOCK-874408</t>
  </si>
  <si>
    <t>SKU-5026</t>
  </si>
  <si>
    <t>MOCK-542040</t>
  </si>
  <si>
    <t>MOCK-621366</t>
  </si>
  <si>
    <t>SKU-5762</t>
  </si>
  <si>
    <t>MOCK-657112</t>
  </si>
  <si>
    <t>SKU-1796</t>
  </si>
  <si>
    <t>MOCK-124465</t>
  </si>
  <si>
    <t>SKU-7603</t>
  </si>
  <si>
    <t>MOCK-650080</t>
  </si>
  <si>
    <t>SKU-8304</t>
  </si>
  <si>
    <t>MOCK-708204</t>
  </si>
  <si>
    <t>SKU-2161</t>
  </si>
  <si>
    <t>MOCK-373578</t>
  </si>
  <si>
    <t>SKU-4921</t>
  </si>
  <si>
    <t>MOCK-873912</t>
  </si>
  <si>
    <t>MOCK-413920</t>
  </si>
  <si>
    <t>SKU-1951</t>
  </si>
  <si>
    <t>MOCK-793989</t>
  </si>
  <si>
    <t>SKU-7560</t>
  </si>
  <si>
    <t>MOCK-789576</t>
  </si>
  <si>
    <t>SKU-9491</t>
  </si>
  <si>
    <t>MOCK-709728</t>
  </si>
  <si>
    <t>SKU-1436</t>
  </si>
  <si>
    <t>MOCK-983306</t>
  </si>
  <si>
    <t>MOCK-931530</t>
  </si>
  <si>
    <t>MOCK-106653</t>
  </si>
  <si>
    <t>SKU-2742</t>
  </si>
  <si>
    <t>MOCK-869037</t>
  </si>
  <si>
    <t>SKU-3658</t>
  </si>
  <si>
    <t>MOCK-837673</t>
  </si>
  <si>
    <t>SKU-1508</t>
  </si>
  <si>
    <t>MOCK-292807</t>
  </si>
  <si>
    <t>SKU-9235</t>
  </si>
  <si>
    <t>MOCK-196055</t>
  </si>
  <si>
    <t>SKU-5847</t>
  </si>
  <si>
    <t>MOCK-599334</t>
  </si>
  <si>
    <t>Day 25  —  Daily Entry</t>
  </si>
  <si>
    <t>SKU-1907</t>
  </si>
  <si>
    <t>MOCK-172346</t>
  </si>
  <si>
    <t>SKU-5690</t>
  </si>
  <si>
    <t>MOCK-435740</t>
  </si>
  <si>
    <t>SKU-8177</t>
  </si>
  <si>
    <t>MOCK-828925</t>
  </si>
  <si>
    <t>SKU-3326</t>
  </si>
  <si>
    <t>MOCK-626510</t>
  </si>
  <si>
    <t>SKU-6020</t>
  </si>
  <si>
    <t>MOCK-690739</t>
  </si>
  <si>
    <t>SKU-6370</t>
  </si>
  <si>
    <t>MOCK-390363</t>
  </si>
  <si>
    <t>SKU-7058</t>
  </si>
  <si>
    <t>MOCK-453414</t>
  </si>
  <si>
    <t>SKU-4437</t>
  </si>
  <si>
    <t>MOCK-641321</t>
  </si>
  <si>
    <t>SKU-4646</t>
  </si>
  <si>
    <t>MOCK-758221</t>
  </si>
  <si>
    <t>SKU-1629</t>
  </si>
  <si>
    <t>MOCK-937782</t>
  </si>
  <si>
    <t>SKU-7843</t>
  </si>
  <si>
    <t>MOCK-693925</t>
  </si>
  <si>
    <t>SKU-6695</t>
  </si>
  <si>
    <t>MOCK-804735</t>
  </si>
  <si>
    <t>SKU-9365</t>
  </si>
  <si>
    <t>MOCK-469917</t>
  </si>
  <si>
    <t>SKU-3623</t>
  </si>
  <si>
    <t>MOCK-897000</t>
  </si>
  <si>
    <t>SKU-7475</t>
  </si>
  <si>
    <t>MOCK-613171</t>
  </si>
  <si>
    <t>SKU-3864</t>
  </si>
  <si>
    <t>MOCK-883585</t>
  </si>
  <si>
    <t>SKU-2356</t>
  </si>
  <si>
    <t>MOCK-882037</t>
  </si>
  <si>
    <t>SKU-1076</t>
  </si>
  <si>
    <t>MOCK-571873</t>
  </si>
  <si>
    <t>MOCK-631992</t>
  </si>
  <si>
    <t>SKU-3183</t>
  </si>
  <si>
    <t>MOCK-719485</t>
  </si>
  <si>
    <t>SKU-6118</t>
  </si>
  <si>
    <t>MOCK-394720</t>
  </si>
  <si>
    <t>SKU-4187</t>
  </si>
  <si>
    <t>MOCK-182943</t>
  </si>
  <si>
    <t>MOCK-582183</t>
  </si>
  <si>
    <t>Day 26  —  Daily Entry</t>
  </si>
  <si>
    <t>SKU-1246</t>
  </si>
  <si>
    <t>MOCK-426777</t>
  </si>
  <si>
    <t>SKU-9027</t>
  </si>
  <si>
    <t>MOCK-272991</t>
  </si>
  <si>
    <t>MOCK-639431</t>
  </si>
  <si>
    <t>SKU-6568</t>
  </si>
  <si>
    <t>MOCK-951275</t>
  </si>
  <si>
    <t>SKU-1300</t>
  </si>
  <si>
    <t>MOCK-968479</t>
  </si>
  <si>
    <t>SKU-1064</t>
  </si>
  <si>
    <t>MOCK-514935</t>
  </si>
  <si>
    <t>SKU-1686</t>
  </si>
  <si>
    <t>MOCK-833118</t>
  </si>
  <si>
    <t>SKU-8674</t>
  </si>
  <si>
    <t>MOCK-936608</t>
  </si>
  <si>
    <t>SKU-7622</t>
  </si>
  <si>
    <t>MOCK-893931</t>
  </si>
  <si>
    <t>SKU-6781</t>
  </si>
  <si>
    <t>MOCK-359140</t>
  </si>
  <si>
    <t>SKU-5471</t>
  </si>
  <si>
    <t>MOCK-442634</t>
  </si>
  <si>
    <t>SKU-2284</t>
  </si>
  <si>
    <t>MOCK-925425</t>
  </si>
  <si>
    <t>SKU-4777</t>
  </si>
  <si>
    <t>MOCK-416683</t>
  </si>
  <si>
    <t>SKU-1495</t>
  </si>
  <si>
    <t>MOCK-592246</t>
  </si>
  <si>
    <t>SKU-8282</t>
  </si>
  <si>
    <t>MOCK-376010</t>
  </si>
  <si>
    <t>SKU-7259</t>
  </si>
  <si>
    <t>MOCK-371678</t>
  </si>
  <si>
    <t>SKU-2299</t>
  </si>
  <si>
    <t>MOCK-461088</t>
  </si>
  <si>
    <t>SKU-7732</t>
  </si>
  <si>
    <t>MOCK-312131</t>
  </si>
  <si>
    <t>SKU-6630</t>
  </si>
  <si>
    <t>MOCK-827048</t>
  </si>
  <si>
    <t>MOCK-978400</t>
  </si>
  <si>
    <t>SKU-5497</t>
  </si>
  <si>
    <t>MOCK-369303</t>
  </si>
  <si>
    <t>SKU-5444</t>
  </si>
  <si>
    <t>MOCK-335903</t>
  </si>
  <si>
    <t>SKU-8555</t>
  </si>
  <si>
    <t>MOCK-242346</t>
  </si>
  <si>
    <t>SKU-3896</t>
  </si>
  <si>
    <t>MOCK-320321</t>
  </si>
  <si>
    <t>SKU-3965</t>
  </si>
  <si>
    <t>MOCK-473436</t>
  </si>
  <si>
    <t>SKU-8399</t>
  </si>
  <si>
    <t>MOCK-687042</t>
  </si>
  <si>
    <t>SKU-3778</t>
  </si>
  <si>
    <t>MOCK-740703</t>
  </si>
  <si>
    <t>SKU-9312</t>
  </si>
  <si>
    <t>MOCK-486624</t>
  </si>
  <si>
    <t>SKU-3212</t>
  </si>
  <si>
    <t>MOCK-502427</t>
  </si>
  <si>
    <t>Day 27  —  Daily Entry</t>
  </si>
  <si>
    <t>MOCK-944494</t>
  </si>
  <si>
    <t>SKU-4192</t>
  </si>
  <si>
    <t>MOCK-501437</t>
  </si>
  <si>
    <t>SKU-5087</t>
  </si>
  <si>
    <t>MOCK-431954</t>
  </si>
  <si>
    <t>SKU-2208</t>
  </si>
  <si>
    <t>MOCK-891429</t>
  </si>
  <si>
    <t>SKU-2941</t>
  </si>
  <si>
    <t>MOCK-962927</t>
  </si>
  <si>
    <t>MOCK-135826</t>
  </si>
  <si>
    <t>SKU-4807</t>
  </si>
  <si>
    <t>MOCK-249569</t>
  </si>
  <si>
    <t>MOCK-175221</t>
  </si>
  <si>
    <t>SKU-9602</t>
  </si>
  <si>
    <t>MOCK-194340</t>
  </si>
  <si>
    <t>MOCK-949765</t>
  </si>
  <si>
    <t>SKU-1906</t>
  </si>
  <si>
    <t>MOCK-795803</t>
  </si>
  <si>
    <t>SKU-5586</t>
  </si>
  <si>
    <t>MOCK-698958</t>
  </si>
  <si>
    <t>SKU-9650</t>
  </si>
  <si>
    <t>MOCK-854711</t>
  </si>
  <si>
    <t>SKU-7988</t>
  </si>
  <si>
    <t>MOCK-195328</t>
  </si>
  <si>
    <t>SKU-6633</t>
  </si>
  <si>
    <t>MOCK-768628</t>
  </si>
  <si>
    <t>MOCK-993066</t>
  </si>
  <si>
    <t>SKU-9014</t>
  </si>
  <si>
    <t>MOCK-238567</t>
  </si>
  <si>
    <t>SKU-8100</t>
  </si>
  <si>
    <t>MOCK-257684</t>
  </si>
  <si>
    <t>MOCK-737602</t>
  </si>
  <si>
    <t>SKU-3815</t>
  </si>
  <si>
    <t>MOCK-805605</t>
  </si>
  <si>
    <t>Day 28  —  Daily Entry</t>
  </si>
  <si>
    <t>SKU-6233</t>
  </si>
  <si>
    <t>MOCK-971636</t>
  </si>
  <si>
    <t>SKU-5574</t>
  </si>
  <si>
    <t>MOCK-497358</t>
  </si>
  <si>
    <t>MOCK-618242</t>
  </si>
  <si>
    <t>SKU-6023</t>
  </si>
  <si>
    <t>MOCK-343717</t>
  </si>
  <si>
    <t>SKU-9503</t>
  </si>
  <si>
    <t>MOCK-890051</t>
  </si>
  <si>
    <t>SKU-5048</t>
  </si>
  <si>
    <t>MOCK-702826</t>
  </si>
  <si>
    <t>SKU-6657</t>
  </si>
  <si>
    <t>MOCK-324817</t>
  </si>
  <si>
    <t>SKU-9612</t>
  </si>
  <si>
    <t>MOCK-585110</t>
  </si>
  <si>
    <t>SKU-3726</t>
  </si>
  <si>
    <t>MOCK-378404</t>
  </si>
  <si>
    <t>SKU-6572</t>
  </si>
  <si>
    <t>MOCK-387377</t>
  </si>
  <si>
    <t>SKU-6259</t>
  </si>
  <si>
    <t>MOCK-611813</t>
  </si>
  <si>
    <t>SKU-9246</t>
  </si>
  <si>
    <t>MOCK-197351</t>
  </si>
  <si>
    <t>SKU-3311</t>
  </si>
  <si>
    <t>MOCK-550207</t>
  </si>
  <si>
    <t>SKU-5663</t>
  </si>
  <si>
    <t>MOCK-423494</t>
  </si>
  <si>
    <t>SKU-5445</t>
  </si>
  <si>
    <t>MOCK-777693</t>
  </si>
  <si>
    <t>SKU-8971</t>
  </si>
  <si>
    <t>MOCK-422282</t>
  </si>
  <si>
    <t>MOCK-615498</t>
  </si>
  <si>
    <t>SKU-2962</t>
  </si>
  <si>
    <t>MOCK-685496</t>
  </si>
  <si>
    <t>SKU-3521</t>
  </si>
  <si>
    <t>MOCK-487062</t>
  </si>
  <si>
    <t>SKU-2075</t>
  </si>
  <si>
    <t>MOCK-490885</t>
  </si>
  <si>
    <t>SKU-6131</t>
  </si>
  <si>
    <t>MOCK-806292</t>
  </si>
  <si>
    <t>SKU-9749</t>
  </si>
  <si>
    <t>MOCK-151098</t>
  </si>
  <si>
    <t>SKU-8758</t>
  </si>
  <si>
    <t>MOCK-276782</t>
  </si>
  <si>
    <t>SKU-6087</t>
  </si>
  <si>
    <t>MOCK-108656</t>
  </si>
  <si>
    <t>MOCK-223198</t>
  </si>
  <si>
    <t>SKU-6483</t>
  </si>
  <si>
    <t>MOCK-620081</t>
  </si>
  <si>
    <t>SKU-7182</t>
  </si>
  <si>
    <t>MOCK-713588</t>
  </si>
  <si>
    <t>SKU-3684</t>
  </si>
  <si>
    <t>MOCK-878320</t>
  </si>
  <si>
    <t>SKU-3852</t>
  </si>
  <si>
    <t>MOCK-267058</t>
  </si>
  <si>
    <t>SKU-3048</t>
  </si>
  <si>
    <t>MOCK-553603</t>
  </si>
  <si>
    <t>SKU-6950</t>
  </si>
  <si>
    <t>MOCK-668565</t>
  </si>
  <si>
    <t>SKU-5156</t>
  </si>
  <si>
    <t>MOCK-125686</t>
  </si>
  <si>
    <t>SKU-6956</t>
  </si>
  <si>
    <t>MOCK-148333</t>
  </si>
  <si>
    <t>SKU-6610</t>
  </si>
  <si>
    <t>MOCK-756611</t>
  </si>
  <si>
    <t>Day 29  —  Daily Entry</t>
  </si>
  <si>
    <t>MOCK-863733</t>
  </si>
  <si>
    <t>SKU-2929</t>
  </si>
  <si>
    <t>MOCK-772150</t>
  </si>
  <si>
    <t>SKU-4485</t>
  </si>
  <si>
    <t>MOCK-647167</t>
  </si>
  <si>
    <t>SKU-8891</t>
  </si>
  <si>
    <t>MOCK-640636</t>
  </si>
  <si>
    <t>SKU-1462</t>
  </si>
  <si>
    <t>MOCK-213491</t>
  </si>
  <si>
    <t>SKU-1872</t>
  </si>
  <si>
    <t>MOCK-332389</t>
  </si>
  <si>
    <t>SKU-5939</t>
  </si>
  <si>
    <t>MOCK-794764</t>
  </si>
  <si>
    <t>SKU-2824</t>
  </si>
  <si>
    <t>MOCK-999725</t>
  </si>
  <si>
    <t>SKU-8543</t>
  </si>
  <si>
    <t>MOCK-820577</t>
  </si>
  <si>
    <t>SKU-5894</t>
  </si>
  <si>
    <t>MOCK-333383</t>
  </si>
  <si>
    <t>SKU-7828</t>
  </si>
  <si>
    <t>MOCK-838615</t>
  </si>
  <si>
    <t>SKU-8195</t>
  </si>
  <si>
    <t>MOCK-795479</t>
  </si>
  <si>
    <t>SKU-2588</t>
  </si>
  <si>
    <t>MOCK-253413</t>
  </si>
  <si>
    <t>SKU-5581</t>
  </si>
  <si>
    <t>MOCK-977621</t>
  </si>
  <si>
    <t>SKU-5184</t>
  </si>
  <si>
    <t>MOCK-909368</t>
  </si>
  <si>
    <t>SKU-6449</t>
  </si>
  <si>
    <t>MOCK-363183</t>
  </si>
  <si>
    <t>SKU-1963</t>
  </si>
  <si>
    <t>MOCK-208982</t>
  </si>
  <si>
    <t>SKU-4623</t>
  </si>
  <si>
    <t>MOCK-357409</t>
  </si>
  <si>
    <t>SKU-8910</t>
  </si>
  <si>
    <t>MOCK-332069</t>
  </si>
  <si>
    <t>SKU-3645</t>
  </si>
  <si>
    <t>MOCK-768441</t>
  </si>
  <si>
    <t>SKU-4886</t>
  </si>
  <si>
    <t>MOCK-773555</t>
  </si>
  <si>
    <t>SKU-7006</t>
  </si>
  <si>
    <t>MOCK-539797</t>
  </si>
  <si>
    <t>SKU-9209</t>
  </si>
  <si>
    <t>MOCK-953184</t>
  </si>
  <si>
    <t>SKU-2570</t>
  </si>
  <si>
    <t>MOCK-121747</t>
  </si>
  <si>
    <t>SKU-8897</t>
  </si>
  <si>
    <t>MOCK-668874</t>
  </si>
  <si>
    <t>SKU-4987</t>
  </si>
  <si>
    <t>MOCK-739999</t>
  </si>
  <si>
    <t>SKU-8492</t>
  </si>
  <si>
    <t>MOCK-659485</t>
  </si>
  <si>
    <t>SKU-5398</t>
  </si>
  <si>
    <t>MOCK-548987</t>
  </si>
  <si>
    <t>MOCK-922355</t>
  </si>
  <si>
    <t>SKU-4242</t>
  </si>
  <si>
    <t>MOCK-294319</t>
  </si>
  <si>
    <t>MOCK-812950</t>
  </si>
  <si>
    <t>SKU-8337</t>
  </si>
  <si>
    <t>MOCK-526459</t>
  </si>
  <si>
    <t>SKU-4341</t>
  </si>
  <si>
    <t>MOCK-109950</t>
  </si>
  <si>
    <t>Day 30  —  Daily Entry</t>
  </si>
  <si>
    <t>SKU-7662</t>
  </si>
  <si>
    <t>MOCK-688739</t>
  </si>
  <si>
    <t>SKU-3349</t>
  </si>
  <si>
    <t>MOCK-879187</t>
  </si>
  <si>
    <t>MOCK-785609</t>
  </si>
  <si>
    <t>SKU-8057</t>
  </si>
  <si>
    <t>MOCK-710674</t>
  </si>
  <si>
    <t>SKU-3302</t>
  </si>
  <si>
    <t>MOCK-426443</t>
  </si>
  <si>
    <t>MOCK-710531</t>
  </si>
  <si>
    <t>SKU-2599</t>
  </si>
  <si>
    <t>MOCK-992069</t>
  </si>
  <si>
    <t>SKU-9919</t>
  </si>
  <si>
    <t>MOCK-544260</t>
  </si>
  <si>
    <t>SKU-8061</t>
  </si>
  <si>
    <t>MOCK-342152</t>
  </si>
  <si>
    <t>SKU-7237</t>
  </si>
  <si>
    <t>MOCK-819227</t>
  </si>
  <si>
    <t>SKU-5546</t>
  </si>
  <si>
    <t>MOCK-444838</t>
  </si>
  <si>
    <t>SKU-5734</t>
  </si>
  <si>
    <t>MOCK-837705</t>
  </si>
  <si>
    <t>SKU-9809</t>
  </si>
  <si>
    <t>MOCK-712883</t>
  </si>
  <si>
    <t>SKU-7140</t>
  </si>
  <si>
    <t>MOCK-368757</t>
  </si>
  <si>
    <t>SKU-6099</t>
  </si>
  <si>
    <t>MOCK-544747</t>
  </si>
  <si>
    <t>SKU-3816</t>
  </si>
  <si>
    <t>MOCK-202513</t>
  </si>
  <si>
    <t>SKU-6530</t>
  </si>
  <si>
    <t>MOCK-313285</t>
  </si>
  <si>
    <t>SKU-9143</t>
  </si>
  <si>
    <t>MOCK-372379</t>
  </si>
  <si>
    <t>SKU-4832</t>
  </si>
  <si>
    <t>MOCK-397339</t>
  </si>
  <si>
    <t>SKU-7362</t>
  </si>
  <si>
    <t>MOCK-556276</t>
  </si>
  <si>
    <t>SKU-9889</t>
  </si>
  <si>
    <t>MOCK-966162</t>
  </si>
  <si>
    <t>SKU-1959</t>
  </si>
  <si>
    <t>MOCK-630811</t>
  </si>
  <si>
    <t>SKU-5288</t>
  </si>
  <si>
    <t>MOCK-550647</t>
  </si>
  <si>
    <t>SKU-6243</t>
  </si>
  <si>
    <t>MOCK-760956</t>
  </si>
  <si>
    <t>SKU-2466</t>
  </si>
  <si>
    <t>MOCK-978194</t>
  </si>
  <si>
    <t>SKU-1169</t>
  </si>
  <si>
    <t>MOCK-715748</t>
  </si>
  <si>
    <t>SKU-7086</t>
  </si>
  <si>
    <t>MOCK-453947</t>
  </si>
  <si>
    <t>MOCK-800557</t>
  </si>
  <si>
    <t>Day 31  —  Daily Entry</t>
  </si>
  <si>
    <t>SKU-3540</t>
  </si>
  <si>
    <t>MOCK-743276</t>
  </si>
  <si>
    <t>SKU-2150</t>
  </si>
  <si>
    <t>MOCK-584429</t>
  </si>
  <si>
    <t>SKU-7641</t>
  </si>
  <si>
    <t>MOCK-625305</t>
  </si>
  <si>
    <t>SKU-9336</t>
  </si>
  <si>
    <t>MOCK-214253</t>
  </si>
  <si>
    <t>SKU-7872</t>
  </si>
  <si>
    <t>MOCK-227272</t>
  </si>
  <si>
    <t>SKU-5037</t>
  </si>
  <si>
    <t>MOCK-224451</t>
  </si>
  <si>
    <t>SKU-5842</t>
  </si>
  <si>
    <t>MOCK-231977</t>
  </si>
  <si>
    <t>SKU-2859</t>
  </si>
  <si>
    <t>MOCK-463195</t>
  </si>
  <si>
    <t>SKU-3528</t>
  </si>
  <si>
    <t>MOCK-461677</t>
  </si>
  <si>
    <t>SKU-2344</t>
  </si>
  <si>
    <t>MOCK-136719</t>
  </si>
  <si>
    <t>SKU-4910</t>
  </si>
  <si>
    <t>MOCK-127603</t>
  </si>
  <si>
    <t>SKU-4766</t>
  </si>
  <si>
    <t>MOCK-110493</t>
  </si>
  <si>
    <t>SKU-2368</t>
  </si>
  <si>
    <t>MOCK-670687</t>
  </si>
  <si>
    <t>SKU-4664</t>
  </si>
  <si>
    <t>MOCK-618163</t>
  </si>
  <si>
    <t>MOCK-694604</t>
  </si>
  <si>
    <t>SKU-4225</t>
  </si>
  <si>
    <t>MOCK-687377</t>
  </si>
  <si>
    <t>SKU-6083</t>
  </si>
  <si>
    <t>MOCK-832125</t>
  </si>
  <si>
    <t>SKU-3744</t>
  </si>
  <si>
    <t>MOCK-502927</t>
  </si>
  <si>
    <t>SKU-5733</t>
  </si>
  <si>
    <t>MOCK-793950</t>
  </si>
  <si>
    <t>SKU-2808</t>
  </si>
  <si>
    <t>MOCK-355946</t>
  </si>
  <si>
    <t>SKU-3367</t>
  </si>
  <si>
    <t>MOCK-594175</t>
  </si>
  <si>
    <t>SKU-3350</t>
  </si>
  <si>
    <t>MOCK-286106</t>
  </si>
  <si>
    <t>SKU-4675</t>
  </si>
  <si>
    <t>MOCK-820165</t>
  </si>
  <si>
    <t>SKU-6994</t>
  </si>
  <si>
    <t>MOCK-624810</t>
  </si>
  <si>
    <t>SKU-2252</t>
  </si>
  <si>
    <t>MOCK-932044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</si>
</sst>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"/>
  </numFmts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777777"/>
      <name val="Calibri"/>
    </font>
    <font>
      <b/>
      <sz val="11"/>
      <color rgb="FFFFFFFF"/>
      <name val="Calibri"/>
    </font>
    <font>
      <b/>
      <sz val="11"/>
      <name val="Calibri"/>
    </font>
    <font>
      <b/>
      <sz val="20"/>
      <color rgb="FF1A1A1A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CE4EF"/>
      </patternFill>
    </fill>
    <fill>
      <patternFill patternType="solid">
        <fgColor rgb="FFF4F4F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165" fontId="0" fillId="0" borderId="1" xfId="0" applyNumberFormat="1" applyBorder="1"/>
    <xf numFmtId="9" fontId="0" fillId="0" borderId="1" xfId="0" applyNumberFormat="1" applyBorder="1"/>
    <xf numFmtId="0" fontId="4" fillId="0" borderId="0" xfId="0" applyFont="1"/>
    <xf numFmtId="164" fontId="0" fillId="0" borderId="1" xfId="0" applyNumberFormat="1" applyBorder="1"/>
    <xf numFmtId="0" fontId="5" fillId="4" borderId="0" xfId="0" applyFont="1" applyFill="1"/>
    <xf numFmtId="0" fontId="6" fillId="5" borderId="1" xfId="0" applyFont="1" applyFill="1" applyBorder="1"/>
    <xf numFmtId="164" fontId="6" fillId="5" borderId="1" xfId="0" applyNumberFormat="1" applyFont="1" applyFill="1" applyBorder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/>
    <xf numFmtId="0" fontId="2" fillId="3" borderId="0" xfId="0" applyFont="1" applyFill="1" applyAlignment="1">
      <alignment horizontal="left" vertical="center"/>
    </xf>
    <xf numFmtId="0" fontId="0" fillId="0" borderId="0" xfId="0"/>
    <xf numFmtId="3" fontId="7" fillId="6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9" fontId="7" fillId="6" borderId="1" xfId="0" applyNumberFormat="1" applyFont="1" applyFill="1" applyBorder="1" applyAlignment="1">
      <alignment horizontal="center" vertical="center"/>
    </xf>
    <xf numFmtId="165" fontId="7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Daily Acts + Pre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Dashboard!$O$1</c:f>
              <c:strCache>
                <c:ptCount val="1"/>
                <c:pt idx="0">
                  <c:v>Acts+Pre</c:v>
                </c:pt>
              </c:strCache>
            </c:strRef>
          </c:tx>
          <c:spPr>
            <a:ln w="28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Dashboard!$N$2:$N$32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Dashboard!$O$2:$O$32</c:f>
              <c:numCache>
                <c:formatCode>General</c:formatCode>
                <c:ptCount val="31"/>
                <c:pt idx="0">
                  <c:v>19</c:v>
                </c:pt>
                <c:pt idx="1">
                  <c:v>17</c:v>
                </c:pt>
                <c:pt idx="2">
                  <c:v>16</c:v>
                </c:pt>
                <c:pt idx="3">
                  <c:v>20</c:v>
                </c:pt>
                <c:pt idx="4">
                  <c:v>13</c:v>
                </c:pt>
                <c:pt idx="5">
                  <c:v>19</c:v>
                </c:pt>
                <c:pt idx="6">
                  <c:v>18</c:v>
                </c:pt>
                <c:pt idx="7">
                  <c:v>14</c:v>
                </c:pt>
                <c:pt idx="8">
                  <c:v>22</c:v>
                </c:pt>
                <c:pt idx="9">
                  <c:v>24</c:v>
                </c:pt>
                <c:pt idx="10">
                  <c:v>28</c:v>
                </c:pt>
                <c:pt idx="11">
                  <c:v>25</c:v>
                </c:pt>
                <c:pt idx="12">
                  <c:v>23</c:v>
                </c:pt>
                <c:pt idx="13">
                  <c:v>12</c:v>
                </c:pt>
                <c:pt idx="14">
                  <c:v>14</c:v>
                </c:pt>
                <c:pt idx="15">
                  <c:v>12</c:v>
                </c:pt>
                <c:pt idx="16">
                  <c:v>18</c:v>
                </c:pt>
                <c:pt idx="17">
                  <c:v>25</c:v>
                </c:pt>
                <c:pt idx="18">
                  <c:v>18</c:v>
                </c:pt>
                <c:pt idx="19">
                  <c:v>19</c:v>
                </c:pt>
                <c:pt idx="20">
                  <c:v>21</c:v>
                </c:pt>
                <c:pt idx="21">
                  <c:v>24</c:v>
                </c:pt>
                <c:pt idx="22">
                  <c:v>14</c:v>
                </c:pt>
                <c:pt idx="23">
                  <c:v>24</c:v>
                </c:pt>
                <c:pt idx="24">
                  <c:v>14</c:v>
                </c:pt>
                <c:pt idx="25">
                  <c:v>18</c:v>
                </c:pt>
                <c:pt idx="26">
                  <c:v>15</c:v>
                </c:pt>
                <c:pt idx="27">
                  <c:v>24</c:v>
                </c:pt>
                <c:pt idx="28">
                  <c:v>17</c:v>
                </c:pt>
                <c:pt idx="29">
                  <c:v>24</c:v>
                </c:pt>
                <c:pt idx="30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48-4653-A705-C35B050F5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Acts + Pre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</xdr:row>
      <xdr:rowOff>0</xdr:rowOff>
    </xdr:from>
    <xdr:ext cx="72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showGridLines="0" workbookViewId="0"/>
  </sheetViews>
  <sheetFormatPr defaultRowHeight="15" x14ac:dyDescent="0.25"/>
  <cols>
    <col min="1" max="12" width="9" customWidth="1"/>
  </cols>
  <sheetData>
    <row r="1" spans="1:15" ht="24" customHeight="1" x14ac:dyDescent="0.25">
      <c r="A1" s="16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N1" t="s">
        <v>1</v>
      </c>
      <c r="O1" t="s">
        <v>2</v>
      </c>
    </row>
    <row r="2" spans="1:15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N2">
        <v>1</v>
      </c>
      <c r="O2">
        <f>'1'!Q16+'1'!R16</f>
        <v>19</v>
      </c>
    </row>
    <row r="3" spans="1:15" x14ac:dyDescent="0.25">
      <c r="N3">
        <v>2</v>
      </c>
      <c r="O3">
        <f>'2'!Q16+'2'!R16</f>
        <v>17</v>
      </c>
    </row>
    <row r="4" spans="1:15" x14ac:dyDescent="0.25">
      <c r="A4" s="11" t="s">
        <v>4</v>
      </c>
      <c r="B4" s="12"/>
      <c r="D4" s="11" t="s">
        <v>5</v>
      </c>
      <c r="E4" s="12"/>
      <c r="G4" s="11" t="s">
        <v>6</v>
      </c>
      <c r="H4" s="12"/>
      <c r="J4" s="11" t="s">
        <v>7</v>
      </c>
      <c r="K4" s="12"/>
      <c r="N4">
        <v>3</v>
      </c>
      <c r="O4">
        <f>'3'!Q16+'3'!R16</f>
        <v>16</v>
      </c>
    </row>
    <row r="5" spans="1:15" x14ac:dyDescent="0.25">
      <c r="A5" s="15">
        <f>'Store Total'!B4</f>
        <v>461</v>
      </c>
      <c r="B5" s="12"/>
      <c r="D5" s="15">
        <f>'Store Total'!B5</f>
        <v>126</v>
      </c>
      <c r="E5" s="12"/>
      <c r="G5" s="15">
        <f>'Store Total'!B4+'Store Total'!B5</f>
        <v>587</v>
      </c>
      <c r="H5" s="12"/>
      <c r="J5" s="17">
        <f>'Store Total'!D4</f>
        <v>1.0477272727272726</v>
      </c>
      <c r="K5" s="12"/>
      <c r="N5">
        <v>4</v>
      </c>
      <c r="O5">
        <f>'4'!Q16+'4'!R16</f>
        <v>20</v>
      </c>
    </row>
    <row r="6" spans="1:15" x14ac:dyDescent="0.25">
      <c r="A6" s="12"/>
      <c r="B6" s="12"/>
      <c r="D6" s="12"/>
      <c r="E6" s="12"/>
      <c r="G6" s="12"/>
      <c r="H6" s="12"/>
      <c r="J6" s="12"/>
      <c r="K6" s="12"/>
      <c r="N6">
        <v>5</v>
      </c>
      <c r="O6">
        <f>'5'!Q16+'5'!R16</f>
        <v>13</v>
      </c>
    </row>
    <row r="7" spans="1:15" x14ac:dyDescent="0.25">
      <c r="N7">
        <v>6</v>
      </c>
      <c r="O7">
        <f>'6'!Q16+'6'!R16</f>
        <v>19</v>
      </c>
    </row>
    <row r="8" spans="1:15" x14ac:dyDescent="0.25">
      <c r="A8" s="11" t="s">
        <v>8</v>
      </c>
      <c r="B8" s="12"/>
      <c r="D8" s="11" t="s">
        <v>9</v>
      </c>
      <c r="E8" s="12"/>
      <c r="G8" s="11" t="s">
        <v>10</v>
      </c>
      <c r="H8" s="12"/>
      <c r="J8" s="11" t="s">
        <v>11</v>
      </c>
      <c r="K8" s="12"/>
      <c r="N8">
        <v>7</v>
      </c>
      <c r="O8">
        <f>'7'!Q16+'7'!R16</f>
        <v>18</v>
      </c>
    </row>
    <row r="9" spans="1:15" x14ac:dyDescent="0.25">
      <c r="A9" s="15">
        <f>'Store Total'!B7</f>
        <v>58</v>
      </c>
      <c r="B9" s="12"/>
      <c r="D9" s="15">
        <f>'Store Total'!B8</f>
        <v>34</v>
      </c>
      <c r="E9" s="12"/>
      <c r="G9" s="18">
        <f>'Store Total'!B11</f>
        <v>42283.010000000009</v>
      </c>
      <c r="H9" s="12"/>
      <c r="J9" s="15">
        <f>'Store Total'!B10</f>
        <v>711</v>
      </c>
      <c r="K9" s="12"/>
      <c r="N9">
        <v>8</v>
      </c>
      <c r="O9">
        <f>'8'!Q16+'8'!R16</f>
        <v>14</v>
      </c>
    </row>
    <row r="10" spans="1:15" x14ac:dyDescent="0.25">
      <c r="A10" s="12"/>
      <c r="B10" s="12"/>
      <c r="D10" s="12"/>
      <c r="E10" s="12"/>
      <c r="G10" s="12"/>
      <c r="H10" s="12"/>
      <c r="J10" s="12"/>
      <c r="K10" s="12"/>
      <c r="N10">
        <v>9</v>
      </c>
      <c r="O10">
        <f>'9'!Q16+'9'!R16</f>
        <v>22</v>
      </c>
    </row>
    <row r="11" spans="1:15" x14ac:dyDescent="0.25">
      <c r="N11">
        <v>10</v>
      </c>
      <c r="O11">
        <f>'10'!Q16+'10'!R16</f>
        <v>24</v>
      </c>
    </row>
    <row r="12" spans="1:15" x14ac:dyDescent="0.25">
      <c r="N12">
        <v>11</v>
      </c>
      <c r="O12">
        <f>'11'!Q16+'11'!R16</f>
        <v>28</v>
      </c>
    </row>
    <row r="13" spans="1:15" x14ac:dyDescent="0.25">
      <c r="N13">
        <v>12</v>
      </c>
      <c r="O13">
        <f>'12'!Q16+'12'!R16</f>
        <v>25</v>
      </c>
    </row>
    <row r="14" spans="1:15" x14ac:dyDescent="0.25">
      <c r="N14">
        <v>13</v>
      </c>
      <c r="O14">
        <f>'13'!Q16+'13'!R16</f>
        <v>23</v>
      </c>
    </row>
    <row r="15" spans="1:15" x14ac:dyDescent="0.25">
      <c r="N15">
        <v>14</v>
      </c>
      <c r="O15">
        <f>'14'!Q16+'14'!R16</f>
        <v>12</v>
      </c>
    </row>
    <row r="16" spans="1:15" x14ac:dyDescent="0.25">
      <c r="N16">
        <v>15</v>
      </c>
      <c r="O16">
        <f>'15'!Q16+'15'!R16</f>
        <v>14</v>
      </c>
    </row>
    <row r="17" spans="14:15" x14ac:dyDescent="0.25">
      <c r="N17">
        <v>16</v>
      </c>
      <c r="O17">
        <f>'16'!Q16+'16'!R16</f>
        <v>12</v>
      </c>
    </row>
    <row r="18" spans="14:15" x14ac:dyDescent="0.25">
      <c r="N18">
        <v>17</v>
      </c>
      <c r="O18">
        <f>'17'!Q16+'17'!R16</f>
        <v>18</v>
      </c>
    </row>
    <row r="19" spans="14:15" x14ac:dyDescent="0.25">
      <c r="N19">
        <v>18</v>
      </c>
      <c r="O19">
        <f>'18'!Q16+'18'!R16</f>
        <v>25</v>
      </c>
    </row>
    <row r="20" spans="14:15" x14ac:dyDescent="0.25">
      <c r="N20">
        <v>19</v>
      </c>
      <c r="O20">
        <f>'19'!Q16+'19'!R16</f>
        <v>18</v>
      </c>
    </row>
    <row r="21" spans="14:15" x14ac:dyDescent="0.25">
      <c r="N21">
        <v>20</v>
      </c>
      <c r="O21">
        <f>'20'!Q16+'20'!R16</f>
        <v>19</v>
      </c>
    </row>
    <row r="22" spans="14:15" x14ac:dyDescent="0.25">
      <c r="N22">
        <v>21</v>
      </c>
      <c r="O22">
        <f>'21'!Q16+'21'!R16</f>
        <v>21</v>
      </c>
    </row>
    <row r="23" spans="14:15" x14ac:dyDescent="0.25">
      <c r="N23">
        <v>22</v>
      </c>
      <c r="O23">
        <f>'22'!Q16+'22'!R16</f>
        <v>24</v>
      </c>
    </row>
    <row r="24" spans="14:15" x14ac:dyDescent="0.25">
      <c r="N24">
        <v>23</v>
      </c>
      <c r="O24">
        <f>'23'!Q16+'23'!R16</f>
        <v>14</v>
      </c>
    </row>
    <row r="25" spans="14:15" x14ac:dyDescent="0.25">
      <c r="N25">
        <v>24</v>
      </c>
      <c r="O25">
        <f>'24'!Q16+'24'!R16</f>
        <v>24</v>
      </c>
    </row>
    <row r="26" spans="14:15" x14ac:dyDescent="0.25">
      <c r="N26">
        <v>25</v>
      </c>
      <c r="O26">
        <f>'25'!Q16+'25'!R16</f>
        <v>14</v>
      </c>
    </row>
    <row r="27" spans="14:15" x14ac:dyDescent="0.25">
      <c r="N27">
        <v>26</v>
      </c>
      <c r="O27">
        <f>'26'!Q16+'26'!R16</f>
        <v>18</v>
      </c>
    </row>
    <row r="28" spans="14:15" x14ac:dyDescent="0.25">
      <c r="N28">
        <v>27</v>
      </c>
      <c r="O28">
        <f>'27'!Q16+'27'!R16</f>
        <v>15</v>
      </c>
    </row>
    <row r="29" spans="14:15" x14ac:dyDescent="0.25">
      <c r="N29">
        <v>28</v>
      </c>
      <c r="O29">
        <f>'28'!Q16+'28'!R16</f>
        <v>24</v>
      </c>
    </row>
    <row r="30" spans="14:15" x14ac:dyDescent="0.25">
      <c r="N30">
        <v>29</v>
      </c>
      <c r="O30">
        <f>'29'!Q16+'29'!R16</f>
        <v>17</v>
      </c>
    </row>
    <row r="31" spans="14:15" x14ac:dyDescent="0.25">
      <c r="N31">
        <v>30</v>
      </c>
      <c r="O31">
        <f>'30'!Q16+'30'!R16</f>
        <v>24</v>
      </c>
    </row>
    <row r="32" spans="14:15" x14ac:dyDescent="0.25">
      <c r="N32">
        <v>31</v>
      </c>
      <c r="O32">
        <f>'31'!Q16+'31'!R16</f>
        <v>16</v>
      </c>
    </row>
  </sheetData>
  <mergeCells count="18">
    <mergeCell ref="J9:K10"/>
    <mergeCell ref="A1:L1"/>
    <mergeCell ref="D5:E6"/>
    <mergeCell ref="A5:B6"/>
    <mergeCell ref="G5:H6"/>
    <mergeCell ref="D4:E4"/>
    <mergeCell ref="J8:K8"/>
    <mergeCell ref="G8:H8"/>
    <mergeCell ref="J5:K6"/>
    <mergeCell ref="A8:B8"/>
    <mergeCell ref="A9:B10"/>
    <mergeCell ref="G9:H10"/>
    <mergeCell ref="D9:E10"/>
    <mergeCell ref="A4:B4"/>
    <mergeCell ref="G4:H4"/>
    <mergeCell ref="A2:L2"/>
    <mergeCell ref="J4:K4"/>
    <mergeCell ref="D8:E8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showGridLines="0" workbookViewId="0">
      <selection sqref="A1:F1"/>
    </sheetView>
  </sheetViews>
  <sheetFormatPr defaultRowHeight="15" x14ac:dyDescent="0.25"/>
  <cols>
    <col min="1" max="1" width="12" customWidth="1"/>
    <col min="2" max="2" width="16" customWidth="1"/>
    <col min="3" max="6" width="12" customWidth="1"/>
  </cols>
  <sheetData>
    <row r="1" spans="1:6" ht="24" customHeight="1" x14ac:dyDescent="0.25">
      <c r="A1" s="16" t="s">
        <v>12</v>
      </c>
      <c r="B1" s="14"/>
      <c r="C1" s="14"/>
      <c r="D1" s="14"/>
      <c r="E1" s="14"/>
      <c r="F1" s="14"/>
    </row>
    <row r="2" spans="1:6" ht="14.1" customHeight="1" x14ac:dyDescent="0.25">
      <c r="A2" s="13" t="s">
        <v>3</v>
      </c>
      <c r="B2" s="14"/>
      <c r="C2" s="14"/>
      <c r="D2" s="14"/>
      <c r="E2" s="14"/>
      <c r="F2" s="14"/>
    </row>
    <row r="3" spans="1:6" x14ac:dyDescent="0.25">
      <c r="A3" s="2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</row>
    <row r="4" spans="1:6" x14ac:dyDescent="0.25">
      <c r="A4" s="3">
        <f t="shared" ref="A4:A15" si="0">RANK(E4,$E$4:$E$15)</f>
        <v>4</v>
      </c>
      <c r="B4" s="3" t="str">
        <f>Setup!$A$4</f>
        <v>Expert 01</v>
      </c>
      <c r="C4" s="1">
        <f>SUM('1:31'!Q4)</f>
        <v>45</v>
      </c>
      <c r="D4" s="1">
        <f>SUM('1:31'!R4)</f>
        <v>7</v>
      </c>
      <c r="E4" s="1">
        <f t="shared" ref="E4:E15" si="1">C4+D4</f>
        <v>52</v>
      </c>
      <c r="F4" s="4">
        <f>SUM('1:31'!X4)</f>
        <v>3700.7099999999996</v>
      </c>
    </row>
    <row r="5" spans="1:6" x14ac:dyDescent="0.25">
      <c r="A5" s="3">
        <f t="shared" si="0"/>
        <v>2</v>
      </c>
      <c r="B5" s="3" t="str">
        <f>Setup!$A$5</f>
        <v>Expert 02</v>
      </c>
      <c r="C5" s="1">
        <f>SUM('1:31'!Q5)</f>
        <v>45</v>
      </c>
      <c r="D5" s="1">
        <f>SUM('1:31'!R5)</f>
        <v>10</v>
      </c>
      <c r="E5" s="1">
        <f t="shared" si="1"/>
        <v>55</v>
      </c>
      <c r="F5" s="4">
        <f>SUM('1:31'!X5)</f>
        <v>2955.13</v>
      </c>
    </row>
    <row r="6" spans="1:6" x14ac:dyDescent="0.25">
      <c r="A6" s="3">
        <f t="shared" si="0"/>
        <v>6</v>
      </c>
      <c r="B6" s="3" t="str">
        <f>Setup!$A$6</f>
        <v>Expert 03</v>
      </c>
      <c r="C6" s="1">
        <f>SUM('1:31'!Q6)</f>
        <v>40</v>
      </c>
      <c r="D6" s="1">
        <f>SUM('1:31'!R6)</f>
        <v>10</v>
      </c>
      <c r="E6" s="1">
        <f t="shared" si="1"/>
        <v>50</v>
      </c>
      <c r="F6" s="4">
        <f>SUM('1:31'!X6)</f>
        <v>3885.17</v>
      </c>
    </row>
    <row r="7" spans="1:6" x14ac:dyDescent="0.25">
      <c r="A7" s="3">
        <f t="shared" si="0"/>
        <v>12</v>
      </c>
      <c r="B7" s="3" t="str">
        <f>Setup!$A$7</f>
        <v>Expert 04</v>
      </c>
      <c r="C7" s="1">
        <f>SUM('1:31'!Q7)</f>
        <v>28</v>
      </c>
      <c r="D7" s="1">
        <f>SUM('1:31'!R7)</f>
        <v>12</v>
      </c>
      <c r="E7" s="1">
        <f t="shared" si="1"/>
        <v>40</v>
      </c>
      <c r="F7" s="4">
        <f>SUM('1:31'!X7)</f>
        <v>2469.5099999999998</v>
      </c>
    </row>
    <row r="8" spans="1:6" x14ac:dyDescent="0.25">
      <c r="A8" s="3">
        <f t="shared" si="0"/>
        <v>7</v>
      </c>
      <c r="B8" s="3" t="str">
        <f>Setup!$A$8</f>
        <v>Expert 05</v>
      </c>
      <c r="C8" s="1">
        <f>SUM('1:31'!Q8)</f>
        <v>32</v>
      </c>
      <c r="D8" s="1">
        <f>SUM('1:31'!R8)</f>
        <v>17</v>
      </c>
      <c r="E8" s="1">
        <f t="shared" si="1"/>
        <v>49</v>
      </c>
      <c r="F8" s="4">
        <f>SUM('1:31'!X8)</f>
        <v>3350.57</v>
      </c>
    </row>
    <row r="9" spans="1:6" x14ac:dyDescent="0.25">
      <c r="A9" s="3">
        <f t="shared" si="0"/>
        <v>2</v>
      </c>
      <c r="B9" s="3" t="str">
        <f>Setup!$A$9</f>
        <v>Expert 06</v>
      </c>
      <c r="C9" s="1">
        <f>SUM('1:31'!Q9)</f>
        <v>42</v>
      </c>
      <c r="D9" s="1">
        <f>SUM('1:31'!R9)</f>
        <v>13</v>
      </c>
      <c r="E9" s="1">
        <f t="shared" si="1"/>
        <v>55</v>
      </c>
      <c r="F9" s="4">
        <f>SUM('1:31'!X9)</f>
        <v>3867.4000000000005</v>
      </c>
    </row>
    <row r="10" spans="1:6" x14ac:dyDescent="0.25">
      <c r="A10" s="3">
        <f t="shared" si="0"/>
        <v>4</v>
      </c>
      <c r="B10" s="3" t="str">
        <f>Setup!$A$10</f>
        <v>Expert 07</v>
      </c>
      <c r="C10" s="1">
        <f>SUM('1:31'!Q10)</f>
        <v>40</v>
      </c>
      <c r="D10" s="1">
        <f>SUM('1:31'!R10)</f>
        <v>12</v>
      </c>
      <c r="E10" s="1">
        <f t="shared" si="1"/>
        <v>52</v>
      </c>
      <c r="F10" s="4">
        <f>SUM('1:31'!X10)</f>
        <v>2936.44</v>
      </c>
    </row>
    <row r="11" spans="1:6" x14ac:dyDescent="0.25">
      <c r="A11" s="3">
        <f t="shared" si="0"/>
        <v>7</v>
      </c>
      <c r="B11" s="3" t="str">
        <f>Setup!$A$11</f>
        <v>Expert 08</v>
      </c>
      <c r="C11" s="1">
        <f>SUM('1:31'!Q11)</f>
        <v>38</v>
      </c>
      <c r="D11" s="1">
        <f>SUM('1:31'!R11)</f>
        <v>11</v>
      </c>
      <c r="E11" s="1">
        <f t="shared" si="1"/>
        <v>49</v>
      </c>
      <c r="F11" s="4">
        <f>SUM('1:31'!X11)</f>
        <v>4745.7300000000005</v>
      </c>
    </row>
    <row r="12" spans="1:6" x14ac:dyDescent="0.25">
      <c r="A12" s="3">
        <f t="shared" si="0"/>
        <v>10</v>
      </c>
      <c r="B12" s="3" t="str">
        <f>Setup!$A$12</f>
        <v>Expert 09</v>
      </c>
      <c r="C12" s="1">
        <f>SUM('1:31'!Q12)</f>
        <v>33</v>
      </c>
      <c r="D12" s="1">
        <f>SUM('1:31'!R12)</f>
        <v>8</v>
      </c>
      <c r="E12" s="1">
        <f t="shared" si="1"/>
        <v>41</v>
      </c>
      <c r="F12" s="4">
        <f>SUM('1:31'!X12)</f>
        <v>3526.7899999999991</v>
      </c>
    </row>
    <row r="13" spans="1:6" x14ac:dyDescent="0.25">
      <c r="A13" s="3">
        <f t="shared" si="0"/>
        <v>10</v>
      </c>
      <c r="B13" s="3" t="str">
        <f>Setup!$A$13</f>
        <v>Expert 10</v>
      </c>
      <c r="C13" s="1">
        <f>SUM('1:31'!Q13)</f>
        <v>32</v>
      </c>
      <c r="D13" s="1">
        <f>SUM('1:31'!R13)</f>
        <v>9</v>
      </c>
      <c r="E13" s="1">
        <f t="shared" si="1"/>
        <v>41</v>
      </c>
      <c r="F13" s="4">
        <f>SUM('1:31'!X13)</f>
        <v>3192.48</v>
      </c>
    </row>
    <row r="14" spans="1:6" x14ac:dyDescent="0.25">
      <c r="A14" s="3">
        <f t="shared" si="0"/>
        <v>9</v>
      </c>
      <c r="B14" s="3" t="str">
        <f>Setup!$A$14</f>
        <v>Expert 11</v>
      </c>
      <c r="C14" s="1">
        <f>SUM('1:31'!Q14)</f>
        <v>36</v>
      </c>
      <c r="D14" s="1">
        <f>SUM('1:31'!R14)</f>
        <v>9</v>
      </c>
      <c r="E14" s="1">
        <f t="shared" si="1"/>
        <v>45</v>
      </c>
      <c r="F14" s="4">
        <f>SUM('1:31'!X14)</f>
        <v>3655.41</v>
      </c>
    </row>
    <row r="15" spans="1:6" x14ac:dyDescent="0.25">
      <c r="A15" s="3">
        <f t="shared" si="0"/>
        <v>1</v>
      </c>
      <c r="B15" s="3" t="str">
        <f>Setup!$A$15</f>
        <v>Expert 12</v>
      </c>
      <c r="C15" s="1">
        <f>SUM('1:31'!Q15)</f>
        <v>50</v>
      </c>
      <c r="D15" s="1">
        <f>SUM('1:31'!R15)</f>
        <v>8</v>
      </c>
      <c r="E15" s="1">
        <f t="shared" si="1"/>
        <v>58</v>
      </c>
      <c r="F15" s="4">
        <f>SUM('1:31'!X15)</f>
        <v>3997.67</v>
      </c>
    </row>
  </sheetData>
  <mergeCells count="2">
    <mergeCell ref="A2:F2"/>
    <mergeCell ref="A1:F1"/>
  </mergeCells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16" t="s">
        <v>19</v>
      </c>
      <c r="B1" s="14"/>
      <c r="C1" s="14"/>
      <c r="D1" s="14"/>
      <c r="E1" s="14"/>
      <c r="F1" s="14"/>
      <c r="G1" s="14"/>
      <c r="H1" s="14"/>
      <c r="I1" s="14"/>
    </row>
    <row r="2" spans="1:9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</row>
    <row r="3" spans="1:9" x14ac:dyDescent="0.25">
      <c r="A3" s="2" t="s">
        <v>1</v>
      </c>
      <c r="B3" s="2" t="s">
        <v>15</v>
      </c>
      <c r="C3" s="2" t="s">
        <v>16</v>
      </c>
      <c r="D3" s="2" t="s">
        <v>20</v>
      </c>
      <c r="E3" s="2" t="s">
        <v>8</v>
      </c>
      <c r="F3" s="2" t="s">
        <v>21</v>
      </c>
      <c r="G3" s="2" t="s">
        <v>22</v>
      </c>
      <c r="H3" s="2" t="s">
        <v>23</v>
      </c>
      <c r="I3" s="2" t="s">
        <v>18</v>
      </c>
    </row>
    <row r="4" spans="1:9" x14ac:dyDescent="0.25">
      <c r="A4" s="3">
        <v>1</v>
      </c>
      <c r="B4" s="1">
        <f>'1'!Q16</f>
        <v>17</v>
      </c>
      <c r="C4" s="1">
        <f>'1'!R16</f>
        <v>2</v>
      </c>
      <c r="D4" s="1">
        <f>'1'!S16</f>
        <v>0</v>
      </c>
      <c r="E4" s="1">
        <f>'1'!T16</f>
        <v>3</v>
      </c>
      <c r="F4" s="1">
        <f>'1'!U16</f>
        <v>1</v>
      </c>
      <c r="G4" s="4">
        <f>'1'!V16</f>
        <v>355</v>
      </c>
      <c r="H4" s="1">
        <f>'1'!W16</f>
        <v>23</v>
      </c>
      <c r="I4" s="4">
        <f>'1'!X16</f>
        <v>1552.8799999999999</v>
      </c>
    </row>
    <row r="5" spans="1:9" x14ac:dyDescent="0.25">
      <c r="A5" s="3">
        <v>2</v>
      </c>
      <c r="B5" s="1">
        <f>'2'!Q16</f>
        <v>12</v>
      </c>
      <c r="C5" s="1">
        <f>'2'!R16</f>
        <v>5</v>
      </c>
      <c r="D5" s="1">
        <f>'2'!S16</f>
        <v>1</v>
      </c>
      <c r="E5" s="1">
        <f>'2'!T16</f>
        <v>1</v>
      </c>
      <c r="F5" s="1">
        <f>'2'!U16</f>
        <v>0</v>
      </c>
      <c r="G5" s="4">
        <f>'2'!V16</f>
        <v>187</v>
      </c>
      <c r="H5" s="1">
        <f>'2'!W16</f>
        <v>19</v>
      </c>
      <c r="I5" s="4">
        <f>'2'!X16</f>
        <v>872.45</v>
      </c>
    </row>
    <row r="6" spans="1:9" x14ac:dyDescent="0.25">
      <c r="A6" s="3">
        <v>3</v>
      </c>
      <c r="B6" s="1">
        <f>'3'!Q16</f>
        <v>12</v>
      </c>
      <c r="C6" s="1">
        <f>'3'!R16</f>
        <v>4</v>
      </c>
      <c r="D6" s="1">
        <f>'3'!S16</f>
        <v>1</v>
      </c>
      <c r="E6" s="1">
        <f>'3'!T16</f>
        <v>1</v>
      </c>
      <c r="F6" s="1">
        <f>'3'!U16</f>
        <v>3</v>
      </c>
      <c r="G6" s="4">
        <f>'3'!V16</f>
        <v>149</v>
      </c>
      <c r="H6" s="1">
        <f>'3'!W16</f>
        <v>17</v>
      </c>
      <c r="I6" s="4">
        <f>'3'!X16</f>
        <v>1218.5100000000002</v>
      </c>
    </row>
    <row r="7" spans="1:9" x14ac:dyDescent="0.25">
      <c r="A7" s="3">
        <v>4</v>
      </c>
      <c r="B7" s="1">
        <f>'4'!Q16</f>
        <v>18</v>
      </c>
      <c r="C7" s="1">
        <f>'4'!R16</f>
        <v>2</v>
      </c>
      <c r="D7" s="1">
        <f>'4'!S16</f>
        <v>1</v>
      </c>
      <c r="E7" s="1">
        <f>'4'!T16</f>
        <v>2</v>
      </c>
      <c r="F7" s="1">
        <f>'4'!U16</f>
        <v>0</v>
      </c>
      <c r="G7" s="4">
        <f>'4'!V16</f>
        <v>362</v>
      </c>
      <c r="H7" s="1">
        <f>'4'!W16</f>
        <v>24</v>
      </c>
      <c r="I7" s="4">
        <f>'4'!X16</f>
        <v>1259.5600000000002</v>
      </c>
    </row>
    <row r="8" spans="1:9" x14ac:dyDescent="0.25">
      <c r="A8" s="3">
        <v>5</v>
      </c>
      <c r="B8" s="1">
        <f>'5'!Q16</f>
        <v>12</v>
      </c>
      <c r="C8" s="1">
        <f>'5'!R16</f>
        <v>1</v>
      </c>
      <c r="D8" s="1">
        <f>'5'!S16</f>
        <v>1</v>
      </c>
      <c r="E8" s="1">
        <f>'5'!T16</f>
        <v>4</v>
      </c>
      <c r="F8" s="1">
        <f>'5'!U16</f>
        <v>0</v>
      </c>
      <c r="G8" s="4">
        <f>'5'!V16</f>
        <v>181</v>
      </c>
      <c r="H8" s="1">
        <f>'5'!W16</f>
        <v>17</v>
      </c>
      <c r="I8" s="4">
        <f>'5'!X16</f>
        <v>779.48</v>
      </c>
    </row>
    <row r="9" spans="1:9" x14ac:dyDescent="0.25">
      <c r="A9" s="3">
        <v>6</v>
      </c>
      <c r="B9" s="1">
        <f>'6'!Q16</f>
        <v>14</v>
      </c>
      <c r="C9" s="1">
        <f>'6'!R16</f>
        <v>5</v>
      </c>
      <c r="D9" s="1">
        <f>'6'!S16</f>
        <v>1</v>
      </c>
      <c r="E9" s="1">
        <f>'6'!T16</f>
        <v>0</v>
      </c>
      <c r="F9" s="1">
        <f>'6'!U16</f>
        <v>1</v>
      </c>
      <c r="G9" s="4">
        <f>'6'!V16</f>
        <v>163</v>
      </c>
      <c r="H9" s="1">
        <f>'6'!W16</f>
        <v>22</v>
      </c>
      <c r="I9" s="4">
        <f>'6'!X16</f>
        <v>1633.01</v>
      </c>
    </row>
    <row r="10" spans="1:9" x14ac:dyDescent="0.25">
      <c r="A10" s="3">
        <v>7</v>
      </c>
      <c r="B10" s="1">
        <f>'7'!Q16</f>
        <v>13</v>
      </c>
      <c r="C10" s="1">
        <f>'7'!R16</f>
        <v>5</v>
      </c>
      <c r="D10" s="1">
        <f>'7'!S16</f>
        <v>1</v>
      </c>
      <c r="E10" s="1">
        <f>'7'!T16</f>
        <v>0</v>
      </c>
      <c r="F10" s="1">
        <f>'7'!U16</f>
        <v>2</v>
      </c>
      <c r="G10" s="4">
        <f>'7'!V16</f>
        <v>159</v>
      </c>
      <c r="H10" s="1">
        <f>'7'!W16</f>
        <v>18</v>
      </c>
      <c r="I10" s="4">
        <f>'7'!X16</f>
        <v>778.52</v>
      </c>
    </row>
    <row r="11" spans="1:9" x14ac:dyDescent="0.25">
      <c r="A11" s="3">
        <v>8</v>
      </c>
      <c r="B11" s="1">
        <f>'8'!Q16</f>
        <v>10</v>
      </c>
      <c r="C11" s="1">
        <f>'8'!R16</f>
        <v>4</v>
      </c>
      <c r="D11" s="1">
        <f>'8'!S16</f>
        <v>2</v>
      </c>
      <c r="E11" s="1">
        <f>'8'!T16</f>
        <v>1</v>
      </c>
      <c r="F11" s="1">
        <f>'8'!U16</f>
        <v>0</v>
      </c>
      <c r="G11" s="4">
        <f>'8'!V16</f>
        <v>194</v>
      </c>
      <c r="H11" s="1">
        <f>'8'!W16</f>
        <v>20</v>
      </c>
      <c r="I11" s="4">
        <f>'8'!X16</f>
        <v>1298.0300000000002</v>
      </c>
    </row>
    <row r="12" spans="1:9" x14ac:dyDescent="0.25">
      <c r="A12" s="3">
        <v>9</v>
      </c>
      <c r="B12" s="1">
        <f>'9'!Q16</f>
        <v>17</v>
      </c>
      <c r="C12" s="1">
        <f>'9'!R16</f>
        <v>5</v>
      </c>
      <c r="D12" s="1">
        <f>'9'!S16</f>
        <v>2</v>
      </c>
      <c r="E12" s="1">
        <f>'9'!T16</f>
        <v>4</v>
      </c>
      <c r="F12" s="1">
        <f>'9'!U16</f>
        <v>2</v>
      </c>
      <c r="G12" s="4">
        <f>'9'!V16</f>
        <v>223</v>
      </c>
      <c r="H12" s="1">
        <f>'9'!W16</f>
        <v>26</v>
      </c>
      <c r="I12" s="4">
        <f>'9'!X16</f>
        <v>1314.1</v>
      </c>
    </row>
    <row r="13" spans="1:9" x14ac:dyDescent="0.25">
      <c r="A13" s="3">
        <v>10</v>
      </c>
      <c r="B13" s="1">
        <f>'10'!Q16</f>
        <v>21</v>
      </c>
      <c r="C13" s="1">
        <f>'10'!R16</f>
        <v>3</v>
      </c>
      <c r="D13" s="1">
        <f>'10'!S16</f>
        <v>1</v>
      </c>
      <c r="E13" s="1">
        <f>'10'!T16</f>
        <v>4</v>
      </c>
      <c r="F13" s="1">
        <f>'10'!U16</f>
        <v>0</v>
      </c>
      <c r="G13" s="4">
        <f>'10'!V16</f>
        <v>360</v>
      </c>
      <c r="H13" s="1">
        <f>'10'!W16</f>
        <v>28</v>
      </c>
      <c r="I13" s="4">
        <f>'10'!X16</f>
        <v>1935.67</v>
      </c>
    </row>
    <row r="14" spans="1:9" x14ac:dyDescent="0.25">
      <c r="A14" s="3">
        <v>11</v>
      </c>
      <c r="B14" s="1">
        <f>'11'!Q16</f>
        <v>24</v>
      </c>
      <c r="C14" s="1">
        <f>'11'!R16</f>
        <v>4</v>
      </c>
      <c r="D14" s="1">
        <f>'11'!S16</f>
        <v>1</v>
      </c>
      <c r="E14" s="1">
        <f>'11'!T16</f>
        <v>2</v>
      </c>
      <c r="F14" s="1">
        <f>'11'!U16</f>
        <v>0</v>
      </c>
      <c r="G14" s="4">
        <f>'11'!V16</f>
        <v>441</v>
      </c>
      <c r="H14" s="1">
        <f>'11'!W16</f>
        <v>33</v>
      </c>
      <c r="I14" s="4">
        <f>'11'!X16</f>
        <v>2347.63</v>
      </c>
    </row>
    <row r="15" spans="1:9" x14ac:dyDescent="0.25">
      <c r="A15" s="3">
        <v>12</v>
      </c>
      <c r="B15" s="1">
        <f>'12'!Q16</f>
        <v>18</v>
      </c>
      <c r="C15" s="1">
        <f>'12'!R16</f>
        <v>7</v>
      </c>
      <c r="D15" s="1">
        <f>'12'!S16</f>
        <v>2</v>
      </c>
      <c r="E15" s="1">
        <f>'12'!T16</f>
        <v>3</v>
      </c>
      <c r="F15" s="1">
        <f>'12'!U16</f>
        <v>2</v>
      </c>
      <c r="G15" s="4">
        <f>'12'!V16</f>
        <v>404</v>
      </c>
      <c r="H15" s="1">
        <f>'12'!W16</f>
        <v>28</v>
      </c>
      <c r="I15" s="4">
        <f>'12'!X16</f>
        <v>1645.03</v>
      </c>
    </row>
    <row r="16" spans="1:9" x14ac:dyDescent="0.25">
      <c r="A16" s="3">
        <v>13</v>
      </c>
      <c r="B16" s="1">
        <f>'13'!Q16</f>
        <v>17</v>
      </c>
      <c r="C16" s="1">
        <f>'13'!R16</f>
        <v>6</v>
      </c>
      <c r="D16" s="1">
        <f>'13'!S16</f>
        <v>4</v>
      </c>
      <c r="E16" s="1">
        <f>'13'!T16</f>
        <v>4</v>
      </c>
      <c r="F16" s="1">
        <f>'13'!U16</f>
        <v>1</v>
      </c>
      <c r="G16" s="4">
        <f>'13'!V16</f>
        <v>367</v>
      </c>
      <c r="H16" s="1">
        <f>'13'!W16</f>
        <v>29</v>
      </c>
      <c r="I16" s="4">
        <f>'13'!X16</f>
        <v>1586.66</v>
      </c>
    </row>
    <row r="17" spans="1:9" x14ac:dyDescent="0.25">
      <c r="A17" s="3">
        <v>14</v>
      </c>
      <c r="B17" s="1">
        <f>'14'!Q16</f>
        <v>10</v>
      </c>
      <c r="C17" s="1">
        <f>'14'!R16</f>
        <v>2</v>
      </c>
      <c r="D17" s="1">
        <f>'14'!S16</f>
        <v>0</v>
      </c>
      <c r="E17" s="1">
        <f>'14'!T16</f>
        <v>1</v>
      </c>
      <c r="F17" s="1">
        <f>'14'!U16</f>
        <v>1</v>
      </c>
      <c r="G17" s="4">
        <f>'14'!V16</f>
        <v>154</v>
      </c>
      <c r="H17" s="1">
        <f>'14'!W16</f>
        <v>15</v>
      </c>
      <c r="I17" s="4">
        <f>'14'!X16</f>
        <v>1030.8499999999999</v>
      </c>
    </row>
    <row r="18" spans="1:9" x14ac:dyDescent="0.25">
      <c r="A18" s="3">
        <v>15</v>
      </c>
      <c r="B18" s="1">
        <f>'15'!Q16</f>
        <v>11</v>
      </c>
      <c r="C18" s="1">
        <f>'15'!R16</f>
        <v>3</v>
      </c>
      <c r="D18" s="1">
        <f>'15'!S16</f>
        <v>1</v>
      </c>
      <c r="E18" s="1">
        <f>'15'!T16</f>
        <v>2</v>
      </c>
      <c r="F18" s="1">
        <f>'15'!U16</f>
        <v>1</v>
      </c>
      <c r="G18" s="4">
        <f>'15'!V16</f>
        <v>203</v>
      </c>
      <c r="H18" s="1">
        <f>'15'!W16</f>
        <v>19</v>
      </c>
      <c r="I18" s="4">
        <f>'15'!X16</f>
        <v>1385.58</v>
      </c>
    </row>
    <row r="19" spans="1:9" x14ac:dyDescent="0.25">
      <c r="A19" s="3">
        <v>16</v>
      </c>
      <c r="B19" s="1">
        <f>'16'!Q16</f>
        <v>9</v>
      </c>
      <c r="C19" s="1">
        <f>'16'!R16</f>
        <v>3</v>
      </c>
      <c r="D19" s="1">
        <f>'16'!S16</f>
        <v>1</v>
      </c>
      <c r="E19" s="1">
        <f>'16'!T16</f>
        <v>1</v>
      </c>
      <c r="F19" s="1">
        <f>'16'!U16</f>
        <v>1</v>
      </c>
      <c r="G19" s="4">
        <f>'16'!V16</f>
        <v>266</v>
      </c>
      <c r="H19" s="1">
        <f>'16'!W16</f>
        <v>14</v>
      </c>
      <c r="I19" s="4">
        <f>'16'!X16</f>
        <v>979.69</v>
      </c>
    </row>
    <row r="20" spans="1:9" x14ac:dyDescent="0.25">
      <c r="A20" s="3">
        <v>17</v>
      </c>
      <c r="B20" s="1">
        <f>'17'!Q16</f>
        <v>15</v>
      </c>
      <c r="C20" s="1">
        <f>'17'!R16</f>
        <v>3</v>
      </c>
      <c r="D20" s="1">
        <f>'17'!S16</f>
        <v>0</v>
      </c>
      <c r="E20" s="1">
        <f>'17'!T16</f>
        <v>3</v>
      </c>
      <c r="F20" s="1">
        <f>'17'!U16</f>
        <v>0</v>
      </c>
      <c r="G20" s="4">
        <f>'17'!V16</f>
        <v>220</v>
      </c>
      <c r="H20" s="1">
        <f>'17'!W16</f>
        <v>21</v>
      </c>
      <c r="I20" s="4">
        <f>'17'!X16</f>
        <v>1006.81</v>
      </c>
    </row>
    <row r="21" spans="1:9" x14ac:dyDescent="0.25">
      <c r="A21" s="3">
        <v>18</v>
      </c>
      <c r="B21" s="1">
        <f>'18'!Q16</f>
        <v>18</v>
      </c>
      <c r="C21" s="1">
        <f>'18'!R16</f>
        <v>7</v>
      </c>
      <c r="D21" s="1">
        <f>'18'!S16</f>
        <v>0</v>
      </c>
      <c r="E21" s="1">
        <f>'18'!T16</f>
        <v>2</v>
      </c>
      <c r="F21" s="1">
        <f>'18'!U16</f>
        <v>2</v>
      </c>
      <c r="G21" s="4">
        <f>'18'!V16</f>
        <v>361</v>
      </c>
      <c r="H21" s="1">
        <f>'18'!W16</f>
        <v>31</v>
      </c>
      <c r="I21" s="4">
        <f>'18'!X16</f>
        <v>1686.98</v>
      </c>
    </row>
    <row r="22" spans="1:9" x14ac:dyDescent="0.25">
      <c r="A22" s="3">
        <v>19</v>
      </c>
      <c r="B22" s="1">
        <f>'19'!Q16</f>
        <v>13</v>
      </c>
      <c r="C22" s="1">
        <f>'19'!R16</f>
        <v>5</v>
      </c>
      <c r="D22" s="1">
        <f>'19'!S16</f>
        <v>1</v>
      </c>
      <c r="E22" s="1">
        <f>'19'!T16</f>
        <v>1</v>
      </c>
      <c r="F22" s="1">
        <f>'19'!U16</f>
        <v>1</v>
      </c>
      <c r="G22" s="4">
        <f>'19'!V16</f>
        <v>308</v>
      </c>
      <c r="H22" s="1">
        <f>'19'!W16</f>
        <v>22</v>
      </c>
      <c r="I22" s="4">
        <f>'19'!X16</f>
        <v>1669.1399999999999</v>
      </c>
    </row>
    <row r="23" spans="1:9" x14ac:dyDescent="0.25">
      <c r="A23" s="3">
        <v>20</v>
      </c>
      <c r="B23" s="1">
        <f>'20'!Q16</f>
        <v>13</v>
      </c>
      <c r="C23" s="1">
        <f>'20'!R16</f>
        <v>6</v>
      </c>
      <c r="D23" s="1">
        <f>'20'!S16</f>
        <v>1</v>
      </c>
      <c r="E23" s="1">
        <f>'20'!T16</f>
        <v>0</v>
      </c>
      <c r="F23" s="1">
        <f>'20'!U16</f>
        <v>1</v>
      </c>
      <c r="G23" s="4">
        <f>'20'!V16</f>
        <v>248</v>
      </c>
      <c r="H23" s="1">
        <f>'20'!W16</f>
        <v>22</v>
      </c>
      <c r="I23" s="4">
        <f>'20'!X16</f>
        <v>1473</v>
      </c>
    </row>
    <row r="24" spans="1:9" x14ac:dyDescent="0.25">
      <c r="A24" s="3">
        <v>21</v>
      </c>
      <c r="B24" s="1">
        <f>'21'!Q16</f>
        <v>15</v>
      </c>
      <c r="C24" s="1">
        <f>'21'!R16</f>
        <v>6</v>
      </c>
      <c r="D24" s="1">
        <f>'21'!S16</f>
        <v>2</v>
      </c>
      <c r="E24" s="1">
        <f>'21'!T16</f>
        <v>1</v>
      </c>
      <c r="F24" s="1">
        <f>'21'!U16</f>
        <v>0</v>
      </c>
      <c r="G24" s="4">
        <f>'21'!V16</f>
        <v>275</v>
      </c>
      <c r="H24" s="1">
        <f>'21'!W16</f>
        <v>28</v>
      </c>
      <c r="I24" s="4">
        <f>'21'!X16</f>
        <v>1807.39</v>
      </c>
    </row>
    <row r="25" spans="1:9" x14ac:dyDescent="0.25">
      <c r="A25" s="3">
        <v>22</v>
      </c>
      <c r="B25" s="1">
        <f>'22'!Q16</f>
        <v>20</v>
      </c>
      <c r="C25" s="1">
        <f>'22'!R16</f>
        <v>4</v>
      </c>
      <c r="D25" s="1">
        <f>'22'!S16</f>
        <v>2</v>
      </c>
      <c r="E25" s="1">
        <f>'22'!T16</f>
        <v>1</v>
      </c>
      <c r="F25" s="1">
        <f>'22'!U16</f>
        <v>2</v>
      </c>
      <c r="G25" s="4">
        <f>'22'!V16</f>
        <v>379</v>
      </c>
      <c r="H25" s="1">
        <f>'22'!W16</f>
        <v>27</v>
      </c>
      <c r="I25" s="4">
        <f>'22'!X16</f>
        <v>1727.2399999999998</v>
      </c>
    </row>
    <row r="26" spans="1:9" x14ac:dyDescent="0.25">
      <c r="A26" s="3">
        <v>23</v>
      </c>
      <c r="B26" s="1">
        <f>'23'!Q16</f>
        <v>11</v>
      </c>
      <c r="C26" s="1">
        <f>'23'!R16</f>
        <v>3</v>
      </c>
      <c r="D26" s="1">
        <f>'23'!S16</f>
        <v>1</v>
      </c>
      <c r="E26" s="1">
        <f>'23'!T16</f>
        <v>1</v>
      </c>
      <c r="F26" s="1">
        <f>'23'!U16</f>
        <v>1</v>
      </c>
      <c r="G26" s="4">
        <f>'23'!V16</f>
        <v>183</v>
      </c>
      <c r="H26" s="1">
        <f>'23'!W16</f>
        <v>17</v>
      </c>
      <c r="I26" s="4">
        <f>'23'!X16</f>
        <v>855.27</v>
      </c>
    </row>
    <row r="27" spans="1:9" x14ac:dyDescent="0.25">
      <c r="A27" s="3">
        <v>24</v>
      </c>
      <c r="B27" s="1">
        <f>'24'!Q16</f>
        <v>19</v>
      </c>
      <c r="C27" s="1">
        <f>'24'!R16</f>
        <v>5</v>
      </c>
      <c r="D27" s="1">
        <f>'24'!S16</f>
        <v>0</v>
      </c>
      <c r="E27" s="1">
        <f>'24'!T16</f>
        <v>1</v>
      </c>
      <c r="F27" s="1">
        <f>'24'!U16</f>
        <v>1</v>
      </c>
      <c r="G27" s="4">
        <f>'24'!V16</f>
        <v>207</v>
      </c>
      <c r="H27" s="1">
        <f>'24'!W16</f>
        <v>24</v>
      </c>
      <c r="I27" s="4">
        <f>'24'!X16</f>
        <v>1685.4499999999998</v>
      </c>
    </row>
    <row r="28" spans="1:9" x14ac:dyDescent="0.25">
      <c r="A28" s="3">
        <v>25</v>
      </c>
      <c r="B28" s="1">
        <f>'25'!Q16</f>
        <v>11</v>
      </c>
      <c r="C28" s="1">
        <f>'25'!R16</f>
        <v>3</v>
      </c>
      <c r="D28" s="1">
        <f>'25'!S16</f>
        <v>0</v>
      </c>
      <c r="E28" s="1">
        <f>'25'!T16</f>
        <v>3</v>
      </c>
      <c r="F28" s="1">
        <f>'25'!U16</f>
        <v>2</v>
      </c>
      <c r="G28" s="4">
        <f>'25'!V16</f>
        <v>214</v>
      </c>
      <c r="H28" s="1">
        <f>'25'!W16</f>
        <v>20</v>
      </c>
      <c r="I28" s="4">
        <f>'25'!X16</f>
        <v>1136.6500000000001</v>
      </c>
    </row>
    <row r="29" spans="1:9" x14ac:dyDescent="0.25">
      <c r="A29" s="3">
        <v>26</v>
      </c>
      <c r="B29" s="1">
        <f>'26'!Q16</f>
        <v>11</v>
      </c>
      <c r="C29" s="1">
        <f>'26'!R16</f>
        <v>7</v>
      </c>
      <c r="D29" s="1">
        <f>'26'!S16</f>
        <v>3</v>
      </c>
      <c r="E29" s="1">
        <f>'26'!T16</f>
        <v>1</v>
      </c>
      <c r="F29" s="1">
        <f>'26'!U16</f>
        <v>2</v>
      </c>
      <c r="G29" s="4">
        <f>'26'!V16</f>
        <v>282</v>
      </c>
      <c r="H29" s="1">
        <f>'26'!W16</f>
        <v>25</v>
      </c>
      <c r="I29" s="4">
        <f>'26'!X16</f>
        <v>1036.6199999999999</v>
      </c>
    </row>
    <row r="30" spans="1:9" x14ac:dyDescent="0.25">
      <c r="A30" s="3">
        <v>27</v>
      </c>
      <c r="B30" s="1">
        <f>'27'!Q16</f>
        <v>12</v>
      </c>
      <c r="C30" s="1">
        <f>'27'!R16</f>
        <v>3</v>
      </c>
      <c r="D30" s="1">
        <f>'27'!S16</f>
        <v>0</v>
      </c>
      <c r="E30" s="1">
        <f>'27'!T16</f>
        <v>2</v>
      </c>
      <c r="F30" s="1">
        <f>'27'!U16</f>
        <v>0</v>
      </c>
      <c r="G30" s="4">
        <f>'27'!V16</f>
        <v>261</v>
      </c>
      <c r="H30" s="1">
        <f>'27'!W16</f>
        <v>18</v>
      </c>
      <c r="I30" s="4">
        <f>'27'!X16</f>
        <v>985.71000000000015</v>
      </c>
    </row>
    <row r="31" spans="1:9" x14ac:dyDescent="0.25">
      <c r="A31" s="3">
        <v>28</v>
      </c>
      <c r="B31" s="1">
        <f>'28'!Q16</f>
        <v>21</v>
      </c>
      <c r="C31" s="1">
        <f>'28'!R16</f>
        <v>3</v>
      </c>
      <c r="D31" s="1">
        <f>'28'!S16</f>
        <v>3</v>
      </c>
      <c r="E31" s="1">
        <f>'28'!T16</f>
        <v>4</v>
      </c>
      <c r="F31" s="1">
        <f>'28'!U16</f>
        <v>4</v>
      </c>
      <c r="G31" s="4">
        <f>'28'!V16</f>
        <v>389</v>
      </c>
      <c r="H31" s="1">
        <f>'28'!W16</f>
        <v>27</v>
      </c>
      <c r="I31" s="4">
        <f>'28'!X16</f>
        <v>1612.54</v>
      </c>
    </row>
    <row r="32" spans="1:9" x14ac:dyDescent="0.25">
      <c r="A32" s="3">
        <v>29</v>
      </c>
      <c r="B32" s="1">
        <f>'29'!Q16</f>
        <v>14</v>
      </c>
      <c r="C32" s="1">
        <f>'29'!R16</f>
        <v>3</v>
      </c>
      <c r="D32" s="1">
        <f>'29'!S16</f>
        <v>0</v>
      </c>
      <c r="E32" s="1">
        <f>'29'!T16</f>
        <v>2</v>
      </c>
      <c r="F32" s="1">
        <f>'29'!U16</f>
        <v>0</v>
      </c>
      <c r="G32" s="4">
        <f>'29'!V16</f>
        <v>306</v>
      </c>
      <c r="H32" s="1">
        <f>'29'!W16</f>
        <v>30</v>
      </c>
      <c r="I32" s="4">
        <f>'29'!X16</f>
        <v>1190.5900000000001</v>
      </c>
    </row>
    <row r="33" spans="1:9" x14ac:dyDescent="0.25">
      <c r="A33" s="3">
        <v>30</v>
      </c>
      <c r="B33" s="1">
        <f>'30'!Q16</f>
        <v>22</v>
      </c>
      <c r="C33" s="1">
        <f>'30'!R16</f>
        <v>2</v>
      </c>
      <c r="D33" s="1">
        <f>'30'!S16</f>
        <v>3</v>
      </c>
      <c r="E33" s="1">
        <f>'30'!T16</f>
        <v>2</v>
      </c>
      <c r="F33" s="1">
        <f>'30'!U16</f>
        <v>1</v>
      </c>
      <c r="G33" s="4">
        <f>'30'!V16</f>
        <v>239</v>
      </c>
      <c r="H33" s="1">
        <f>'30'!W16</f>
        <v>27</v>
      </c>
      <c r="I33" s="4">
        <f>'30'!X16</f>
        <v>1732.61</v>
      </c>
    </row>
    <row r="34" spans="1:9" x14ac:dyDescent="0.25">
      <c r="A34" s="3">
        <v>31</v>
      </c>
      <c r="B34" s="1">
        <f>'31'!Q16</f>
        <v>11</v>
      </c>
      <c r="C34" s="1">
        <f>'31'!R16</f>
        <v>5</v>
      </c>
      <c r="D34" s="1">
        <f>'31'!S16</f>
        <v>1</v>
      </c>
      <c r="E34" s="1">
        <f>'31'!T16</f>
        <v>1</v>
      </c>
      <c r="F34" s="1">
        <f>'31'!U16</f>
        <v>2</v>
      </c>
      <c r="G34" s="4">
        <f>'31'!V16</f>
        <v>267</v>
      </c>
      <c r="H34" s="1">
        <f>'31'!W16</f>
        <v>20</v>
      </c>
      <c r="I34" s="4">
        <f>'31'!X16</f>
        <v>1059.3599999999999</v>
      </c>
    </row>
  </sheetData>
  <mergeCells count="2">
    <mergeCell ref="A1:I1"/>
    <mergeCell ref="A2:I2"/>
  </mergeCells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tabSelected="1" workbookViewId="0">
      <selection sqref="A1:E1"/>
    </sheetView>
  </sheetViews>
  <sheetFormatPr defaultRowHeight="15" x14ac:dyDescent="0.25"/>
  <cols>
    <col min="1" max="5" width="14" customWidth="1"/>
  </cols>
  <sheetData>
    <row r="1" spans="1:5" ht="24" customHeight="1" x14ac:dyDescent="0.25">
      <c r="A1" s="16" t="s">
        <v>24</v>
      </c>
      <c r="B1" s="14"/>
      <c r="C1" s="14"/>
      <c r="D1" s="14"/>
      <c r="E1" s="14"/>
    </row>
    <row r="2" spans="1:5" ht="14.1" customHeight="1" x14ac:dyDescent="0.25">
      <c r="A2" s="13" t="s">
        <v>3</v>
      </c>
      <c r="B2" s="14"/>
      <c r="C2" s="14"/>
      <c r="D2" s="14"/>
      <c r="E2" s="14"/>
    </row>
    <row r="3" spans="1:5" x14ac:dyDescent="0.25">
      <c r="A3" s="2" t="s">
        <v>25</v>
      </c>
      <c r="B3" s="2" t="s">
        <v>26</v>
      </c>
      <c r="C3" s="2" t="s">
        <v>27</v>
      </c>
      <c r="D3" s="2" t="s">
        <v>28</v>
      </c>
      <c r="E3" s="2" t="s">
        <v>29</v>
      </c>
    </row>
    <row r="4" spans="1:5" x14ac:dyDescent="0.25">
      <c r="A4" s="3" t="s">
        <v>15</v>
      </c>
      <c r="B4" s="1">
        <f>SUM('1:31'!Q16)</f>
        <v>461</v>
      </c>
      <c r="C4" s="1">
        <f>Setup!$F$4</f>
        <v>440</v>
      </c>
      <c r="D4" s="5">
        <f t="shared" ref="D4:D11" si="0">IFERROR(B4/C4,0)</f>
        <v>1.0477272727272726</v>
      </c>
      <c r="E4" s="1">
        <f t="shared" ref="E4:E11" si="1">B4-C4</f>
        <v>21</v>
      </c>
    </row>
    <row r="5" spans="1:5" x14ac:dyDescent="0.25">
      <c r="A5" s="3" t="s">
        <v>16</v>
      </c>
      <c r="B5" s="1">
        <f>SUM('1:31'!R16)</f>
        <v>126</v>
      </c>
      <c r="C5" s="1">
        <f>Setup!$F$5</f>
        <v>130</v>
      </c>
      <c r="D5" s="5">
        <f t="shared" si="0"/>
        <v>0.96923076923076923</v>
      </c>
      <c r="E5" s="1">
        <f t="shared" si="1"/>
        <v>-4</v>
      </c>
    </row>
    <row r="6" spans="1:5" x14ac:dyDescent="0.25">
      <c r="A6" s="3" t="s">
        <v>20</v>
      </c>
      <c r="B6" s="1">
        <f>SUM('1:31'!S16)</f>
        <v>37</v>
      </c>
      <c r="C6" s="1">
        <f>Setup!$F$6</f>
        <v>35</v>
      </c>
      <c r="D6" s="5">
        <f t="shared" si="0"/>
        <v>1.0571428571428572</v>
      </c>
      <c r="E6" s="1">
        <f t="shared" si="1"/>
        <v>2</v>
      </c>
    </row>
    <row r="7" spans="1:5" x14ac:dyDescent="0.25">
      <c r="A7" s="3" t="s">
        <v>8</v>
      </c>
      <c r="B7" s="1">
        <f>SUM('1:31'!T16)</f>
        <v>58</v>
      </c>
      <c r="C7" s="1">
        <f>Setup!$F$7</f>
        <v>60</v>
      </c>
      <c r="D7" s="5">
        <f t="shared" si="0"/>
        <v>0.96666666666666667</v>
      </c>
      <c r="E7" s="1">
        <f t="shared" si="1"/>
        <v>-2</v>
      </c>
    </row>
    <row r="8" spans="1:5" x14ac:dyDescent="0.25">
      <c r="A8" s="3" t="s">
        <v>21</v>
      </c>
      <c r="B8" s="1">
        <f>SUM('1:31'!U16)</f>
        <v>34</v>
      </c>
      <c r="C8" s="1">
        <f>Setup!$F$8</f>
        <v>35</v>
      </c>
      <c r="D8" s="5">
        <f t="shared" si="0"/>
        <v>0.97142857142857142</v>
      </c>
      <c r="E8" s="1">
        <f t="shared" si="1"/>
        <v>-1</v>
      </c>
    </row>
    <row r="9" spans="1:5" x14ac:dyDescent="0.25">
      <c r="A9" s="3" t="s">
        <v>22</v>
      </c>
      <c r="B9" s="4">
        <f>SUM('1:31'!V16)</f>
        <v>8307</v>
      </c>
      <c r="C9" s="4">
        <f>Setup!$F$9</f>
        <v>8100</v>
      </c>
      <c r="D9" s="5">
        <f t="shared" si="0"/>
        <v>1.0255555555555556</v>
      </c>
      <c r="E9" s="4">
        <f t="shared" si="1"/>
        <v>207</v>
      </c>
    </row>
    <row r="10" spans="1:5" x14ac:dyDescent="0.25">
      <c r="A10" s="3" t="s">
        <v>23</v>
      </c>
      <c r="B10" s="1">
        <f>SUM('1:31'!W16)</f>
        <v>711</v>
      </c>
      <c r="C10" s="1">
        <f>Setup!$F$10</f>
        <v>670</v>
      </c>
      <c r="D10" s="5">
        <f t="shared" si="0"/>
        <v>1.0611940298507463</v>
      </c>
      <c r="E10" s="1">
        <f t="shared" si="1"/>
        <v>41</v>
      </c>
    </row>
    <row r="11" spans="1:5" x14ac:dyDescent="0.25">
      <c r="A11" s="3" t="s">
        <v>18</v>
      </c>
      <c r="B11" s="4">
        <f>SUM('1:31'!X16)</f>
        <v>42283.010000000009</v>
      </c>
      <c r="C11" s="4">
        <f>Setup!$F$11</f>
        <v>43100</v>
      </c>
      <c r="D11" s="5">
        <f t="shared" si="0"/>
        <v>0.98104431554524385</v>
      </c>
      <c r="E11" s="4">
        <f t="shared" si="1"/>
        <v>-816.98999999999069</v>
      </c>
    </row>
  </sheetData>
  <mergeCells count="2">
    <mergeCell ref="A2:E2"/>
    <mergeCell ref="A1:E1"/>
  </mergeCells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7"/>
  <sheetViews>
    <sheetView showGridLines="0" workbookViewId="0"/>
  </sheetViews>
  <sheetFormatPr defaultRowHeight="15" x14ac:dyDescent="0.25"/>
  <cols>
    <col min="1" max="1" width="18" customWidth="1"/>
    <col min="3" max="3" width="24" customWidth="1"/>
    <col min="5" max="6" width="14" customWidth="1"/>
  </cols>
  <sheetData>
    <row r="1" spans="1:6" ht="24" customHeight="1" x14ac:dyDescent="0.25">
      <c r="A1" s="16" t="s">
        <v>30</v>
      </c>
      <c r="B1" s="14"/>
      <c r="C1" s="14"/>
      <c r="D1" s="14"/>
      <c r="E1" s="14"/>
      <c r="F1" s="14"/>
    </row>
    <row r="2" spans="1:6" ht="14.1" customHeight="1" x14ac:dyDescent="0.25">
      <c r="A2" s="13" t="s">
        <v>3</v>
      </c>
      <c r="B2" s="14"/>
      <c r="C2" s="14"/>
      <c r="D2" s="14"/>
      <c r="E2" s="14"/>
      <c r="F2" s="14"/>
    </row>
    <row r="3" spans="1:6" x14ac:dyDescent="0.25">
      <c r="A3" s="2" t="s">
        <v>31</v>
      </c>
      <c r="C3" s="2" t="s">
        <v>32</v>
      </c>
      <c r="E3" s="2" t="s">
        <v>25</v>
      </c>
      <c r="F3" s="2" t="s">
        <v>27</v>
      </c>
    </row>
    <row r="4" spans="1:6" x14ac:dyDescent="0.25">
      <c r="A4" s="1" t="s">
        <v>33</v>
      </c>
      <c r="C4" s="1" t="s">
        <v>34</v>
      </c>
      <c r="E4" s="1" t="s">
        <v>15</v>
      </c>
      <c r="F4" s="1">
        <v>440</v>
      </c>
    </row>
    <row r="5" spans="1:6" x14ac:dyDescent="0.25">
      <c r="A5" s="1" t="s">
        <v>35</v>
      </c>
      <c r="C5" s="1" t="s">
        <v>36</v>
      </c>
      <c r="E5" s="1" t="s">
        <v>16</v>
      </c>
      <c r="F5" s="1">
        <v>130</v>
      </c>
    </row>
    <row r="6" spans="1:6" x14ac:dyDescent="0.25">
      <c r="A6" s="1" t="s">
        <v>37</v>
      </c>
      <c r="C6" s="1" t="s">
        <v>38</v>
      </c>
      <c r="E6" s="1" t="s">
        <v>20</v>
      </c>
      <c r="F6" s="1">
        <v>35</v>
      </c>
    </row>
    <row r="7" spans="1:6" x14ac:dyDescent="0.25">
      <c r="A7" s="1" t="s">
        <v>39</v>
      </c>
      <c r="C7" s="1" t="s">
        <v>40</v>
      </c>
      <c r="E7" s="1" t="s">
        <v>8</v>
      </c>
      <c r="F7" s="1">
        <v>60</v>
      </c>
    </row>
    <row r="8" spans="1:6" x14ac:dyDescent="0.25">
      <c r="A8" s="1" t="s">
        <v>41</v>
      </c>
      <c r="C8" s="1" t="s">
        <v>42</v>
      </c>
      <c r="E8" s="1" t="s">
        <v>21</v>
      </c>
      <c r="F8" s="1">
        <v>35</v>
      </c>
    </row>
    <row r="9" spans="1:6" x14ac:dyDescent="0.25">
      <c r="A9" s="1" t="s">
        <v>43</v>
      </c>
      <c r="C9" s="1" t="s">
        <v>44</v>
      </c>
      <c r="E9" s="1" t="s">
        <v>22</v>
      </c>
      <c r="F9" s="4">
        <v>8100</v>
      </c>
    </row>
    <row r="10" spans="1:6" x14ac:dyDescent="0.25">
      <c r="A10" s="1" t="s">
        <v>45</v>
      </c>
      <c r="C10" s="1" t="s">
        <v>46</v>
      </c>
      <c r="E10" s="1" t="s">
        <v>23</v>
      </c>
      <c r="F10" s="1">
        <v>670</v>
      </c>
    </row>
    <row r="11" spans="1:6" x14ac:dyDescent="0.25">
      <c r="A11" s="1" t="s">
        <v>47</v>
      </c>
      <c r="C11" s="1" t="s">
        <v>48</v>
      </c>
      <c r="E11" s="1" t="s">
        <v>18</v>
      </c>
      <c r="F11" s="4">
        <v>43100</v>
      </c>
    </row>
    <row r="12" spans="1:6" x14ac:dyDescent="0.25">
      <c r="A12" s="1" t="s">
        <v>49</v>
      </c>
      <c r="C12" s="1" t="s">
        <v>50</v>
      </c>
    </row>
    <row r="13" spans="1:6" x14ac:dyDescent="0.25">
      <c r="A13" s="1" t="s">
        <v>51</v>
      </c>
      <c r="C13" s="1" t="s">
        <v>52</v>
      </c>
    </row>
    <row r="14" spans="1:6" x14ac:dyDescent="0.25">
      <c r="A14" s="1" t="s">
        <v>53</v>
      </c>
      <c r="C14" s="1" t="s">
        <v>54</v>
      </c>
    </row>
    <row r="15" spans="1:6" x14ac:dyDescent="0.25">
      <c r="A15" s="1" t="s">
        <v>55</v>
      </c>
      <c r="C15" s="1" t="s">
        <v>56</v>
      </c>
    </row>
    <row r="16" spans="1:6" x14ac:dyDescent="0.25">
      <c r="C16" s="1" t="s">
        <v>57</v>
      </c>
    </row>
    <row r="17" spans="1:3" x14ac:dyDescent="0.25">
      <c r="C17" s="1" t="s">
        <v>58</v>
      </c>
    </row>
    <row r="18" spans="1:3" x14ac:dyDescent="0.25">
      <c r="A18" s="6" t="s">
        <v>59</v>
      </c>
      <c r="C18" s="1" t="s">
        <v>60</v>
      </c>
    </row>
    <row r="19" spans="1:3" x14ac:dyDescent="0.25">
      <c r="C19" s="1" t="s">
        <v>61</v>
      </c>
    </row>
    <row r="20" spans="1:3" x14ac:dyDescent="0.25">
      <c r="C20" s="1" t="s">
        <v>62</v>
      </c>
    </row>
    <row r="21" spans="1:3" x14ac:dyDescent="0.25">
      <c r="C21" s="1" t="s">
        <v>63</v>
      </c>
    </row>
    <row r="22" spans="1:3" x14ac:dyDescent="0.25">
      <c r="C22" s="1" t="s">
        <v>64</v>
      </c>
    </row>
    <row r="23" spans="1:3" x14ac:dyDescent="0.25">
      <c r="C23" s="1" t="s">
        <v>65</v>
      </c>
    </row>
    <row r="24" spans="1:3" x14ac:dyDescent="0.25">
      <c r="C24" s="1" t="s">
        <v>66</v>
      </c>
    </row>
    <row r="25" spans="1:3" x14ac:dyDescent="0.25">
      <c r="C25" s="1" t="s">
        <v>67</v>
      </c>
    </row>
    <row r="26" spans="1:3" x14ac:dyDescent="0.25">
      <c r="C26" s="1" t="s">
        <v>68</v>
      </c>
    </row>
    <row r="27" spans="1:3" x14ac:dyDescent="0.25">
      <c r="C27" s="1" t="s">
        <v>69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>
      <pane ySplit="3" topLeftCell="A4" activePane="bottomLeft" state="frozen"/>
      <selection pane="bottomLeft" sqref="A1:M1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70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41</v>
      </c>
      <c r="B4" s="1" t="s">
        <v>76</v>
      </c>
      <c r="C4" s="1" t="s">
        <v>77</v>
      </c>
      <c r="D4" s="1" t="s">
        <v>66</v>
      </c>
      <c r="E4" s="1">
        <v>0</v>
      </c>
      <c r="F4" s="1">
        <v>0</v>
      </c>
      <c r="G4" s="1">
        <v>0</v>
      </c>
      <c r="H4" s="1">
        <v>0</v>
      </c>
      <c r="I4" s="1">
        <v>1</v>
      </c>
      <c r="J4" s="7">
        <v>16</v>
      </c>
      <c r="K4" s="1">
        <v>0</v>
      </c>
      <c r="L4" s="7">
        <v>0</v>
      </c>
      <c r="M4" s="1" t="s">
        <v>78</v>
      </c>
      <c r="P4" s="1" t="str">
        <f>Setup!$A$4</f>
        <v>Expert 01</v>
      </c>
      <c r="Q4" s="1">
        <f t="shared" ref="Q4:Q15" si="0">SUMIF($A$4:$A$43,$P4,E$4:E$43)</f>
        <v>0</v>
      </c>
      <c r="R4" s="1">
        <f t="shared" ref="R4:R15" si="1">SUMIF($A$4:$A$43,$P4,F$4:F$43)</f>
        <v>1</v>
      </c>
      <c r="S4" s="1">
        <f t="shared" ref="S4:S15" si="2">SUMIF($A$4:$A$43,$P4,G$4:G$43)</f>
        <v>0</v>
      </c>
      <c r="T4" s="1">
        <f t="shared" ref="T4:T15" si="3">SUMIF($A$4:$A$43,$P4,H$4:H$43)</f>
        <v>1</v>
      </c>
      <c r="U4" s="1">
        <f t="shared" ref="U4:U15" si="4">SUMIF($A$4:$A$43,$P4,I$4:I$43)</f>
        <v>0</v>
      </c>
      <c r="V4" s="7">
        <f t="shared" ref="V4:V15" si="5">SUMIF($A$4:$A$43,$P4,J$4:J$43)</f>
        <v>31</v>
      </c>
      <c r="W4" s="1">
        <f t="shared" ref="W4:W15" si="6">SUMIF($A$4:$A$43,$P4,K$4:K$43)</f>
        <v>3</v>
      </c>
      <c r="X4" s="7">
        <f t="shared" ref="X4:X15" si="7">SUMIF($A$4:$A$43,$P4,L$4:L$43)</f>
        <v>165.58</v>
      </c>
    </row>
    <row r="5" spans="1:24" x14ac:dyDescent="0.25">
      <c r="A5" s="1" t="s">
        <v>51</v>
      </c>
      <c r="B5" s="1" t="s">
        <v>79</v>
      </c>
      <c r="C5" s="1" t="s">
        <v>80</v>
      </c>
      <c r="D5" s="1" t="s">
        <v>57</v>
      </c>
      <c r="E5" s="1">
        <v>0</v>
      </c>
      <c r="F5" s="1">
        <v>0</v>
      </c>
      <c r="G5" s="1">
        <v>0</v>
      </c>
      <c r="H5" s="1">
        <v>1</v>
      </c>
      <c r="I5" s="1">
        <v>0</v>
      </c>
      <c r="J5" s="7">
        <v>24</v>
      </c>
      <c r="K5" s="1">
        <v>1</v>
      </c>
      <c r="L5" s="7">
        <v>177.42</v>
      </c>
      <c r="M5" s="1" t="s">
        <v>78</v>
      </c>
      <c r="P5" s="1" t="str">
        <f>Setup!$A$5</f>
        <v>Expert 02</v>
      </c>
      <c r="Q5" s="1">
        <f t="shared" si="0"/>
        <v>2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33</v>
      </c>
      <c r="W5" s="1">
        <f t="shared" si="6"/>
        <v>2</v>
      </c>
      <c r="X5" s="7">
        <f t="shared" si="7"/>
        <v>26.71</v>
      </c>
    </row>
    <row r="6" spans="1:24" x14ac:dyDescent="0.25">
      <c r="A6" s="1" t="s">
        <v>49</v>
      </c>
      <c r="B6" s="1" t="s">
        <v>81</v>
      </c>
      <c r="C6" s="1" t="s">
        <v>82</v>
      </c>
      <c r="D6" s="1" t="s">
        <v>69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0</v>
      </c>
      <c r="L6" s="7">
        <v>153.27000000000001</v>
      </c>
      <c r="M6" s="1" t="s">
        <v>83</v>
      </c>
      <c r="P6" s="1" t="str">
        <f>Setup!$A$6</f>
        <v>Expert 03</v>
      </c>
      <c r="Q6" s="1">
        <f t="shared" si="0"/>
        <v>3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57</v>
      </c>
      <c r="W6" s="1">
        <f t="shared" si="6"/>
        <v>2</v>
      </c>
      <c r="X6" s="7">
        <f t="shared" si="7"/>
        <v>301.10999999999996</v>
      </c>
    </row>
    <row r="7" spans="1:24" x14ac:dyDescent="0.25">
      <c r="A7" s="1" t="s">
        <v>47</v>
      </c>
      <c r="B7" s="1" t="s">
        <v>84</v>
      </c>
      <c r="C7" s="1" t="s">
        <v>85</v>
      </c>
      <c r="D7" s="1" t="s">
        <v>44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159.56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0</v>
      </c>
      <c r="S7" s="1">
        <f t="shared" si="2"/>
        <v>0</v>
      </c>
      <c r="T7" s="1">
        <f t="shared" si="3"/>
        <v>1</v>
      </c>
      <c r="U7" s="1">
        <f t="shared" si="4"/>
        <v>0</v>
      </c>
      <c r="V7" s="7">
        <f t="shared" si="5"/>
        <v>18</v>
      </c>
      <c r="W7" s="1">
        <f t="shared" si="6"/>
        <v>1</v>
      </c>
      <c r="X7" s="7">
        <f t="shared" si="7"/>
        <v>58.48</v>
      </c>
    </row>
    <row r="8" spans="1:24" x14ac:dyDescent="0.25">
      <c r="A8" s="1" t="s">
        <v>43</v>
      </c>
      <c r="B8" s="1" t="s">
        <v>86</v>
      </c>
      <c r="C8" s="1" t="s">
        <v>87</v>
      </c>
      <c r="D8" s="1" t="s">
        <v>54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7">
        <v>15</v>
      </c>
      <c r="K8" s="1">
        <v>1</v>
      </c>
      <c r="L8" s="7">
        <v>126.45</v>
      </c>
      <c r="M8" s="1" t="s">
        <v>78</v>
      </c>
      <c r="P8" s="1" t="str">
        <f>Setup!$A$8</f>
        <v>Expert 05</v>
      </c>
      <c r="Q8" s="1">
        <f t="shared" si="0"/>
        <v>0</v>
      </c>
      <c r="R8" s="1">
        <f t="shared" si="1"/>
        <v>1</v>
      </c>
      <c r="S8" s="1">
        <f t="shared" si="2"/>
        <v>0</v>
      </c>
      <c r="T8" s="1">
        <f t="shared" si="3"/>
        <v>0</v>
      </c>
      <c r="U8" s="1">
        <f t="shared" si="4"/>
        <v>1</v>
      </c>
      <c r="V8" s="7">
        <f t="shared" si="5"/>
        <v>40</v>
      </c>
      <c r="W8" s="1">
        <f t="shared" si="6"/>
        <v>1</v>
      </c>
      <c r="X8" s="7">
        <f t="shared" si="7"/>
        <v>13.06</v>
      </c>
    </row>
    <row r="9" spans="1:24" x14ac:dyDescent="0.25">
      <c r="A9" s="1" t="s">
        <v>47</v>
      </c>
      <c r="B9" s="1" t="s">
        <v>88</v>
      </c>
      <c r="C9" s="1" t="s">
        <v>89</v>
      </c>
      <c r="D9" s="1" t="s">
        <v>61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7">
        <v>18</v>
      </c>
      <c r="K9" s="1">
        <v>1</v>
      </c>
      <c r="L9" s="7">
        <v>91.79</v>
      </c>
      <c r="M9" s="1" t="s">
        <v>78</v>
      </c>
      <c r="P9" s="1" t="str">
        <f>Setup!$A$9</f>
        <v>Expert 06</v>
      </c>
      <c r="Q9" s="1">
        <f t="shared" si="0"/>
        <v>1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30</v>
      </c>
      <c r="W9" s="1">
        <f t="shared" si="6"/>
        <v>2</v>
      </c>
      <c r="X9" s="7">
        <f t="shared" si="7"/>
        <v>170.19</v>
      </c>
    </row>
    <row r="10" spans="1:24" x14ac:dyDescent="0.25">
      <c r="A10" s="1" t="s">
        <v>43</v>
      </c>
      <c r="B10" s="1" t="s">
        <v>90</v>
      </c>
      <c r="C10" s="1" t="s">
        <v>91</v>
      </c>
      <c r="D10" s="1" t="s">
        <v>58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15</v>
      </c>
      <c r="K10" s="1">
        <v>1</v>
      </c>
      <c r="L10" s="7">
        <v>43.74</v>
      </c>
      <c r="M10" s="1" t="s">
        <v>78</v>
      </c>
      <c r="P10" s="1" t="str">
        <f>Setup!$A$10</f>
        <v>Expert 07</v>
      </c>
      <c r="Q10" s="1">
        <f t="shared" si="0"/>
        <v>2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15</v>
      </c>
      <c r="W10" s="1">
        <f t="shared" si="6"/>
        <v>2</v>
      </c>
      <c r="X10" s="7">
        <f t="shared" si="7"/>
        <v>0</v>
      </c>
    </row>
    <row r="11" spans="1:24" x14ac:dyDescent="0.25">
      <c r="A11" s="1" t="s">
        <v>53</v>
      </c>
      <c r="B11" s="1" t="s">
        <v>92</v>
      </c>
      <c r="C11" s="1" t="s">
        <v>93</v>
      </c>
      <c r="D11" s="1" t="s">
        <v>68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24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2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36</v>
      </c>
      <c r="W11" s="1">
        <f t="shared" si="6"/>
        <v>3</v>
      </c>
      <c r="X11" s="7">
        <f t="shared" si="7"/>
        <v>336.76</v>
      </c>
    </row>
    <row r="12" spans="1:24" x14ac:dyDescent="0.25">
      <c r="A12" s="1" t="s">
        <v>55</v>
      </c>
      <c r="B12" s="1" t="s">
        <v>94</v>
      </c>
      <c r="C12" s="1" t="s">
        <v>95</v>
      </c>
      <c r="D12" s="1" t="s">
        <v>56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16</v>
      </c>
      <c r="K12" s="1">
        <v>1</v>
      </c>
      <c r="L12" s="7">
        <v>9.31</v>
      </c>
      <c r="M12" s="1" t="s">
        <v>78</v>
      </c>
      <c r="P12" s="1" t="str">
        <f>Setup!$A$12</f>
        <v>Expert 09</v>
      </c>
      <c r="Q12" s="1">
        <f t="shared" si="0"/>
        <v>0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0</v>
      </c>
      <c r="X12" s="7">
        <f t="shared" si="7"/>
        <v>153.27000000000001</v>
      </c>
    </row>
    <row r="13" spans="1:24" x14ac:dyDescent="0.25">
      <c r="A13" s="1" t="s">
        <v>37</v>
      </c>
      <c r="B13" s="1" t="s">
        <v>90</v>
      </c>
      <c r="C13" s="1" t="s">
        <v>96</v>
      </c>
      <c r="D13" s="1" t="s">
        <v>67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33</v>
      </c>
      <c r="K13" s="1">
        <v>0</v>
      </c>
      <c r="L13" s="7">
        <v>128.37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0</v>
      </c>
      <c r="T13" s="1">
        <f t="shared" si="3"/>
        <v>1</v>
      </c>
      <c r="U13" s="1">
        <f t="shared" si="4"/>
        <v>0</v>
      </c>
      <c r="V13" s="7">
        <f t="shared" si="5"/>
        <v>24</v>
      </c>
      <c r="W13" s="1">
        <f t="shared" si="6"/>
        <v>2</v>
      </c>
      <c r="X13" s="7">
        <f t="shared" si="7"/>
        <v>177.42</v>
      </c>
    </row>
    <row r="14" spans="1:24" x14ac:dyDescent="0.25">
      <c r="A14" s="1" t="s">
        <v>53</v>
      </c>
      <c r="B14" s="1" t="s">
        <v>97</v>
      </c>
      <c r="C14" s="1" t="s">
        <v>98</v>
      </c>
      <c r="D14" s="1" t="s">
        <v>34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16</v>
      </c>
      <c r="K14" s="1">
        <v>1</v>
      </c>
      <c r="L14" s="7">
        <v>38.33</v>
      </c>
      <c r="M14" s="1" t="s">
        <v>78</v>
      </c>
      <c r="P14" s="1" t="str">
        <f>Setup!$A$14</f>
        <v>Expert 11</v>
      </c>
      <c r="Q14" s="1">
        <f t="shared" si="0"/>
        <v>2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55</v>
      </c>
      <c r="W14" s="1">
        <f t="shared" si="6"/>
        <v>3</v>
      </c>
      <c r="X14" s="7">
        <f t="shared" si="7"/>
        <v>140.99</v>
      </c>
    </row>
    <row r="15" spans="1:24" x14ac:dyDescent="0.25">
      <c r="A15" s="1" t="s">
        <v>35</v>
      </c>
      <c r="B15" s="1" t="s">
        <v>99</v>
      </c>
      <c r="C15" s="1" t="s">
        <v>100</v>
      </c>
      <c r="D15" s="1" t="s">
        <v>40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18</v>
      </c>
      <c r="K15" s="1">
        <v>1</v>
      </c>
      <c r="L15" s="7">
        <v>26.71</v>
      </c>
      <c r="M15" s="1" t="s">
        <v>78</v>
      </c>
      <c r="P15" s="1" t="str">
        <f>Setup!$A$15</f>
        <v>Expert 12</v>
      </c>
      <c r="Q15" s="1">
        <f t="shared" si="0"/>
        <v>3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16</v>
      </c>
      <c r="W15" s="1">
        <f t="shared" si="6"/>
        <v>2</v>
      </c>
      <c r="X15" s="7">
        <f t="shared" si="7"/>
        <v>9.31</v>
      </c>
    </row>
    <row r="16" spans="1:24" x14ac:dyDescent="0.25">
      <c r="A16" s="1" t="s">
        <v>33</v>
      </c>
      <c r="B16" s="1" t="s">
        <v>101</v>
      </c>
      <c r="C16" s="1" t="s">
        <v>102</v>
      </c>
      <c r="D16" s="1" t="s">
        <v>62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165.58</v>
      </c>
      <c r="M16" s="1" t="s">
        <v>83</v>
      </c>
      <c r="P16" s="8" t="s">
        <v>103</v>
      </c>
      <c r="Q16" s="9">
        <f t="shared" ref="Q16:X16" si="8">SUM(Q4:Q15)</f>
        <v>17</v>
      </c>
      <c r="R16" s="9">
        <f t="shared" si="8"/>
        <v>2</v>
      </c>
      <c r="S16" s="9">
        <f t="shared" si="8"/>
        <v>0</v>
      </c>
      <c r="T16" s="9">
        <f t="shared" si="8"/>
        <v>3</v>
      </c>
      <c r="U16" s="9">
        <f t="shared" si="8"/>
        <v>1</v>
      </c>
      <c r="V16" s="10">
        <f t="shared" si="8"/>
        <v>355</v>
      </c>
      <c r="W16" s="9">
        <f t="shared" si="8"/>
        <v>23</v>
      </c>
      <c r="X16" s="10">
        <f t="shared" si="8"/>
        <v>1552.8799999999999</v>
      </c>
    </row>
    <row r="17" spans="1:13" x14ac:dyDescent="0.25">
      <c r="A17" s="1" t="s">
        <v>33</v>
      </c>
      <c r="B17" s="1" t="s">
        <v>104</v>
      </c>
      <c r="C17" s="1" t="s">
        <v>105</v>
      </c>
      <c r="D17" s="1" t="s">
        <v>52</v>
      </c>
      <c r="E17" s="1">
        <v>0</v>
      </c>
      <c r="F17" s="1">
        <v>1</v>
      </c>
      <c r="G17" s="1">
        <v>0</v>
      </c>
      <c r="H17" s="1">
        <v>1</v>
      </c>
      <c r="I17" s="1">
        <v>0</v>
      </c>
      <c r="J17" s="7">
        <v>16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53</v>
      </c>
      <c r="B18" s="1" t="s">
        <v>106</v>
      </c>
      <c r="C18" s="1" t="s">
        <v>107</v>
      </c>
      <c r="D18" s="1" t="s">
        <v>52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7">
        <v>15</v>
      </c>
      <c r="K18" s="1">
        <v>1</v>
      </c>
      <c r="L18" s="7">
        <v>102.66</v>
      </c>
      <c r="M18" s="1" t="s">
        <v>78</v>
      </c>
    </row>
    <row r="19" spans="1:13" x14ac:dyDescent="0.25">
      <c r="A19" s="1" t="s">
        <v>37</v>
      </c>
      <c r="B19" s="1" t="s">
        <v>108</v>
      </c>
      <c r="C19" s="1" t="s">
        <v>109</v>
      </c>
      <c r="D19" s="1" t="s">
        <v>54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160.78</v>
      </c>
      <c r="M19" s="1" t="s">
        <v>78</v>
      </c>
    </row>
    <row r="20" spans="1:13" x14ac:dyDescent="0.25">
      <c r="A20" s="1" t="s">
        <v>55</v>
      </c>
      <c r="B20" s="1" t="s">
        <v>110</v>
      </c>
      <c r="C20" s="1" t="s">
        <v>111</v>
      </c>
      <c r="D20" s="1" t="s">
        <v>67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0</v>
      </c>
      <c r="K20" s="1">
        <v>0</v>
      </c>
      <c r="L20" s="7">
        <v>0</v>
      </c>
      <c r="M20" s="1" t="s">
        <v>78</v>
      </c>
    </row>
    <row r="21" spans="1:13" x14ac:dyDescent="0.25">
      <c r="A21" s="1" t="s">
        <v>51</v>
      </c>
      <c r="B21" s="1" t="s">
        <v>112</v>
      </c>
      <c r="C21" s="1" t="s">
        <v>113</v>
      </c>
      <c r="D21" s="1" t="s">
        <v>57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39</v>
      </c>
      <c r="B22" s="1" t="s">
        <v>114</v>
      </c>
      <c r="C22" s="1" t="s">
        <v>115</v>
      </c>
      <c r="D22" s="1" t="s">
        <v>44</v>
      </c>
      <c r="E22" s="1">
        <v>1</v>
      </c>
      <c r="F22" s="1">
        <v>0</v>
      </c>
      <c r="G22" s="1">
        <v>0</v>
      </c>
      <c r="H22" s="1">
        <v>1</v>
      </c>
      <c r="I22" s="1">
        <v>0</v>
      </c>
      <c r="J22" s="7">
        <v>18</v>
      </c>
      <c r="K22" s="1">
        <v>1</v>
      </c>
      <c r="L22" s="7">
        <v>58.48</v>
      </c>
      <c r="M22" s="1" t="s">
        <v>78</v>
      </c>
    </row>
    <row r="23" spans="1:13" x14ac:dyDescent="0.25">
      <c r="A23" s="1" t="s">
        <v>41</v>
      </c>
      <c r="B23" s="1" t="s">
        <v>116</v>
      </c>
      <c r="C23" s="1" t="s">
        <v>117</v>
      </c>
      <c r="D23" s="1" t="s">
        <v>68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7">
        <v>24</v>
      </c>
      <c r="K23" s="1">
        <v>1</v>
      </c>
      <c r="L23" s="7">
        <v>13.06</v>
      </c>
      <c r="M23" s="1" t="s">
        <v>78</v>
      </c>
    </row>
    <row r="24" spans="1:13" x14ac:dyDescent="0.25">
      <c r="A24" s="1" t="s">
        <v>45</v>
      </c>
      <c r="B24" s="1" t="s">
        <v>118</v>
      </c>
      <c r="C24" s="1" t="s">
        <v>119</v>
      </c>
      <c r="D24" s="1" t="s">
        <v>36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0</v>
      </c>
      <c r="M24" s="1" t="s">
        <v>78</v>
      </c>
    </row>
    <row r="25" spans="1:13" x14ac:dyDescent="0.25">
      <c r="A25" s="1" t="s">
        <v>47</v>
      </c>
      <c r="B25" s="1" t="s">
        <v>120</v>
      </c>
      <c r="C25" s="1" t="s">
        <v>121</v>
      </c>
      <c r="D25" s="1" t="s">
        <v>64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18</v>
      </c>
      <c r="K25" s="1">
        <v>1</v>
      </c>
      <c r="L25" s="7">
        <v>85.41</v>
      </c>
      <c r="M25" s="1" t="s">
        <v>78</v>
      </c>
    </row>
    <row r="26" spans="1:13" x14ac:dyDescent="0.25">
      <c r="A26" s="1" t="s">
        <v>55</v>
      </c>
      <c r="B26" s="1" t="s">
        <v>122</v>
      </c>
      <c r="C26" s="1" t="s">
        <v>123</v>
      </c>
      <c r="D26" s="1" t="s">
        <v>34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0</v>
      </c>
      <c r="M26" s="1" t="s">
        <v>78</v>
      </c>
    </row>
    <row r="27" spans="1:13" x14ac:dyDescent="0.25">
      <c r="A27" s="1" t="s">
        <v>37</v>
      </c>
      <c r="B27" s="1" t="s">
        <v>124</v>
      </c>
      <c r="C27" s="1" t="s">
        <v>125</v>
      </c>
      <c r="D27" s="1" t="s">
        <v>36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7">
        <v>24</v>
      </c>
      <c r="K27" s="1">
        <v>1</v>
      </c>
      <c r="L27" s="7">
        <v>11.96</v>
      </c>
      <c r="M27" s="1" t="s">
        <v>78</v>
      </c>
    </row>
    <row r="28" spans="1:13" x14ac:dyDescent="0.25">
      <c r="A28" s="1" t="s">
        <v>35</v>
      </c>
      <c r="B28" s="1" t="s">
        <v>126</v>
      </c>
      <c r="C28" s="1" t="s">
        <v>127</v>
      </c>
      <c r="D28" s="1" t="s">
        <v>61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15</v>
      </c>
      <c r="K28" s="1">
        <v>1</v>
      </c>
      <c r="L28" s="7">
        <v>0</v>
      </c>
      <c r="M28" s="1" t="s">
        <v>78</v>
      </c>
    </row>
    <row r="29" spans="1:13" x14ac:dyDescent="0.25">
      <c r="A29" s="1" t="s">
        <v>33</v>
      </c>
      <c r="B29" s="1" t="s">
        <v>128</v>
      </c>
      <c r="C29" s="1" t="s">
        <v>129</v>
      </c>
      <c r="D29" s="1" t="s">
        <v>56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7">
        <v>15</v>
      </c>
      <c r="K29" s="1">
        <v>1</v>
      </c>
      <c r="L29" s="7">
        <v>0</v>
      </c>
      <c r="M29" s="1" t="s">
        <v>78</v>
      </c>
    </row>
    <row r="30" spans="1:13" x14ac:dyDescent="0.25">
      <c r="A30" s="1" t="s">
        <v>45</v>
      </c>
      <c r="B30" s="1" t="s">
        <v>130</v>
      </c>
      <c r="C30" s="1" t="s">
        <v>131</v>
      </c>
      <c r="D30" s="1" t="s">
        <v>68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7">
        <v>15</v>
      </c>
      <c r="K30" s="1">
        <v>1</v>
      </c>
      <c r="L30" s="7">
        <v>0</v>
      </c>
      <c r="M30" s="1" t="s">
        <v>78</v>
      </c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132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49</v>
      </c>
      <c r="B4" s="1" t="s">
        <v>133</v>
      </c>
      <c r="C4" s="1" t="s">
        <v>134</v>
      </c>
      <c r="D4" s="1" t="s">
        <v>60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7">
        <v>0</v>
      </c>
      <c r="K4" s="1">
        <v>1</v>
      </c>
      <c r="L4" s="7">
        <v>0</v>
      </c>
      <c r="M4" s="1" t="s">
        <v>78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18</v>
      </c>
      <c r="W4" s="1">
        <f t="shared" ref="W4:W15" si="6">SUMIF($A$4:$A$43,$P4,K$4:K$43)</f>
        <v>3</v>
      </c>
      <c r="X4" s="7">
        <f t="shared" ref="X4:X15" si="7">SUMIF($A$4:$A$43,$P4,L$4:L$43)</f>
        <v>99.5</v>
      </c>
    </row>
    <row r="5" spans="1:24" x14ac:dyDescent="0.25">
      <c r="A5" s="1" t="s">
        <v>33</v>
      </c>
      <c r="B5" s="1" t="s">
        <v>135</v>
      </c>
      <c r="C5" s="1" t="s">
        <v>136</v>
      </c>
      <c r="D5" s="1" t="s">
        <v>52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2</v>
      </c>
      <c r="R5" s="1">
        <f t="shared" si="1"/>
        <v>0</v>
      </c>
      <c r="S5" s="1">
        <f t="shared" si="2"/>
        <v>1</v>
      </c>
      <c r="T5" s="1">
        <f t="shared" si="3"/>
        <v>1</v>
      </c>
      <c r="U5" s="1">
        <f t="shared" si="4"/>
        <v>0</v>
      </c>
      <c r="V5" s="7">
        <f t="shared" si="5"/>
        <v>33</v>
      </c>
      <c r="W5" s="1">
        <f t="shared" si="6"/>
        <v>2</v>
      </c>
      <c r="X5" s="7">
        <f t="shared" si="7"/>
        <v>113.09</v>
      </c>
    </row>
    <row r="6" spans="1:24" x14ac:dyDescent="0.25">
      <c r="A6" s="1" t="s">
        <v>55</v>
      </c>
      <c r="B6" s="1" t="s">
        <v>137</v>
      </c>
      <c r="C6" s="1" t="s">
        <v>138</v>
      </c>
      <c r="D6" s="1" t="s">
        <v>46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18</v>
      </c>
      <c r="K6" s="1">
        <v>1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0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0</v>
      </c>
      <c r="X6" s="7">
        <f t="shared" si="7"/>
        <v>0</v>
      </c>
    </row>
    <row r="7" spans="1:24" x14ac:dyDescent="0.25">
      <c r="A7" s="1" t="s">
        <v>45</v>
      </c>
      <c r="B7" s="1" t="s">
        <v>139</v>
      </c>
      <c r="C7" s="1" t="s">
        <v>140</v>
      </c>
      <c r="D7" s="1" t="s">
        <v>34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10.01</v>
      </c>
      <c r="M7" s="1" t="s">
        <v>78</v>
      </c>
      <c r="P7" s="1" t="str">
        <f>Setup!$A$7</f>
        <v>Expert 04</v>
      </c>
      <c r="Q7" s="1">
        <f t="shared" si="0"/>
        <v>0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0</v>
      </c>
      <c r="X7" s="7">
        <f t="shared" si="7"/>
        <v>0</v>
      </c>
    </row>
    <row r="8" spans="1:24" x14ac:dyDescent="0.25">
      <c r="A8" s="1" t="s">
        <v>41</v>
      </c>
      <c r="B8" s="1" t="s">
        <v>141</v>
      </c>
      <c r="C8" s="1" t="s">
        <v>142</v>
      </c>
      <c r="D8" s="1" t="s">
        <v>50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24</v>
      </c>
      <c r="K8" s="1">
        <v>1</v>
      </c>
      <c r="L8" s="7">
        <v>115.27</v>
      </c>
      <c r="M8" s="1" t="s">
        <v>78</v>
      </c>
      <c r="P8" s="1" t="str">
        <f>Setup!$A$8</f>
        <v>Expert 05</v>
      </c>
      <c r="Q8" s="1">
        <f t="shared" si="0"/>
        <v>2</v>
      </c>
      <c r="R8" s="1">
        <f t="shared" si="1"/>
        <v>3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57</v>
      </c>
      <c r="W8" s="1">
        <f t="shared" si="6"/>
        <v>5</v>
      </c>
      <c r="X8" s="7">
        <f t="shared" si="7"/>
        <v>381.37</v>
      </c>
    </row>
    <row r="9" spans="1:24" x14ac:dyDescent="0.25">
      <c r="A9" s="1" t="s">
        <v>33</v>
      </c>
      <c r="B9" s="1" t="s">
        <v>143</v>
      </c>
      <c r="C9" s="1" t="s">
        <v>144</v>
      </c>
      <c r="D9" s="1" t="s">
        <v>38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18</v>
      </c>
      <c r="K9" s="1">
        <v>1</v>
      </c>
      <c r="L9" s="7">
        <v>99.5</v>
      </c>
      <c r="M9" s="1" t="s">
        <v>78</v>
      </c>
      <c r="P9" s="1" t="str">
        <f>Setup!$A$9</f>
        <v>Expert 06</v>
      </c>
      <c r="Q9" s="1">
        <f t="shared" si="0"/>
        <v>0</v>
      </c>
      <c r="R9" s="1">
        <f t="shared" si="1"/>
        <v>1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15</v>
      </c>
      <c r="W9" s="1">
        <f t="shared" si="6"/>
        <v>1</v>
      </c>
      <c r="X9" s="7">
        <f t="shared" si="7"/>
        <v>167.85</v>
      </c>
    </row>
    <row r="10" spans="1:24" x14ac:dyDescent="0.25">
      <c r="A10" s="1" t="s">
        <v>53</v>
      </c>
      <c r="B10" s="1" t="s">
        <v>145</v>
      </c>
      <c r="C10" s="1" t="s">
        <v>146</v>
      </c>
      <c r="D10" s="1" t="s">
        <v>68</v>
      </c>
      <c r="E10" s="1">
        <v>0</v>
      </c>
      <c r="F10" s="1">
        <v>1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9.89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0</v>
      </c>
      <c r="W10" s="1">
        <f t="shared" si="6"/>
        <v>1</v>
      </c>
      <c r="X10" s="7">
        <f t="shared" si="7"/>
        <v>10.01</v>
      </c>
    </row>
    <row r="11" spans="1:24" x14ac:dyDescent="0.25">
      <c r="A11" s="1" t="s">
        <v>41</v>
      </c>
      <c r="B11" s="1" t="s">
        <v>147</v>
      </c>
      <c r="C11" s="1" t="s">
        <v>148</v>
      </c>
      <c r="D11" s="1" t="s">
        <v>34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1</v>
      </c>
      <c r="L11" s="7">
        <v>96.5</v>
      </c>
      <c r="M11" s="1" t="s">
        <v>78</v>
      </c>
      <c r="P11" s="1" t="str">
        <f>Setup!$A$11</f>
        <v>Expert 08</v>
      </c>
      <c r="Q11" s="1">
        <f t="shared" si="0"/>
        <v>0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16</v>
      </c>
      <c r="W11" s="1">
        <f t="shared" si="6"/>
        <v>0</v>
      </c>
      <c r="X11" s="7">
        <f t="shared" si="7"/>
        <v>0</v>
      </c>
    </row>
    <row r="12" spans="1:24" x14ac:dyDescent="0.25">
      <c r="A12" s="1" t="s">
        <v>41</v>
      </c>
      <c r="B12" s="1" t="s">
        <v>149</v>
      </c>
      <c r="C12" s="1" t="s">
        <v>150</v>
      </c>
      <c r="D12" s="1" t="s">
        <v>60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81.93</v>
      </c>
      <c r="M12" s="1" t="s">
        <v>78</v>
      </c>
      <c r="P12" s="1" t="str">
        <f>Setup!$A$12</f>
        <v>Expert 09</v>
      </c>
      <c r="Q12" s="1">
        <f t="shared" si="0"/>
        <v>0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1</v>
      </c>
      <c r="X12" s="7">
        <f t="shared" si="7"/>
        <v>0</v>
      </c>
    </row>
    <row r="13" spans="1:24" x14ac:dyDescent="0.25">
      <c r="A13" s="1" t="s">
        <v>47</v>
      </c>
      <c r="B13" s="1" t="s">
        <v>151</v>
      </c>
      <c r="C13" s="1" t="s">
        <v>152</v>
      </c>
      <c r="D13" s="1" t="s">
        <v>69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7">
        <v>16</v>
      </c>
      <c r="K13" s="1">
        <v>0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4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30</v>
      </c>
      <c r="W13" s="1">
        <f t="shared" si="6"/>
        <v>4</v>
      </c>
      <c r="X13" s="7">
        <f t="shared" si="7"/>
        <v>90.74</v>
      </c>
    </row>
    <row r="14" spans="1:24" x14ac:dyDescent="0.25">
      <c r="A14" s="1" t="s">
        <v>51</v>
      </c>
      <c r="B14" s="1" t="s">
        <v>153</v>
      </c>
      <c r="C14" s="1" t="s">
        <v>154</v>
      </c>
      <c r="D14" s="1" t="s">
        <v>68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1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0</v>
      </c>
      <c r="W14" s="1">
        <f t="shared" si="6"/>
        <v>1</v>
      </c>
      <c r="X14" s="7">
        <f t="shared" si="7"/>
        <v>9.89</v>
      </c>
    </row>
    <row r="15" spans="1:24" x14ac:dyDescent="0.25">
      <c r="A15" s="1" t="s">
        <v>43</v>
      </c>
      <c r="B15" s="1" t="s">
        <v>155</v>
      </c>
      <c r="C15" s="1" t="s">
        <v>156</v>
      </c>
      <c r="D15" s="1" t="s">
        <v>52</v>
      </c>
      <c r="E15" s="1">
        <v>0</v>
      </c>
      <c r="F15" s="1">
        <v>1</v>
      </c>
      <c r="G15" s="1">
        <v>0</v>
      </c>
      <c r="H15" s="1">
        <v>0</v>
      </c>
      <c r="I15" s="1">
        <v>0</v>
      </c>
      <c r="J15" s="7">
        <v>15</v>
      </c>
      <c r="K15" s="1">
        <v>1</v>
      </c>
      <c r="L15" s="7">
        <v>167.85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18</v>
      </c>
      <c r="W15" s="1">
        <f t="shared" si="6"/>
        <v>1</v>
      </c>
      <c r="X15" s="7">
        <f t="shared" si="7"/>
        <v>0</v>
      </c>
    </row>
    <row r="16" spans="1:24" x14ac:dyDescent="0.25">
      <c r="A16" s="1" t="s">
        <v>41</v>
      </c>
      <c r="B16" s="1" t="s">
        <v>157</v>
      </c>
      <c r="C16" s="1" t="s">
        <v>158</v>
      </c>
      <c r="D16" s="1" t="s">
        <v>58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7">
        <v>33</v>
      </c>
      <c r="K16" s="1">
        <v>1</v>
      </c>
      <c r="L16" s="7">
        <v>87.67</v>
      </c>
      <c r="M16" s="1" t="s">
        <v>78</v>
      </c>
      <c r="P16" s="8" t="s">
        <v>103</v>
      </c>
      <c r="Q16" s="9">
        <f t="shared" ref="Q16:X16" si="8">SUM(Q4:Q15)</f>
        <v>12</v>
      </c>
      <c r="R16" s="9">
        <f t="shared" si="8"/>
        <v>5</v>
      </c>
      <c r="S16" s="9">
        <f t="shared" si="8"/>
        <v>1</v>
      </c>
      <c r="T16" s="9">
        <f t="shared" si="8"/>
        <v>1</v>
      </c>
      <c r="U16" s="9">
        <f t="shared" si="8"/>
        <v>0</v>
      </c>
      <c r="V16" s="10">
        <f t="shared" si="8"/>
        <v>187</v>
      </c>
      <c r="W16" s="9">
        <f t="shared" si="8"/>
        <v>19</v>
      </c>
      <c r="X16" s="10">
        <f t="shared" si="8"/>
        <v>872.45</v>
      </c>
    </row>
    <row r="17" spans="1:13" x14ac:dyDescent="0.25">
      <c r="A17" s="1" t="s">
        <v>35</v>
      </c>
      <c r="B17" s="1" t="s">
        <v>159</v>
      </c>
      <c r="C17" s="1" t="s">
        <v>160</v>
      </c>
      <c r="D17" s="1" t="s">
        <v>58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7">
        <v>0</v>
      </c>
      <c r="K17" s="1">
        <v>1</v>
      </c>
      <c r="L17" s="7">
        <v>113.09</v>
      </c>
      <c r="M17" s="1" t="s">
        <v>78</v>
      </c>
    </row>
    <row r="18" spans="1:13" x14ac:dyDescent="0.25">
      <c r="A18" s="1" t="s">
        <v>41</v>
      </c>
      <c r="B18" s="1" t="s">
        <v>161</v>
      </c>
      <c r="C18" s="1" t="s">
        <v>162</v>
      </c>
      <c r="D18" s="1" t="s">
        <v>60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51</v>
      </c>
      <c r="B19" s="1" t="s">
        <v>163</v>
      </c>
      <c r="C19" s="1" t="s">
        <v>164</v>
      </c>
      <c r="D19" s="1" t="s">
        <v>52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15</v>
      </c>
      <c r="K19" s="1">
        <v>1</v>
      </c>
      <c r="L19" s="7">
        <v>90.74</v>
      </c>
      <c r="M19" s="1" t="s">
        <v>78</v>
      </c>
    </row>
    <row r="20" spans="1:13" x14ac:dyDescent="0.25">
      <c r="A20" s="1" t="s">
        <v>33</v>
      </c>
      <c r="B20" s="1" t="s">
        <v>165</v>
      </c>
      <c r="C20" s="1" t="s">
        <v>166</v>
      </c>
      <c r="D20" s="1" t="s">
        <v>38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7">
        <v>0</v>
      </c>
      <c r="K20" s="1">
        <v>1</v>
      </c>
      <c r="L20" s="7">
        <v>0</v>
      </c>
      <c r="M20" s="1" t="s">
        <v>83</v>
      </c>
    </row>
    <row r="21" spans="1:13" x14ac:dyDescent="0.25">
      <c r="A21" s="1" t="s">
        <v>51</v>
      </c>
      <c r="B21" s="1" t="s">
        <v>167</v>
      </c>
      <c r="C21" s="1" t="s">
        <v>168</v>
      </c>
      <c r="D21" s="1" t="s">
        <v>46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51</v>
      </c>
      <c r="B22" s="1" t="s">
        <v>169</v>
      </c>
      <c r="C22" s="1" t="s">
        <v>170</v>
      </c>
      <c r="D22" s="1" t="s">
        <v>50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15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35</v>
      </c>
      <c r="B23" s="1" t="s">
        <v>171</v>
      </c>
      <c r="C23" s="1" t="s">
        <v>172</v>
      </c>
      <c r="D23" s="1" t="s">
        <v>56</v>
      </c>
      <c r="E23" s="1">
        <v>1</v>
      </c>
      <c r="F23" s="1">
        <v>0</v>
      </c>
      <c r="G23" s="1">
        <v>0</v>
      </c>
      <c r="H23" s="1">
        <v>1</v>
      </c>
      <c r="I23" s="1">
        <v>0</v>
      </c>
      <c r="J23" s="7">
        <v>33</v>
      </c>
      <c r="K23" s="1">
        <v>1</v>
      </c>
      <c r="L23" s="7">
        <v>0</v>
      </c>
      <c r="M23" s="1" t="s">
        <v>78</v>
      </c>
    </row>
    <row r="24" spans="1:13" x14ac:dyDescent="0.25">
      <c r="A24" s="1"/>
      <c r="B24" s="1"/>
      <c r="C24" s="1"/>
      <c r="D24" s="1"/>
      <c r="E24" s="1"/>
      <c r="F24" s="1"/>
      <c r="G24" s="1"/>
      <c r="H24" s="1"/>
      <c r="I24" s="1"/>
      <c r="J24" s="7"/>
      <c r="K24" s="1"/>
      <c r="L24" s="7"/>
      <c r="M24" s="1"/>
    </row>
    <row r="25" spans="1:13" x14ac:dyDescent="0.25">
      <c r="A25" s="1"/>
      <c r="B25" s="1"/>
      <c r="C25" s="1"/>
      <c r="D25" s="1"/>
      <c r="E25" s="1"/>
      <c r="F25" s="1"/>
      <c r="G25" s="1"/>
      <c r="H25" s="1"/>
      <c r="I25" s="1"/>
      <c r="J25" s="7"/>
      <c r="K25" s="1"/>
      <c r="L25" s="7"/>
      <c r="M25" s="1"/>
    </row>
    <row r="26" spans="1:13" x14ac:dyDescent="0.25">
      <c r="A26" s="1"/>
      <c r="B26" s="1"/>
      <c r="C26" s="1"/>
      <c r="D26" s="1"/>
      <c r="E26" s="1"/>
      <c r="F26" s="1"/>
      <c r="G26" s="1"/>
      <c r="H26" s="1"/>
      <c r="I26" s="1"/>
      <c r="J26" s="7"/>
      <c r="K26" s="1"/>
      <c r="L26" s="7"/>
      <c r="M26" s="1"/>
    </row>
    <row r="27" spans="1:13" x14ac:dyDescent="0.25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  <c r="L27" s="7"/>
      <c r="M27" s="1"/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173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35</v>
      </c>
      <c r="B4" s="1" t="s">
        <v>174</v>
      </c>
      <c r="C4" s="1" t="s">
        <v>175</v>
      </c>
      <c r="D4" s="1" t="s">
        <v>58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0</v>
      </c>
      <c r="K4" s="1">
        <v>1</v>
      </c>
      <c r="L4" s="7">
        <v>171.04</v>
      </c>
      <c r="M4" s="1" t="s">
        <v>78</v>
      </c>
      <c r="P4" s="1" t="str">
        <f>Setup!$A$4</f>
        <v>Expert 01</v>
      </c>
      <c r="Q4" s="1">
        <f t="shared" ref="Q4:Q15" si="0">SUMIF($A$4:$A$43,$P4,E$4:E$43)</f>
        <v>1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0</v>
      </c>
      <c r="X4" s="7">
        <f t="shared" ref="X4:X15" si="7">SUMIF($A$4:$A$43,$P4,L$4:L$43)</f>
        <v>6.1</v>
      </c>
    </row>
    <row r="5" spans="1:24" x14ac:dyDescent="0.25">
      <c r="A5" s="1" t="s">
        <v>55</v>
      </c>
      <c r="B5" s="1" t="s">
        <v>176</v>
      </c>
      <c r="C5" s="1" t="s">
        <v>177</v>
      </c>
      <c r="D5" s="1" t="s">
        <v>48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3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0</v>
      </c>
      <c r="W5" s="1">
        <f t="shared" si="6"/>
        <v>4</v>
      </c>
      <c r="X5" s="7">
        <f t="shared" si="7"/>
        <v>264.57</v>
      </c>
    </row>
    <row r="6" spans="1:24" x14ac:dyDescent="0.25">
      <c r="A6" s="1" t="s">
        <v>51</v>
      </c>
      <c r="B6" s="1" t="s">
        <v>178</v>
      </c>
      <c r="C6" s="1" t="s">
        <v>179</v>
      </c>
      <c r="D6" s="1" t="s">
        <v>44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1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1</v>
      </c>
      <c r="X6" s="7">
        <f t="shared" si="7"/>
        <v>55.74</v>
      </c>
    </row>
    <row r="7" spans="1:24" x14ac:dyDescent="0.25">
      <c r="A7" s="1" t="s">
        <v>37</v>
      </c>
      <c r="B7" s="1" t="s">
        <v>180</v>
      </c>
      <c r="C7" s="1" t="s">
        <v>181</v>
      </c>
      <c r="D7" s="1" t="s">
        <v>56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55.74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1</v>
      </c>
      <c r="X7" s="7">
        <f t="shared" si="7"/>
        <v>0</v>
      </c>
    </row>
    <row r="8" spans="1:24" x14ac:dyDescent="0.25">
      <c r="A8" s="1" t="s">
        <v>43</v>
      </c>
      <c r="B8" s="1" t="s">
        <v>182</v>
      </c>
      <c r="C8" s="1" t="s">
        <v>183</v>
      </c>
      <c r="D8" s="1" t="s">
        <v>66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7">
        <v>33</v>
      </c>
      <c r="K8" s="1">
        <v>0</v>
      </c>
      <c r="L8" s="7">
        <v>117.44</v>
      </c>
      <c r="M8" s="1" t="s">
        <v>78</v>
      </c>
      <c r="P8" s="1" t="str">
        <f>Setup!$A$8</f>
        <v>Expert 05</v>
      </c>
      <c r="Q8" s="1">
        <f t="shared" si="0"/>
        <v>0</v>
      </c>
      <c r="R8" s="1">
        <f t="shared" si="1"/>
        <v>1</v>
      </c>
      <c r="S8" s="1">
        <f t="shared" si="2"/>
        <v>0</v>
      </c>
      <c r="T8" s="1">
        <f t="shared" si="3"/>
        <v>0</v>
      </c>
      <c r="U8" s="1">
        <f t="shared" si="4"/>
        <v>1</v>
      </c>
      <c r="V8" s="7">
        <f t="shared" si="5"/>
        <v>0</v>
      </c>
      <c r="W8" s="1">
        <f t="shared" si="6"/>
        <v>0</v>
      </c>
      <c r="X8" s="7">
        <f t="shared" si="7"/>
        <v>167.51</v>
      </c>
    </row>
    <row r="9" spans="1:24" x14ac:dyDescent="0.25">
      <c r="A9" s="1" t="s">
        <v>49</v>
      </c>
      <c r="B9" s="1" t="s">
        <v>184</v>
      </c>
      <c r="C9" s="1" t="s">
        <v>185</v>
      </c>
      <c r="D9" s="1" t="s">
        <v>44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0</v>
      </c>
      <c r="M9" s="1" t="s">
        <v>78</v>
      </c>
      <c r="P9" s="1" t="str">
        <f>Setup!$A$9</f>
        <v>Expert 06</v>
      </c>
      <c r="Q9" s="1">
        <f t="shared" si="0"/>
        <v>2</v>
      </c>
      <c r="R9" s="1">
        <f t="shared" si="1"/>
        <v>0</v>
      </c>
      <c r="S9" s="1">
        <f t="shared" si="2"/>
        <v>1</v>
      </c>
      <c r="T9" s="1">
        <f t="shared" si="3"/>
        <v>1</v>
      </c>
      <c r="U9" s="1">
        <f t="shared" si="4"/>
        <v>1</v>
      </c>
      <c r="V9" s="7">
        <f t="shared" si="5"/>
        <v>33</v>
      </c>
      <c r="W9" s="1">
        <f t="shared" si="6"/>
        <v>1</v>
      </c>
      <c r="X9" s="7">
        <f t="shared" si="7"/>
        <v>276.73</v>
      </c>
    </row>
    <row r="10" spans="1:24" x14ac:dyDescent="0.25">
      <c r="A10" s="1" t="s">
        <v>35</v>
      </c>
      <c r="B10" s="1" t="s">
        <v>186</v>
      </c>
      <c r="C10" s="1" t="s">
        <v>187</v>
      </c>
      <c r="D10" s="1" t="s">
        <v>36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33</v>
      </c>
      <c r="W10" s="1">
        <f t="shared" si="6"/>
        <v>2</v>
      </c>
      <c r="X10" s="7">
        <f t="shared" si="7"/>
        <v>122.61</v>
      </c>
    </row>
    <row r="11" spans="1:24" x14ac:dyDescent="0.25">
      <c r="A11" s="1" t="s">
        <v>35</v>
      </c>
      <c r="B11" s="1" t="s">
        <v>188</v>
      </c>
      <c r="C11" s="1" t="s">
        <v>189</v>
      </c>
      <c r="D11" s="1" t="s">
        <v>54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0</v>
      </c>
      <c r="W11" s="1">
        <f t="shared" si="6"/>
        <v>1</v>
      </c>
      <c r="X11" s="7">
        <f t="shared" si="7"/>
        <v>171.28</v>
      </c>
    </row>
    <row r="12" spans="1:24" x14ac:dyDescent="0.25">
      <c r="A12" s="1" t="s">
        <v>55</v>
      </c>
      <c r="B12" s="1" t="s">
        <v>190</v>
      </c>
      <c r="C12" s="1" t="s">
        <v>191</v>
      </c>
      <c r="D12" s="1" t="s">
        <v>66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7">
        <v>16</v>
      </c>
      <c r="K12" s="1">
        <v>0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0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1</v>
      </c>
      <c r="X12" s="7">
        <f t="shared" si="7"/>
        <v>0</v>
      </c>
    </row>
    <row r="13" spans="1:24" x14ac:dyDescent="0.25">
      <c r="A13" s="1" t="s">
        <v>55</v>
      </c>
      <c r="B13" s="1" t="s">
        <v>192</v>
      </c>
      <c r="C13" s="1" t="s">
        <v>193</v>
      </c>
      <c r="D13" s="1" t="s">
        <v>50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0</v>
      </c>
      <c r="K13" s="1">
        <v>1</v>
      </c>
      <c r="L13" s="7">
        <v>91.88</v>
      </c>
      <c r="M13" s="1" t="s">
        <v>78</v>
      </c>
      <c r="P13" s="1" t="str">
        <f>Setup!$A$13</f>
        <v>Expert 10</v>
      </c>
      <c r="Q13" s="1">
        <f t="shared" si="0"/>
        <v>0</v>
      </c>
      <c r="R13" s="1">
        <f t="shared" si="1"/>
        <v>2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34</v>
      </c>
      <c r="W13" s="1">
        <f t="shared" si="6"/>
        <v>3</v>
      </c>
      <c r="X13" s="7">
        <f t="shared" si="7"/>
        <v>62.09</v>
      </c>
    </row>
    <row r="14" spans="1:24" x14ac:dyDescent="0.25">
      <c r="A14" s="1" t="s">
        <v>43</v>
      </c>
      <c r="B14" s="1" t="s">
        <v>194</v>
      </c>
      <c r="C14" s="1" t="s">
        <v>195</v>
      </c>
      <c r="D14" s="1" t="s">
        <v>67</v>
      </c>
      <c r="E14" s="1">
        <v>1</v>
      </c>
      <c r="F14" s="1">
        <v>0</v>
      </c>
      <c r="G14" s="1">
        <v>1</v>
      </c>
      <c r="H14" s="1">
        <v>0</v>
      </c>
      <c r="I14" s="1">
        <v>0</v>
      </c>
      <c r="J14" s="7">
        <v>0</v>
      </c>
      <c r="K14" s="1">
        <v>0</v>
      </c>
      <c r="L14" s="7">
        <v>69.13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0</v>
      </c>
      <c r="W14" s="1">
        <f t="shared" si="6"/>
        <v>0</v>
      </c>
      <c r="X14" s="7">
        <f t="shared" si="7"/>
        <v>0</v>
      </c>
    </row>
    <row r="15" spans="1:24" x14ac:dyDescent="0.25">
      <c r="A15" s="1" t="s">
        <v>45</v>
      </c>
      <c r="B15" s="1" t="s">
        <v>196</v>
      </c>
      <c r="C15" s="1" t="s">
        <v>197</v>
      </c>
      <c r="D15" s="1" t="s">
        <v>58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33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2</v>
      </c>
      <c r="R15" s="1">
        <f t="shared" si="1"/>
        <v>1</v>
      </c>
      <c r="S15" s="1">
        <f t="shared" si="2"/>
        <v>0</v>
      </c>
      <c r="T15" s="1">
        <f t="shared" si="3"/>
        <v>0</v>
      </c>
      <c r="U15" s="1">
        <f t="shared" si="4"/>
        <v>1</v>
      </c>
      <c r="V15" s="7">
        <f t="shared" si="5"/>
        <v>49</v>
      </c>
      <c r="W15" s="1">
        <f t="shared" si="6"/>
        <v>3</v>
      </c>
      <c r="X15" s="7">
        <f t="shared" si="7"/>
        <v>91.88</v>
      </c>
    </row>
    <row r="16" spans="1:24" x14ac:dyDescent="0.25">
      <c r="A16" s="1" t="s">
        <v>39</v>
      </c>
      <c r="B16" s="1" t="s">
        <v>198</v>
      </c>
      <c r="C16" s="1" t="s">
        <v>199</v>
      </c>
      <c r="D16" s="1" t="s">
        <v>44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12</v>
      </c>
      <c r="R16" s="9">
        <f t="shared" si="8"/>
        <v>4</v>
      </c>
      <c r="S16" s="9">
        <f t="shared" si="8"/>
        <v>1</v>
      </c>
      <c r="T16" s="9">
        <f t="shared" si="8"/>
        <v>1</v>
      </c>
      <c r="U16" s="9">
        <f t="shared" si="8"/>
        <v>3</v>
      </c>
      <c r="V16" s="10">
        <f t="shared" si="8"/>
        <v>149</v>
      </c>
      <c r="W16" s="9">
        <f t="shared" si="8"/>
        <v>17</v>
      </c>
      <c r="X16" s="10">
        <f t="shared" si="8"/>
        <v>1218.5100000000002</v>
      </c>
    </row>
    <row r="17" spans="1:13" x14ac:dyDescent="0.25">
      <c r="A17" s="1" t="s">
        <v>33</v>
      </c>
      <c r="B17" s="1" t="s">
        <v>200</v>
      </c>
      <c r="C17" s="1" t="s">
        <v>201</v>
      </c>
      <c r="D17" s="1" t="s">
        <v>67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0</v>
      </c>
      <c r="L17" s="7">
        <v>6.1</v>
      </c>
      <c r="M17" s="1" t="s">
        <v>78</v>
      </c>
    </row>
    <row r="18" spans="1:13" x14ac:dyDescent="0.25">
      <c r="A18" s="1" t="s">
        <v>45</v>
      </c>
      <c r="B18" s="1" t="s">
        <v>202</v>
      </c>
      <c r="C18" s="1" t="s">
        <v>203</v>
      </c>
      <c r="D18" s="1" t="s">
        <v>40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122.61</v>
      </c>
      <c r="M18" s="1" t="s">
        <v>78</v>
      </c>
    </row>
    <row r="19" spans="1:13" x14ac:dyDescent="0.25">
      <c r="A19" s="1" t="s">
        <v>51</v>
      </c>
      <c r="B19" s="1" t="s">
        <v>204</v>
      </c>
      <c r="C19" s="1" t="s">
        <v>205</v>
      </c>
      <c r="D19" s="1" t="s">
        <v>56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7">
        <v>16</v>
      </c>
      <c r="K19" s="1">
        <v>1</v>
      </c>
      <c r="L19" s="7">
        <v>62.09</v>
      </c>
      <c r="M19" s="1" t="s">
        <v>78</v>
      </c>
    </row>
    <row r="20" spans="1:13" x14ac:dyDescent="0.25">
      <c r="A20" s="1" t="s">
        <v>41</v>
      </c>
      <c r="B20" s="1" t="s">
        <v>206</v>
      </c>
      <c r="C20" s="1" t="s">
        <v>207</v>
      </c>
      <c r="D20" s="1" t="s">
        <v>66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7">
        <v>0</v>
      </c>
      <c r="K20" s="1">
        <v>0</v>
      </c>
      <c r="L20" s="7">
        <v>167.51</v>
      </c>
      <c r="M20" s="1" t="s">
        <v>78</v>
      </c>
    </row>
    <row r="21" spans="1:13" x14ac:dyDescent="0.25">
      <c r="A21" s="1" t="s">
        <v>55</v>
      </c>
      <c r="B21" s="1" t="s">
        <v>208</v>
      </c>
      <c r="C21" s="1" t="s">
        <v>209</v>
      </c>
      <c r="D21" s="1" t="s">
        <v>36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7">
        <v>33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43</v>
      </c>
      <c r="B22" s="1" t="s">
        <v>210</v>
      </c>
      <c r="C22" s="1" t="s">
        <v>211</v>
      </c>
      <c r="D22" s="1" t="s">
        <v>36</v>
      </c>
      <c r="E22" s="1">
        <v>1</v>
      </c>
      <c r="F22" s="1">
        <v>0</v>
      </c>
      <c r="G22" s="1">
        <v>0</v>
      </c>
      <c r="H22" s="1">
        <v>1</v>
      </c>
      <c r="I22" s="1">
        <v>0</v>
      </c>
      <c r="J22" s="7">
        <v>0</v>
      </c>
      <c r="K22" s="1">
        <v>1</v>
      </c>
      <c r="L22" s="7">
        <v>90.16</v>
      </c>
      <c r="M22" s="1" t="s">
        <v>78</v>
      </c>
    </row>
    <row r="23" spans="1:13" x14ac:dyDescent="0.25">
      <c r="A23" s="1" t="s">
        <v>35</v>
      </c>
      <c r="B23" s="1" t="s">
        <v>212</v>
      </c>
      <c r="C23" s="1" t="s">
        <v>213</v>
      </c>
      <c r="D23" s="1" t="s">
        <v>40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93.53</v>
      </c>
      <c r="M23" s="1" t="s">
        <v>78</v>
      </c>
    </row>
    <row r="24" spans="1:13" x14ac:dyDescent="0.25">
      <c r="A24" s="1" t="s">
        <v>51</v>
      </c>
      <c r="B24" s="1" t="s">
        <v>214</v>
      </c>
      <c r="C24" s="1" t="s">
        <v>215</v>
      </c>
      <c r="D24" s="1" t="s">
        <v>50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7">
        <v>18</v>
      </c>
      <c r="K24" s="1">
        <v>1</v>
      </c>
      <c r="L24" s="7">
        <v>0</v>
      </c>
      <c r="M24" s="1" t="s">
        <v>78</v>
      </c>
    </row>
    <row r="25" spans="1:13" x14ac:dyDescent="0.25">
      <c r="A25" s="1" t="s">
        <v>47</v>
      </c>
      <c r="B25" s="1" t="s">
        <v>216</v>
      </c>
      <c r="C25" s="1" t="s">
        <v>217</v>
      </c>
      <c r="D25" s="1" t="s">
        <v>44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0</v>
      </c>
      <c r="K25" s="1">
        <v>1</v>
      </c>
      <c r="L25" s="7">
        <v>171.28</v>
      </c>
      <c r="M25" s="1" t="s">
        <v>78</v>
      </c>
    </row>
    <row r="26" spans="1:13" x14ac:dyDescent="0.25">
      <c r="A26" s="1"/>
      <c r="B26" s="1"/>
      <c r="C26" s="1"/>
      <c r="D26" s="1"/>
      <c r="E26" s="1"/>
      <c r="F26" s="1"/>
      <c r="G26" s="1"/>
      <c r="H26" s="1"/>
      <c r="I26" s="1"/>
      <c r="J26" s="7"/>
      <c r="K26" s="1"/>
      <c r="L26" s="7"/>
      <c r="M26" s="1"/>
    </row>
    <row r="27" spans="1:13" x14ac:dyDescent="0.25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  <c r="L27" s="7"/>
      <c r="M27" s="1"/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218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47</v>
      </c>
      <c r="B4" s="1" t="s">
        <v>219</v>
      </c>
      <c r="C4" s="1" t="s">
        <v>220</v>
      </c>
      <c r="D4" s="1" t="s">
        <v>56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0</v>
      </c>
      <c r="K4" s="1">
        <v>1</v>
      </c>
      <c r="L4" s="7">
        <v>0</v>
      </c>
      <c r="M4" s="1" t="s">
        <v>78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0</v>
      </c>
      <c r="S4" s="1">
        <f t="shared" ref="S4:S15" si="2">SUMIF($A$4:$A$43,$P4,G$4:G$43)</f>
        <v>1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48</v>
      </c>
      <c r="W4" s="1">
        <f t="shared" ref="W4:W15" si="6">SUMIF($A$4:$A$43,$P4,K$4:K$43)</f>
        <v>2</v>
      </c>
      <c r="X4" s="7">
        <f t="shared" ref="X4:X15" si="7">SUMIF($A$4:$A$43,$P4,L$4:L$43)</f>
        <v>0</v>
      </c>
    </row>
    <row r="5" spans="1:24" x14ac:dyDescent="0.25">
      <c r="A5" s="1" t="s">
        <v>37</v>
      </c>
      <c r="B5" s="1" t="s">
        <v>221</v>
      </c>
      <c r="C5" s="1" t="s">
        <v>222</v>
      </c>
      <c r="D5" s="1" t="s">
        <v>58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15</v>
      </c>
      <c r="K5" s="1">
        <v>1</v>
      </c>
      <c r="L5" s="7">
        <v>71.09</v>
      </c>
      <c r="M5" s="1" t="s">
        <v>78</v>
      </c>
      <c r="P5" s="1" t="str">
        <f>Setup!$A$5</f>
        <v>Expert 02</v>
      </c>
      <c r="Q5" s="1">
        <f t="shared" si="0"/>
        <v>1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0</v>
      </c>
      <c r="W5" s="1">
        <f t="shared" si="6"/>
        <v>1</v>
      </c>
      <c r="X5" s="7">
        <f t="shared" si="7"/>
        <v>0</v>
      </c>
    </row>
    <row r="6" spans="1:24" x14ac:dyDescent="0.25">
      <c r="A6" s="1" t="s">
        <v>47</v>
      </c>
      <c r="B6" s="1" t="s">
        <v>223</v>
      </c>
      <c r="C6" s="1" t="s">
        <v>224</v>
      </c>
      <c r="D6" s="1" t="s">
        <v>48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3</v>
      </c>
      <c r="R6" s="1">
        <f t="shared" si="1"/>
        <v>1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78</v>
      </c>
      <c r="W6" s="1">
        <f t="shared" si="6"/>
        <v>6</v>
      </c>
      <c r="X6" s="7">
        <f t="shared" si="7"/>
        <v>481.42000000000007</v>
      </c>
    </row>
    <row r="7" spans="1:24" x14ac:dyDescent="0.25">
      <c r="A7" s="1" t="s">
        <v>37</v>
      </c>
      <c r="B7" s="1" t="s">
        <v>225</v>
      </c>
      <c r="C7" s="1" t="s">
        <v>226</v>
      </c>
      <c r="D7" s="1" t="s">
        <v>67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0</v>
      </c>
      <c r="L7" s="7">
        <v>126.41</v>
      </c>
      <c r="M7" s="1" t="s">
        <v>78</v>
      </c>
      <c r="P7" s="1" t="str">
        <f>Setup!$A$7</f>
        <v>Expert 04</v>
      </c>
      <c r="Q7" s="1">
        <f t="shared" si="0"/>
        <v>0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0</v>
      </c>
      <c r="X7" s="7">
        <f t="shared" si="7"/>
        <v>0</v>
      </c>
    </row>
    <row r="8" spans="1:24" x14ac:dyDescent="0.25">
      <c r="A8" s="1" t="s">
        <v>33</v>
      </c>
      <c r="B8" s="1" t="s">
        <v>227</v>
      </c>
      <c r="C8" s="1" t="s">
        <v>228</v>
      </c>
      <c r="D8" s="1" t="s">
        <v>68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33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2</v>
      </c>
      <c r="R8" s="1">
        <f t="shared" si="1"/>
        <v>0</v>
      </c>
      <c r="S8" s="1">
        <f t="shared" si="2"/>
        <v>0</v>
      </c>
      <c r="T8" s="1">
        <f t="shared" si="3"/>
        <v>1</v>
      </c>
      <c r="U8" s="1">
        <f t="shared" si="4"/>
        <v>0</v>
      </c>
      <c r="V8" s="7">
        <f t="shared" si="5"/>
        <v>56</v>
      </c>
      <c r="W8" s="1">
        <f t="shared" si="6"/>
        <v>2</v>
      </c>
      <c r="X8" s="7">
        <f t="shared" si="7"/>
        <v>33.51</v>
      </c>
    </row>
    <row r="9" spans="1:24" x14ac:dyDescent="0.25">
      <c r="A9" s="1" t="s">
        <v>51</v>
      </c>
      <c r="B9" s="1" t="s">
        <v>229</v>
      </c>
      <c r="C9" s="1" t="s">
        <v>230</v>
      </c>
      <c r="D9" s="1" t="s">
        <v>58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7">
        <v>33</v>
      </c>
      <c r="K9" s="1">
        <v>1</v>
      </c>
      <c r="L9" s="7">
        <v>134.04</v>
      </c>
      <c r="M9" s="1" t="s">
        <v>78</v>
      </c>
      <c r="P9" s="1" t="str">
        <f>Setup!$A$9</f>
        <v>Expert 06</v>
      </c>
      <c r="Q9" s="1">
        <f t="shared" si="0"/>
        <v>2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48</v>
      </c>
      <c r="W9" s="1">
        <f t="shared" si="6"/>
        <v>2</v>
      </c>
      <c r="X9" s="7">
        <f t="shared" si="7"/>
        <v>0</v>
      </c>
    </row>
    <row r="10" spans="1:24" x14ac:dyDescent="0.25">
      <c r="A10" s="1" t="s">
        <v>45</v>
      </c>
      <c r="B10" s="1" t="s">
        <v>231</v>
      </c>
      <c r="C10" s="1" t="s">
        <v>232</v>
      </c>
      <c r="D10" s="1" t="s">
        <v>50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39.71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0</v>
      </c>
      <c r="W10" s="1">
        <f t="shared" si="6"/>
        <v>1</v>
      </c>
      <c r="X10" s="7">
        <f t="shared" si="7"/>
        <v>39.71</v>
      </c>
    </row>
    <row r="11" spans="1:24" x14ac:dyDescent="0.25">
      <c r="A11" s="1" t="s">
        <v>33</v>
      </c>
      <c r="B11" s="1" t="s">
        <v>233</v>
      </c>
      <c r="C11" s="1" t="s">
        <v>234</v>
      </c>
      <c r="D11" s="1" t="s">
        <v>50</v>
      </c>
      <c r="E11" s="1">
        <v>1</v>
      </c>
      <c r="F11" s="1">
        <v>0</v>
      </c>
      <c r="G11" s="1">
        <v>1</v>
      </c>
      <c r="H11" s="1">
        <v>0</v>
      </c>
      <c r="I11" s="1">
        <v>0</v>
      </c>
      <c r="J11" s="7">
        <v>15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4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51</v>
      </c>
      <c r="W11" s="1">
        <f t="shared" si="6"/>
        <v>4</v>
      </c>
      <c r="X11" s="7">
        <f t="shared" si="7"/>
        <v>236.18</v>
      </c>
    </row>
    <row r="12" spans="1:24" x14ac:dyDescent="0.25">
      <c r="A12" s="1" t="s">
        <v>37</v>
      </c>
      <c r="B12" s="1" t="s">
        <v>235</v>
      </c>
      <c r="C12" s="1" t="s">
        <v>236</v>
      </c>
      <c r="D12" s="1" t="s">
        <v>62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15</v>
      </c>
      <c r="K12" s="1">
        <v>1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15</v>
      </c>
      <c r="W12" s="1">
        <f t="shared" si="6"/>
        <v>1</v>
      </c>
      <c r="X12" s="7">
        <f t="shared" si="7"/>
        <v>170.72</v>
      </c>
    </row>
    <row r="13" spans="1:24" x14ac:dyDescent="0.25">
      <c r="A13" s="1" t="s">
        <v>37</v>
      </c>
      <c r="B13" s="1" t="s">
        <v>237</v>
      </c>
      <c r="C13" s="1" t="s">
        <v>238</v>
      </c>
      <c r="D13" s="1" t="s">
        <v>64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7">
        <v>15</v>
      </c>
      <c r="K13" s="1">
        <v>1</v>
      </c>
      <c r="L13" s="7">
        <v>55.61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1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66</v>
      </c>
      <c r="W13" s="1">
        <f t="shared" si="6"/>
        <v>3</v>
      </c>
      <c r="X13" s="7">
        <f t="shared" si="7"/>
        <v>298.02</v>
      </c>
    </row>
    <row r="14" spans="1:24" x14ac:dyDescent="0.25">
      <c r="A14" s="1" t="s">
        <v>43</v>
      </c>
      <c r="B14" s="1" t="s">
        <v>239</v>
      </c>
      <c r="C14" s="1" t="s">
        <v>240</v>
      </c>
      <c r="D14" s="1" t="s">
        <v>42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33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0</v>
      </c>
      <c r="W14" s="1">
        <f t="shared" si="6"/>
        <v>1</v>
      </c>
      <c r="X14" s="7">
        <f t="shared" si="7"/>
        <v>0</v>
      </c>
    </row>
    <row r="15" spans="1:24" x14ac:dyDescent="0.25">
      <c r="A15" s="1" t="s">
        <v>47</v>
      </c>
      <c r="B15" s="1" t="s">
        <v>241</v>
      </c>
      <c r="C15" s="1" t="s">
        <v>242</v>
      </c>
      <c r="D15" s="1" t="s">
        <v>60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0</v>
      </c>
      <c r="K15" s="1">
        <v>1</v>
      </c>
      <c r="L15" s="7">
        <v>61.21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0</v>
      </c>
      <c r="T15" s="1">
        <f t="shared" si="3"/>
        <v>1</v>
      </c>
      <c r="U15" s="1">
        <f t="shared" si="4"/>
        <v>0</v>
      </c>
      <c r="V15" s="7">
        <f t="shared" si="5"/>
        <v>0</v>
      </c>
      <c r="W15" s="1">
        <f t="shared" si="6"/>
        <v>1</v>
      </c>
      <c r="X15" s="7">
        <f t="shared" si="7"/>
        <v>0</v>
      </c>
    </row>
    <row r="16" spans="1:24" x14ac:dyDescent="0.25">
      <c r="A16" s="1" t="s">
        <v>43</v>
      </c>
      <c r="B16" s="1" t="s">
        <v>243</v>
      </c>
      <c r="C16" s="1" t="s">
        <v>244</v>
      </c>
      <c r="D16" s="1" t="s">
        <v>58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15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18</v>
      </c>
      <c r="R16" s="9">
        <f t="shared" si="8"/>
        <v>2</v>
      </c>
      <c r="S16" s="9">
        <f t="shared" si="8"/>
        <v>1</v>
      </c>
      <c r="T16" s="9">
        <f t="shared" si="8"/>
        <v>2</v>
      </c>
      <c r="U16" s="9">
        <f t="shared" si="8"/>
        <v>0</v>
      </c>
      <c r="V16" s="10">
        <f t="shared" si="8"/>
        <v>362</v>
      </c>
      <c r="W16" s="9">
        <f t="shared" si="8"/>
        <v>24</v>
      </c>
      <c r="X16" s="10">
        <f t="shared" si="8"/>
        <v>1259.5600000000002</v>
      </c>
    </row>
    <row r="17" spans="1:13" x14ac:dyDescent="0.25">
      <c r="A17" s="1" t="s">
        <v>35</v>
      </c>
      <c r="B17" s="1" t="s">
        <v>245</v>
      </c>
      <c r="C17" s="1" t="s">
        <v>246</v>
      </c>
      <c r="D17" s="1" t="s">
        <v>65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0</v>
      </c>
      <c r="M17" s="1" t="s">
        <v>83</v>
      </c>
    </row>
    <row r="18" spans="1:13" x14ac:dyDescent="0.25">
      <c r="A18" s="1" t="s">
        <v>47</v>
      </c>
      <c r="B18" s="1" t="s">
        <v>247</v>
      </c>
      <c r="C18" s="1" t="s">
        <v>248</v>
      </c>
      <c r="D18" s="1" t="s">
        <v>50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18</v>
      </c>
      <c r="K18" s="1">
        <v>1</v>
      </c>
      <c r="L18" s="7">
        <v>65.81</v>
      </c>
      <c r="M18" s="1" t="s">
        <v>78</v>
      </c>
    </row>
    <row r="19" spans="1:13" x14ac:dyDescent="0.25">
      <c r="A19" s="1" t="s">
        <v>47</v>
      </c>
      <c r="B19" s="1" t="s">
        <v>249</v>
      </c>
      <c r="C19" s="1" t="s">
        <v>250</v>
      </c>
      <c r="D19" s="1" t="s">
        <v>69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7">
        <v>33</v>
      </c>
      <c r="K19" s="1">
        <v>0</v>
      </c>
      <c r="L19" s="7">
        <v>109.16</v>
      </c>
      <c r="M19" s="1" t="s">
        <v>78</v>
      </c>
    </row>
    <row r="20" spans="1:13" x14ac:dyDescent="0.25">
      <c r="A20" s="1" t="s">
        <v>51</v>
      </c>
      <c r="B20" s="1" t="s">
        <v>251</v>
      </c>
      <c r="C20" s="1" t="s">
        <v>252</v>
      </c>
      <c r="D20" s="1" t="s">
        <v>54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7">
        <v>33</v>
      </c>
      <c r="K20" s="1">
        <v>1</v>
      </c>
      <c r="L20" s="7">
        <v>163.98</v>
      </c>
      <c r="M20" s="1" t="s">
        <v>78</v>
      </c>
    </row>
    <row r="21" spans="1:13" x14ac:dyDescent="0.25">
      <c r="A21" s="1" t="s">
        <v>51</v>
      </c>
      <c r="B21" s="1" t="s">
        <v>253</v>
      </c>
      <c r="C21" s="1" t="s">
        <v>254</v>
      </c>
      <c r="D21" s="1" t="s">
        <v>42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53</v>
      </c>
      <c r="B22" s="1" t="s">
        <v>255</v>
      </c>
      <c r="C22" s="1" t="s">
        <v>256</v>
      </c>
      <c r="D22" s="1" t="s">
        <v>54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0</v>
      </c>
      <c r="M22" s="1" t="s">
        <v>83</v>
      </c>
    </row>
    <row r="23" spans="1:13" x14ac:dyDescent="0.25">
      <c r="A23" s="1" t="s">
        <v>37</v>
      </c>
      <c r="B23" s="1" t="s">
        <v>257</v>
      </c>
      <c r="C23" s="1" t="s">
        <v>258</v>
      </c>
      <c r="D23" s="1" t="s">
        <v>68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7">
        <v>15</v>
      </c>
      <c r="K23" s="1">
        <v>1</v>
      </c>
      <c r="L23" s="7">
        <v>126.47</v>
      </c>
      <c r="M23" s="1" t="s">
        <v>78</v>
      </c>
    </row>
    <row r="24" spans="1:13" x14ac:dyDescent="0.25">
      <c r="A24" s="1" t="s">
        <v>55</v>
      </c>
      <c r="B24" s="1" t="s">
        <v>259</v>
      </c>
      <c r="C24" s="1" t="s">
        <v>260</v>
      </c>
      <c r="D24" s="1" t="s">
        <v>57</v>
      </c>
      <c r="E24" s="1">
        <v>1</v>
      </c>
      <c r="F24" s="1">
        <v>0</v>
      </c>
      <c r="G24" s="1">
        <v>0</v>
      </c>
      <c r="H24" s="1">
        <v>1</v>
      </c>
      <c r="I24" s="1">
        <v>0</v>
      </c>
      <c r="J24" s="7">
        <v>0</v>
      </c>
      <c r="K24" s="1">
        <v>1</v>
      </c>
      <c r="L24" s="7">
        <v>0</v>
      </c>
      <c r="M24" s="1" t="s">
        <v>78</v>
      </c>
    </row>
    <row r="25" spans="1:13" x14ac:dyDescent="0.25">
      <c r="A25" s="1" t="s">
        <v>37</v>
      </c>
      <c r="B25" s="1" t="s">
        <v>261</v>
      </c>
      <c r="C25" s="1" t="s">
        <v>262</v>
      </c>
      <c r="D25" s="1" t="s">
        <v>38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7">
        <v>0</v>
      </c>
      <c r="K25" s="1">
        <v>1</v>
      </c>
      <c r="L25" s="7">
        <v>0</v>
      </c>
      <c r="M25" s="1" t="s">
        <v>78</v>
      </c>
    </row>
    <row r="26" spans="1:13" x14ac:dyDescent="0.25">
      <c r="A26" s="1" t="s">
        <v>41</v>
      </c>
      <c r="B26" s="1" t="s">
        <v>263</v>
      </c>
      <c r="C26" s="1" t="s">
        <v>264</v>
      </c>
      <c r="D26" s="1" t="s">
        <v>36</v>
      </c>
      <c r="E26" s="1">
        <v>1</v>
      </c>
      <c r="F26" s="1">
        <v>0</v>
      </c>
      <c r="G26" s="1">
        <v>0</v>
      </c>
      <c r="H26" s="1">
        <v>1</v>
      </c>
      <c r="I26" s="1">
        <v>0</v>
      </c>
      <c r="J26" s="7">
        <v>16</v>
      </c>
      <c r="K26" s="1">
        <v>1</v>
      </c>
      <c r="L26" s="7">
        <v>0</v>
      </c>
      <c r="M26" s="1" t="s">
        <v>78</v>
      </c>
    </row>
    <row r="27" spans="1:13" x14ac:dyDescent="0.25">
      <c r="A27" s="1" t="s">
        <v>37</v>
      </c>
      <c r="B27" s="1" t="s">
        <v>265</v>
      </c>
      <c r="C27" s="1" t="s">
        <v>266</v>
      </c>
      <c r="D27" s="1" t="s">
        <v>46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7">
        <v>18</v>
      </c>
      <c r="K27" s="1">
        <v>1</v>
      </c>
      <c r="L27" s="7">
        <v>101.84</v>
      </c>
      <c r="M27" s="1" t="s">
        <v>78</v>
      </c>
    </row>
    <row r="28" spans="1:13" x14ac:dyDescent="0.25">
      <c r="A28" s="1" t="s">
        <v>49</v>
      </c>
      <c r="B28" s="1" t="s">
        <v>267</v>
      </c>
      <c r="C28" s="1" t="s">
        <v>268</v>
      </c>
      <c r="D28" s="1" t="s">
        <v>67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15</v>
      </c>
      <c r="K28" s="1">
        <v>0</v>
      </c>
      <c r="L28" s="7">
        <v>0</v>
      </c>
      <c r="M28" s="1" t="s">
        <v>78</v>
      </c>
    </row>
    <row r="29" spans="1:13" x14ac:dyDescent="0.25">
      <c r="A29" s="1" t="s">
        <v>49</v>
      </c>
      <c r="B29" s="1" t="s">
        <v>269</v>
      </c>
      <c r="C29" s="1" t="s">
        <v>270</v>
      </c>
      <c r="D29" s="1" t="s">
        <v>38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7">
        <v>0</v>
      </c>
      <c r="K29" s="1">
        <v>1</v>
      </c>
      <c r="L29" s="7">
        <v>170.72</v>
      </c>
      <c r="M29" s="1" t="s">
        <v>78</v>
      </c>
    </row>
    <row r="30" spans="1:13" x14ac:dyDescent="0.25">
      <c r="A30" s="1" t="s">
        <v>41</v>
      </c>
      <c r="B30" s="1" t="s">
        <v>271</v>
      </c>
      <c r="C30" s="1" t="s">
        <v>272</v>
      </c>
      <c r="D30" s="1" t="s">
        <v>64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7">
        <v>16</v>
      </c>
      <c r="K30" s="1">
        <v>1</v>
      </c>
      <c r="L30" s="7">
        <v>0</v>
      </c>
      <c r="M30" s="1" t="s">
        <v>78</v>
      </c>
    </row>
    <row r="31" spans="1:13" x14ac:dyDescent="0.25">
      <c r="A31" s="1" t="s">
        <v>41</v>
      </c>
      <c r="B31" s="1" t="s">
        <v>273</v>
      </c>
      <c r="C31" s="1" t="s">
        <v>274</v>
      </c>
      <c r="D31" s="1" t="s">
        <v>69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7">
        <v>24</v>
      </c>
      <c r="K31" s="1">
        <v>0</v>
      </c>
      <c r="L31" s="7">
        <v>33.51</v>
      </c>
      <c r="M31" s="1" t="s">
        <v>78</v>
      </c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275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43</v>
      </c>
      <c r="B4" s="1" t="s">
        <v>276</v>
      </c>
      <c r="C4" s="1" t="s">
        <v>277</v>
      </c>
      <c r="D4" s="1" t="s">
        <v>46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0</v>
      </c>
      <c r="K4" s="1">
        <v>1</v>
      </c>
      <c r="L4" s="7">
        <v>32.96</v>
      </c>
      <c r="M4" s="1" t="s">
        <v>78</v>
      </c>
      <c r="P4" s="1" t="str">
        <f>Setup!$A$4</f>
        <v>Expert 01</v>
      </c>
      <c r="Q4" s="1">
        <f t="shared" ref="Q4:Q15" si="0">SUMIF($A$4:$A$43,$P4,E$4:E$43)</f>
        <v>0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0</v>
      </c>
      <c r="X4" s="7">
        <f t="shared" ref="X4:X15" si="7">SUMIF($A$4:$A$43,$P4,L$4:L$43)</f>
        <v>0</v>
      </c>
    </row>
    <row r="5" spans="1:24" x14ac:dyDescent="0.25">
      <c r="A5" s="1" t="s">
        <v>45</v>
      </c>
      <c r="B5" s="1" t="s">
        <v>278</v>
      </c>
      <c r="C5" s="1" t="s">
        <v>279</v>
      </c>
      <c r="D5" s="1" t="s">
        <v>58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24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2</v>
      </c>
      <c r="R5" s="1">
        <f t="shared" si="1"/>
        <v>0</v>
      </c>
      <c r="S5" s="1">
        <f t="shared" si="2"/>
        <v>0</v>
      </c>
      <c r="T5" s="1">
        <f t="shared" si="3"/>
        <v>1</v>
      </c>
      <c r="U5" s="1">
        <f t="shared" si="4"/>
        <v>0</v>
      </c>
      <c r="V5" s="7">
        <f t="shared" si="5"/>
        <v>0</v>
      </c>
      <c r="W5" s="1">
        <f t="shared" si="6"/>
        <v>3</v>
      </c>
      <c r="X5" s="7">
        <f t="shared" si="7"/>
        <v>348.9</v>
      </c>
    </row>
    <row r="6" spans="1:24" x14ac:dyDescent="0.25">
      <c r="A6" s="1" t="s">
        <v>51</v>
      </c>
      <c r="B6" s="1" t="s">
        <v>280</v>
      </c>
      <c r="C6" s="1" t="s">
        <v>281</v>
      </c>
      <c r="D6" s="1" t="s">
        <v>64</v>
      </c>
      <c r="E6" s="1">
        <v>1</v>
      </c>
      <c r="F6" s="1">
        <v>0</v>
      </c>
      <c r="G6" s="1">
        <v>0</v>
      </c>
      <c r="H6" s="1">
        <v>1</v>
      </c>
      <c r="I6" s="1">
        <v>0</v>
      </c>
      <c r="J6" s="7">
        <v>24</v>
      </c>
      <c r="K6" s="1">
        <v>1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2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34</v>
      </c>
      <c r="W6" s="1">
        <f t="shared" si="6"/>
        <v>2</v>
      </c>
      <c r="X6" s="7">
        <f t="shared" si="7"/>
        <v>176.37</v>
      </c>
    </row>
    <row r="7" spans="1:24" x14ac:dyDescent="0.25">
      <c r="A7" s="1" t="s">
        <v>47</v>
      </c>
      <c r="B7" s="1" t="s">
        <v>282</v>
      </c>
      <c r="C7" s="1" t="s">
        <v>283</v>
      </c>
      <c r="D7" s="1" t="s">
        <v>62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74.89</v>
      </c>
      <c r="M7" s="1" t="s">
        <v>78</v>
      </c>
      <c r="P7" s="1" t="str">
        <f>Setup!$A$7</f>
        <v>Expert 04</v>
      </c>
      <c r="Q7" s="1">
        <f t="shared" si="0"/>
        <v>0</v>
      </c>
      <c r="R7" s="1">
        <f t="shared" si="1"/>
        <v>0</v>
      </c>
      <c r="S7" s="1">
        <f t="shared" si="2"/>
        <v>0</v>
      </c>
      <c r="T7" s="1">
        <f t="shared" si="3"/>
        <v>1</v>
      </c>
      <c r="U7" s="1">
        <f t="shared" si="4"/>
        <v>0</v>
      </c>
      <c r="V7" s="7">
        <f t="shared" si="5"/>
        <v>18</v>
      </c>
      <c r="W7" s="1">
        <f t="shared" si="6"/>
        <v>1</v>
      </c>
      <c r="X7" s="7">
        <f t="shared" si="7"/>
        <v>0</v>
      </c>
    </row>
    <row r="8" spans="1:24" x14ac:dyDescent="0.25">
      <c r="A8" s="1" t="s">
        <v>43</v>
      </c>
      <c r="B8" s="1" t="s">
        <v>284</v>
      </c>
      <c r="C8" s="1" t="s">
        <v>285</v>
      </c>
      <c r="D8" s="1" t="s">
        <v>57</v>
      </c>
      <c r="E8" s="1">
        <v>1</v>
      </c>
      <c r="F8" s="1">
        <v>0</v>
      </c>
      <c r="G8" s="1">
        <v>1</v>
      </c>
      <c r="H8" s="1">
        <v>1</v>
      </c>
      <c r="I8" s="1">
        <v>0</v>
      </c>
      <c r="J8" s="7">
        <v>24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0</v>
      </c>
      <c r="W8" s="1">
        <f t="shared" si="6"/>
        <v>1</v>
      </c>
      <c r="X8" s="7">
        <f t="shared" si="7"/>
        <v>34.85</v>
      </c>
    </row>
    <row r="9" spans="1:24" x14ac:dyDescent="0.25">
      <c r="A9" s="1" t="s">
        <v>45</v>
      </c>
      <c r="B9" s="1" t="s">
        <v>286</v>
      </c>
      <c r="C9" s="1" t="s">
        <v>287</v>
      </c>
      <c r="D9" s="1" t="s">
        <v>61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24</v>
      </c>
      <c r="K9" s="1">
        <v>1</v>
      </c>
      <c r="L9" s="7">
        <v>89.47</v>
      </c>
      <c r="M9" s="1" t="s">
        <v>78</v>
      </c>
      <c r="P9" s="1" t="str">
        <f>Setup!$A$9</f>
        <v>Expert 06</v>
      </c>
      <c r="Q9" s="1">
        <f t="shared" si="0"/>
        <v>2</v>
      </c>
      <c r="R9" s="1">
        <f t="shared" si="1"/>
        <v>1</v>
      </c>
      <c r="S9" s="1">
        <f t="shared" si="2"/>
        <v>1</v>
      </c>
      <c r="T9" s="1">
        <f t="shared" si="3"/>
        <v>1</v>
      </c>
      <c r="U9" s="1">
        <f t="shared" si="4"/>
        <v>0</v>
      </c>
      <c r="V9" s="7">
        <f t="shared" si="5"/>
        <v>42</v>
      </c>
      <c r="W9" s="1">
        <f t="shared" si="6"/>
        <v>3</v>
      </c>
      <c r="X9" s="7">
        <f t="shared" si="7"/>
        <v>38.840000000000003</v>
      </c>
    </row>
    <row r="10" spans="1:24" x14ac:dyDescent="0.25">
      <c r="A10" s="1" t="s">
        <v>45</v>
      </c>
      <c r="B10" s="1" t="s">
        <v>288</v>
      </c>
      <c r="C10" s="1" t="s">
        <v>289</v>
      </c>
      <c r="D10" s="1" t="s">
        <v>69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0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4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63</v>
      </c>
      <c r="W10" s="1">
        <f t="shared" si="6"/>
        <v>4</v>
      </c>
      <c r="X10" s="7">
        <f t="shared" si="7"/>
        <v>105.63</v>
      </c>
    </row>
    <row r="11" spans="1:24" x14ac:dyDescent="0.25">
      <c r="A11" s="1" t="s">
        <v>37</v>
      </c>
      <c r="B11" s="1" t="s">
        <v>290</v>
      </c>
      <c r="C11" s="1" t="s">
        <v>291</v>
      </c>
      <c r="D11" s="1" t="s">
        <v>58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16</v>
      </c>
      <c r="K11" s="1">
        <v>1</v>
      </c>
      <c r="L11" s="7">
        <v>176.37</v>
      </c>
      <c r="M11" s="1" t="s">
        <v>78</v>
      </c>
      <c r="P11" s="1" t="str">
        <f>Setup!$A$11</f>
        <v>Expert 08</v>
      </c>
      <c r="Q11" s="1">
        <f t="shared" si="0"/>
        <v>0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0</v>
      </c>
      <c r="W11" s="1">
        <f t="shared" si="6"/>
        <v>1</v>
      </c>
      <c r="X11" s="7">
        <f t="shared" si="7"/>
        <v>74.89</v>
      </c>
    </row>
    <row r="12" spans="1:24" x14ac:dyDescent="0.25">
      <c r="A12" s="1" t="s">
        <v>35</v>
      </c>
      <c r="B12" s="1" t="s">
        <v>292</v>
      </c>
      <c r="C12" s="1" t="s">
        <v>293</v>
      </c>
      <c r="D12" s="1" t="s">
        <v>69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0</v>
      </c>
      <c r="L12" s="7">
        <v>151.4</v>
      </c>
      <c r="M12" s="1" t="s">
        <v>78</v>
      </c>
      <c r="P12" s="1" t="str">
        <f>Setup!$A$12</f>
        <v>Expert 09</v>
      </c>
      <c r="Q12" s="1">
        <f t="shared" si="0"/>
        <v>0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0</v>
      </c>
      <c r="X12" s="7">
        <f t="shared" si="7"/>
        <v>0</v>
      </c>
    </row>
    <row r="13" spans="1:24" x14ac:dyDescent="0.25">
      <c r="A13" s="1" t="s">
        <v>43</v>
      </c>
      <c r="B13" s="1" t="s">
        <v>294</v>
      </c>
      <c r="C13" s="1" t="s">
        <v>295</v>
      </c>
      <c r="D13" s="1" t="s">
        <v>60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7">
        <v>18</v>
      </c>
      <c r="K13" s="1">
        <v>1</v>
      </c>
      <c r="L13" s="7">
        <v>5.88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0</v>
      </c>
      <c r="T13" s="1">
        <f t="shared" si="3"/>
        <v>1</v>
      </c>
      <c r="U13" s="1">
        <f t="shared" si="4"/>
        <v>0</v>
      </c>
      <c r="V13" s="7">
        <f t="shared" si="5"/>
        <v>24</v>
      </c>
      <c r="W13" s="1">
        <f t="shared" si="6"/>
        <v>1</v>
      </c>
      <c r="X13" s="7">
        <f t="shared" si="7"/>
        <v>0</v>
      </c>
    </row>
    <row r="14" spans="1:24" x14ac:dyDescent="0.25">
      <c r="A14" s="1" t="s">
        <v>35</v>
      </c>
      <c r="B14" s="1" t="s">
        <v>296</v>
      </c>
      <c r="C14" s="1" t="s">
        <v>297</v>
      </c>
      <c r="D14" s="1" t="s">
        <v>61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69.67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0</v>
      </c>
      <c r="W14" s="1">
        <f t="shared" si="6"/>
        <v>0</v>
      </c>
      <c r="X14" s="7">
        <f t="shared" si="7"/>
        <v>0</v>
      </c>
    </row>
    <row r="15" spans="1:24" x14ac:dyDescent="0.25">
      <c r="A15" s="1" t="s">
        <v>35</v>
      </c>
      <c r="B15" s="1" t="s">
        <v>298</v>
      </c>
      <c r="C15" s="1" t="s">
        <v>299</v>
      </c>
      <c r="D15" s="1" t="s">
        <v>46</v>
      </c>
      <c r="E15" s="1">
        <v>1</v>
      </c>
      <c r="F15" s="1">
        <v>0</v>
      </c>
      <c r="G15" s="1">
        <v>0</v>
      </c>
      <c r="H15" s="1">
        <v>1</v>
      </c>
      <c r="I15" s="1">
        <v>0</v>
      </c>
      <c r="J15" s="7">
        <v>0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0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0</v>
      </c>
      <c r="W15" s="1">
        <f t="shared" si="6"/>
        <v>1</v>
      </c>
      <c r="X15" s="7">
        <f t="shared" si="7"/>
        <v>0</v>
      </c>
    </row>
    <row r="16" spans="1:24" x14ac:dyDescent="0.25">
      <c r="A16" s="1" t="s">
        <v>45</v>
      </c>
      <c r="B16" s="1" t="s">
        <v>300</v>
      </c>
      <c r="C16" s="1" t="s">
        <v>301</v>
      </c>
      <c r="D16" s="1" t="s">
        <v>44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15</v>
      </c>
      <c r="K16" s="1">
        <v>1</v>
      </c>
      <c r="L16" s="7">
        <v>16.16</v>
      </c>
      <c r="M16" s="1" t="s">
        <v>78</v>
      </c>
      <c r="P16" s="8" t="s">
        <v>103</v>
      </c>
      <c r="Q16" s="9">
        <f t="shared" ref="Q16:X16" si="8">SUM(Q4:Q15)</f>
        <v>12</v>
      </c>
      <c r="R16" s="9">
        <f t="shared" si="8"/>
        <v>1</v>
      </c>
      <c r="S16" s="9">
        <f t="shared" si="8"/>
        <v>1</v>
      </c>
      <c r="T16" s="9">
        <f t="shared" si="8"/>
        <v>4</v>
      </c>
      <c r="U16" s="9">
        <f t="shared" si="8"/>
        <v>0</v>
      </c>
      <c r="V16" s="10">
        <f t="shared" si="8"/>
        <v>181</v>
      </c>
      <c r="W16" s="9">
        <f t="shared" si="8"/>
        <v>17</v>
      </c>
      <c r="X16" s="10">
        <f t="shared" si="8"/>
        <v>779.48</v>
      </c>
    </row>
    <row r="17" spans="1:13" x14ac:dyDescent="0.25">
      <c r="A17" s="1" t="s">
        <v>39</v>
      </c>
      <c r="B17" s="1" t="s">
        <v>302</v>
      </c>
      <c r="C17" s="1" t="s">
        <v>303</v>
      </c>
      <c r="D17" s="1" t="s">
        <v>69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7">
        <v>18</v>
      </c>
      <c r="K17" s="1">
        <v>0</v>
      </c>
      <c r="L17" s="7">
        <v>0</v>
      </c>
      <c r="M17" s="1" t="s">
        <v>78</v>
      </c>
    </row>
    <row r="18" spans="1:13" x14ac:dyDescent="0.25">
      <c r="A18" s="1" t="s">
        <v>37</v>
      </c>
      <c r="B18" s="1" t="s">
        <v>304</v>
      </c>
      <c r="C18" s="1" t="s">
        <v>305</v>
      </c>
      <c r="D18" s="1" t="s">
        <v>65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18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41</v>
      </c>
      <c r="B19" s="1" t="s">
        <v>306</v>
      </c>
      <c r="C19" s="1" t="s">
        <v>307</v>
      </c>
      <c r="D19" s="1" t="s">
        <v>58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34.85</v>
      </c>
      <c r="M19" s="1" t="s">
        <v>78</v>
      </c>
    </row>
    <row r="20" spans="1:13" x14ac:dyDescent="0.25">
      <c r="A20" s="1" t="s">
        <v>35</v>
      </c>
      <c r="B20" s="1" t="s">
        <v>308</v>
      </c>
      <c r="C20" s="1" t="s">
        <v>309</v>
      </c>
      <c r="D20" s="1" t="s">
        <v>34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7">
        <v>0</v>
      </c>
      <c r="K20" s="1">
        <v>1</v>
      </c>
      <c r="L20" s="7">
        <v>127.83</v>
      </c>
      <c r="M20" s="1" t="s">
        <v>78</v>
      </c>
    </row>
    <row r="21" spans="1:13" x14ac:dyDescent="0.25">
      <c r="A21" s="1" t="s">
        <v>45</v>
      </c>
      <c r="B21" s="1" t="s">
        <v>310</v>
      </c>
      <c r="C21" s="1" t="s">
        <v>311</v>
      </c>
      <c r="D21" s="1" t="s">
        <v>64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55</v>
      </c>
      <c r="B22" s="1" t="s">
        <v>312</v>
      </c>
      <c r="C22" s="1" t="s">
        <v>313</v>
      </c>
      <c r="D22" s="1" t="s">
        <v>38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39</v>
      </c>
      <c r="B23" s="1" t="s">
        <v>314</v>
      </c>
      <c r="C23" s="1" t="s">
        <v>315</v>
      </c>
      <c r="D23" s="1" t="s">
        <v>48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0</v>
      </c>
      <c r="M23" s="1" t="s">
        <v>78</v>
      </c>
    </row>
    <row r="24" spans="1:13" x14ac:dyDescent="0.25">
      <c r="A24" s="1"/>
      <c r="B24" s="1"/>
      <c r="C24" s="1"/>
      <c r="D24" s="1"/>
      <c r="E24" s="1"/>
      <c r="F24" s="1"/>
      <c r="G24" s="1"/>
      <c r="H24" s="1"/>
      <c r="I24" s="1"/>
      <c r="J24" s="7"/>
      <c r="K24" s="1"/>
      <c r="L24" s="7"/>
      <c r="M24" s="1"/>
    </row>
    <row r="25" spans="1:13" x14ac:dyDescent="0.25">
      <c r="A25" s="1"/>
      <c r="B25" s="1"/>
      <c r="C25" s="1"/>
      <c r="D25" s="1"/>
      <c r="E25" s="1"/>
      <c r="F25" s="1"/>
      <c r="G25" s="1"/>
      <c r="H25" s="1"/>
      <c r="I25" s="1"/>
      <c r="J25" s="7"/>
      <c r="K25" s="1"/>
      <c r="L25" s="7"/>
      <c r="M25" s="1"/>
    </row>
    <row r="26" spans="1:13" x14ac:dyDescent="0.25">
      <c r="A26" s="1"/>
      <c r="B26" s="1"/>
      <c r="C26" s="1"/>
      <c r="D26" s="1"/>
      <c r="E26" s="1"/>
      <c r="F26" s="1"/>
      <c r="G26" s="1"/>
      <c r="H26" s="1"/>
      <c r="I26" s="1"/>
      <c r="J26" s="7"/>
      <c r="K26" s="1"/>
      <c r="L26" s="7"/>
      <c r="M26" s="1"/>
    </row>
    <row r="27" spans="1:13" x14ac:dyDescent="0.25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  <c r="L27" s="7"/>
      <c r="M27" s="1"/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316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35</v>
      </c>
      <c r="B4" s="1" t="s">
        <v>317</v>
      </c>
      <c r="C4" s="1" t="s">
        <v>318</v>
      </c>
      <c r="D4" s="1" t="s">
        <v>44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15</v>
      </c>
      <c r="K4" s="1">
        <v>1</v>
      </c>
      <c r="L4" s="7">
        <v>95.8</v>
      </c>
      <c r="M4" s="1" t="s">
        <v>78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16</v>
      </c>
      <c r="W4" s="1">
        <f t="shared" ref="W4:W15" si="6">SUMIF($A$4:$A$43,$P4,K$4:K$43)</f>
        <v>2</v>
      </c>
      <c r="X4" s="7">
        <f t="shared" ref="X4:X15" si="7">SUMIF($A$4:$A$43,$P4,L$4:L$43)</f>
        <v>157.94</v>
      </c>
    </row>
    <row r="5" spans="1:24" x14ac:dyDescent="0.25">
      <c r="A5" s="1" t="s">
        <v>41</v>
      </c>
      <c r="B5" s="1" t="s">
        <v>319</v>
      </c>
      <c r="C5" s="1" t="s">
        <v>320</v>
      </c>
      <c r="D5" s="1" t="s">
        <v>42</v>
      </c>
      <c r="E5" s="1">
        <v>0</v>
      </c>
      <c r="F5" s="1">
        <v>1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157.96</v>
      </c>
      <c r="M5" s="1" t="s">
        <v>78</v>
      </c>
      <c r="P5" s="1" t="str">
        <f>Setup!$A$5</f>
        <v>Expert 02</v>
      </c>
      <c r="Q5" s="1">
        <f t="shared" si="0"/>
        <v>1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15</v>
      </c>
      <c r="W5" s="1">
        <f t="shared" si="6"/>
        <v>1</v>
      </c>
      <c r="X5" s="7">
        <f t="shared" si="7"/>
        <v>265.35000000000002</v>
      </c>
    </row>
    <row r="6" spans="1:24" x14ac:dyDescent="0.25">
      <c r="A6" s="1" t="s">
        <v>47</v>
      </c>
      <c r="B6" s="1" t="s">
        <v>321</v>
      </c>
      <c r="C6" s="1" t="s">
        <v>322</v>
      </c>
      <c r="D6" s="1" t="s">
        <v>66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7">
        <v>0</v>
      </c>
      <c r="K6" s="1">
        <v>0</v>
      </c>
      <c r="L6" s="7">
        <v>140.19</v>
      </c>
      <c r="M6" s="1" t="s">
        <v>78</v>
      </c>
      <c r="P6" s="1" t="str">
        <f>Setup!$A$6</f>
        <v>Expert 03</v>
      </c>
      <c r="Q6" s="1">
        <f t="shared" si="0"/>
        <v>0</v>
      </c>
      <c r="R6" s="1">
        <f t="shared" si="1"/>
        <v>1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18</v>
      </c>
      <c r="W6" s="1">
        <f t="shared" si="6"/>
        <v>1</v>
      </c>
      <c r="X6" s="7">
        <f t="shared" si="7"/>
        <v>30.93</v>
      </c>
    </row>
    <row r="7" spans="1:24" x14ac:dyDescent="0.25">
      <c r="A7" s="1" t="s">
        <v>33</v>
      </c>
      <c r="B7" s="1" t="s">
        <v>323</v>
      </c>
      <c r="C7" s="1" t="s">
        <v>324</v>
      </c>
      <c r="D7" s="1" t="s">
        <v>52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84.4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1</v>
      </c>
      <c r="S7" s="1">
        <f t="shared" si="2"/>
        <v>1</v>
      </c>
      <c r="T7" s="1">
        <f t="shared" si="3"/>
        <v>0</v>
      </c>
      <c r="U7" s="1">
        <f t="shared" si="4"/>
        <v>0</v>
      </c>
      <c r="V7" s="7">
        <f t="shared" si="5"/>
        <v>15</v>
      </c>
      <c r="W7" s="1">
        <f t="shared" si="6"/>
        <v>3</v>
      </c>
      <c r="X7" s="7">
        <f t="shared" si="7"/>
        <v>118.29</v>
      </c>
    </row>
    <row r="8" spans="1:24" x14ac:dyDescent="0.25">
      <c r="A8" s="1" t="s">
        <v>39</v>
      </c>
      <c r="B8" s="1" t="s">
        <v>325</v>
      </c>
      <c r="C8" s="1" t="s">
        <v>326</v>
      </c>
      <c r="D8" s="1" t="s">
        <v>62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7">
        <v>0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2</v>
      </c>
      <c r="R8" s="1">
        <f t="shared" si="1"/>
        <v>1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0</v>
      </c>
      <c r="W8" s="1">
        <f t="shared" si="6"/>
        <v>3</v>
      </c>
      <c r="X8" s="7">
        <f t="shared" si="7"/>
        <v>157.96</v>
      </c>
    </row>
    <row r="9" spans="1:24" x14ac:dyDescent="0.25">
      <c r="A9" s="1" t="s">
        <v>43</v>
      </c>
      <c r="B9" s="1" t="s">
        <v>327</v>
      </c>
      <c r="C9" s="1" t="s">
        <v>328</v>
      </c>
      <c r="D9" s="1" t="s">
        <v>61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24</v>
      </c>
      <c r="K9" s="1">
        <v>1</v>
      </c>
      <c r="L9" s="7">
        <v>0</v>
      </c>
      <c r="M9" s="1" t="s">
        <v>78</v>
      </c>
      <c r="P9" s="1" t="str">
        <f>Setup!$A$9</f>
        <v>Expert 06</v>
      </c>
      <c r="Q9" s="1">
        <f t="shared" si="0"/>
        <v>1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24</v>
      </c>
      <c r="W9" s="1">
        <f t="shared" si="6"/>
        <v>1</v>
      </c>
      <c r="X9" s="7">
        <f t="shared" si="7"/>
        <v>0</v>
      </c>
    </row>
    <row r="10" spans="1:24" x14ac:dyDescent="0.25">
      <c r="A10" s="1" t="s">
        <v>41</v>
      </c>
      <c r="B10" s="1" t="s">
        <v>329</v>
      </c>
      <c r="C10" s="1" t="s">
        <v>330</v>
      </c>
      <c r="D10" s="1" t="s">
        <v>48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0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0</v>
      </c>
      <c r="W10" s="1">
        <f t="shared" si="6"/>
        <v>0</v>
      </c>
      <c r="X10" s="7">
        <f t="shared" si="7"/>
        <v>0</v>
      </c>
    </row>
    <row r="11" spans="1:24" x14ac:dyDescent="0.25">
      <c r="A11" s="1" t="s">
        <v>51</v>
      </c>
      <c r="B11" s="1" t="s">
        <v>331</v>
      </c>
      <c r="C11" s="1" t="s">
        <v>332</v>
      </c>
      <c r="D11" s="1" t="s">
        <v>58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33</v>
      </c>
      <c r="K11" s="1">
        <v>1</v>
      </c>
      <c r="L11" s="7">
        <v>160.41</v>
      </c>
      <c r="M11" s="1" t="s">
        <v>78</v>
      </c>
      <c r="P11" s="1" t="str">
        <f>Setup!$A$11</f>
        <v>Expert 08</v>
      </c>
      <c r="Q11" s="1">
        <f t="shared" si="0"/>
        <v>0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1</v>
      </c>
      <c r="V11" s="7">
        <f t="shared" si="5"/>
        <v>0</v>
      </c>
      <c r="W11" s="1">
        <f t="shared" si="6"/>
        <v>0</v>
      </c>
      <c r="X11" s="7">
        <f t="shared" si="7"/>
        <v>140.19</v>
      </c>
    </row>
    <row r="12" spans="1:24" x14ac:dyDescent="0.25">
      <c r="A12" s="1" t="s">
        <v>49</v>
      </c>
      <c r="B12" s="1" t="s">
        <v>333</v>
      </c>
      <c r="C12" s="1" t="s">
        <v>334</v>
      </c>
      <c r="D12" s="1" t="s">
        <v>46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26.12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1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42</v>
      </c>
      <c r="W12" s="1">
        <f t="shared" si="6"/>
        <v>4</v>
      </c>
      <c r="X12" s="7">
        <f t="shared" si="7"/>
        <v>112.08000000000001</v>
      </c>
    </row>
    <row r="13" spans="1:24" x14ac:dyDescent="0.25">
      <c r="A13" s="1" t="s">
        <v>37</v>
      </c>
      <c r="B13" s="1" t="s">
        <v>335</v>
      </c>
      <c r="C13" s="1" t="s">
        <v>336</v>
      </c>
      <c r="D13" s="1" t="s">
        <v>57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7">
        <v>18</v>
      </c>
      <c r="K13" s="1">
        <v>1</v>
      </c>
      <c r="L13" s="7">
        <v>30.93</v>
      </c>
      <c r="M13" s="1" t="s">
        <v>78</v>
      </c>
      <c r="P13" s="1" t="str">
        <f>Setup!$A$13</f>
        <v>Expert 10</v>
      </c>
      <c r="Q13" s="1">
        <f t="shared" si="0"/>
        <v>2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33</v>
      </c>
      <c r="W13" s="1">
        <f t="shared" si="6"/>
        <v>2</v>
      </c>
      <c r="X13" s="7">
        <f t="shared" si="7"/>
        <v>281.45</v>
      </c>
    </row>
    <row r="14" spans="1:24" x14ac:dyDescent="0.25">
      <c r="A14" s="1" t="s">
        <v>49</v>
      </c>
      <c r="B14" s="1" t="s">
        <v>337</v>
      </c>
      <c r="C14" s="1" t="s">
        <v>338</v>
      </c>
      <c r="D14" s="1" t="s">
        <v>42</v>
      </c>
      <c r="E14" s="1">
        <v>0</v>
      </c>
      <c r="F14" s="1">
        <v>1</v>
      </c>
      <c r="G14" s="1">
        <v>0</v>
      </c>
      <c r="H14" s="1">
        <v>0</v>
      </c>
      <c r="I14" s="1">
        <v>0</v>
      </c>
      <c r="J14" s="7">
        <v>18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1</v>
      </c>
      <c r="R14" s="1">
        <f t="shared" si="1"/>
        <v>1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0</v>
      </c>
      <c r="W14" s="1">
        <f t="shared" si="6"/>
        <v>2</v>
      </c>
      <c r="X14" s="7">
        <f t="shared" si="7"/>
        <v>131.85</v>
      </c>
    </row>
    <row r="15" spans="1:24" x14ac:dyDescent="0.25">
      <c r="A15" s="1" t="s">
        <v>39</v>
      </c>
      <c r="B15" s="1" t="s">
        <v>339</v>
      </c>
      <c r="C15" s="1" t="s">
        <v>340</v>
      </c>
      <c r="D15" s="1" t="s">
        <v>36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0</v>
      </c>
      <c r="K15" s="1">
        <v>1</v>
      </c>
      <c r="L15" s="7">
        <v>118.29</v>
      </c>
      <c r="M15" s="1" t="s">
        <v>78</v>
      </c>
      <c r="P15" s="1" t="str">
        <f>Setup!$A$15</f>
        <v>Expert 12</v>
      </c>
      <c r="Q15" s="1">
        <f t="shared" si="0"/>
        <v>3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0</v>
      </c>
      <c r="W15" s="1">
        <f t="shared" si="6"/>
        <v>3</v>
      </c>
      <c r="X15" s="7">
        <f t="shared" si="7"/>
        <v>236.97</v>
      </c>
    </row>
    <row r="16" spans="1:24" x14ac:dyDescent="0.25">
      <c r="A16" s="1" t="s">
        <v>49</v>
      </c>
      <c r="B16" s="1" t="s">
        <v>341</v>
      </c>
      <c r="C16" s="1" t="s">
        <v>342</v>
      </c>
      <c r="D16" s="1" t="s">
        <v>40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24</v>
      </c>
      <c r="K16" s="1">
        <v>1</v>
      </c>
      <c r="L16" s="7">
        <v>59.34</v>
      </c>
      <c r="M16" s="1" t="s">
        <v>78</v>
      </c>
      <c r="P16" s="8" t="s">
        <v>103</v>
      </c>
      <c r="Q16" s="9">
        <f t="shared" ref="Q16:X16" si="8">SUM(Q4:Q15)</f>
        <v>14</v>
      </c>
      <c r="R16" s="9">
        <f t="shared" si="8"/>
        <v>5</v>
      </c>
      <c r="S16" s="9">
        <f t="shared" si="8"/>
        <v>1</v>
      </c>
      <c r="T16" s="9">
        <f t="shared" si="8"/>
        <v>0</v>
      </c>
      <c r="U16" s="9">
        <f t="shared" si="8"/>
        <v>1</v>
      </c>
      <c r="V16" s="10">
        <f t="shared" si="8"/>
        <v>163</v>
      </c>
      <c r="W16" s="9">
        <f t="shared" si="8"/>
        <v>22</v>
      </c>
      <c r="X16" s="10">
        <f t="shared" si="8"/>
        <v>1633.01</v>
      </c>
    </row>
    <row r="17" spans="1:13" x14ac:dyDescent="0.25">
      <c r="A17" s="1" t="s">
        <v>55</v>
      </c>
      <c r="B17" s="1" t="s">
        <v>343</v>
      </c>
      <c r="C17" s="1" t="s">
        <v>344</v>
      </c>
      <c r="D17" s="1" t="s">
        <v>61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55.2</v>
      </c>
      <c r="M17" s="1" t="s">
        <v>78</v>
      </c>
    </row>
    <row r="18" spans="1:13" x14ac:dyDescent="0.25">
      <c r="A18" s="1" t="s">
        <v>39</v>
      </c>
      <c r="B18" s="1" t="s">
        <v>345</v>
      </c>
      <c r="C18" s="1" t="s">
        <v>346</v>
      </c>
      <c r="D18" s="1" t="s">
        <v>58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7">
        <v>15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51</v>
      </c>
      <c r="B19" s="1" t="s">
        <v>347</v>
      </c>
      <c r="C19" s="1" t="s">
        <v>348</v>
      </c>
      <c r="D19" s="1" t="s">
        <v>62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121.04</v>
      </c>
      <c r="M19" s="1" t="s">
        <v>78</v>
      </c>
    </row>
    <row r="20" spans="1:13" x14ac:dyDescent="0.25">
      <c r="A20" s="1" t="s">
        <v>33</v>
      </c>
      <c r="B20" s="1" t="s">
        <v>349</v>
      </c>
      <c r="C20" s="1" t="s">
        <v>350</v>
      </c>
      <c r="D20" s="1" t="s">
        <v>52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16</v>
      </c>
      <c r="K20" s="1">
        <v>1</v>
      </c>
      <c r="L20" s="7">
        <v>73.540000000000006</v>
      </c>
      <c r="M20" s="1" t="s">
        <v>78</v>
      </c>
    </row>
    <row r="21" spans="1:13" x14ac:dyDescent="0.25">
      <c r="A21" s="1" t="s">
        <v>55</v>
      </c>
      <c r="B21" s="1" t="s">
        <v>351</v>
      </c>
      <c r="C21" s="1" t="s">
        <v>352</v>
      </c>
      <c r="D21" s="1" t="s">
        <v>46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67.19</v>
      </c>
      <c r="M21" s="1" t="s">
        <v>78</v>
      </c>
    </row>
    <row r="22" spans="1:13" x14ac:dyDescent="0.25">
      <c r="A22" s="1" t="s">
        <v>35</v>
      </c>
      <c r="B22" s="1" t="s">
        <v>353</v>
      </c>
      <c r="C22" s="1" t="s">
        <v>354</v>
      </c>
      <c r="D22" s="1" t="s">
        <v>69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0</v>
      </c>
      <c r="L22" s="7">
        <v>169.55</v>
      </c>
      <c r="M22" s="1" t="s">
        <v>78</v>
      </c>
    </row>
    <row r="23" spans="1:13" x14ac:dyDescent="0.25">
      <c r="A23" s="1" t="s">
        <v>49</v>
      </c>
      <c r="B23" s="1" t="s">
        <v>355</v>
      </c>
      <c r="C23" s="1" t="s">
        <v>356</v>
      </c>
      <c r="D23" s="1" t="s">
        <v>46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26.62</v>
      </c>
      <c r="M23" s="1" t="s">
        <v>78</v>
      </c>
    </row>
    <row r="24" spans="1:13" x14ac:dyDescent="0.25">
      <c r="A24" s="1" t="s">
        <v>53</v>
      </c>
      <c r="B24" s="1" t="s">
        <v>357</v>
      </c>
      <c r="C24" s="1" t="s">
        <v>358</v>
      </c>
      <c r="D24" s="1" t="s">
        <v>62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131.85</v>
      </c>
      <c r="M24" s="1" t="s">
        <v>78</v>
      </c>
    </row>
    <row r="25" spans="1:13" x14ac:dyDescent="0.25">
      <c r="A25" s="1" t="s">
        <v>41</v>
      </c>
      <c r="B25" s="1" t="s">
        <v>359</v>
      </c>
      <c r="C25" s="1" t="s">
        <v>360</v>
      </c>
      <c r="D25" s="1" t="s">
        <v>63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0</v>
      </c>
      <c r="K25" s="1">
        <v>1</v>
      </c>
      <c r="L25" s="7">
        <v>0</v>
      </c>
      <c r="M25" s="1" t="s">
        <v>78</v>
      </c>
    </row>
    <row r="26" spans="1:13" x14ac:dyDescent="0.25">
      <c r="A26" s="1" t="s">
        <v>53</v>
      </c>
      <c r="B26" s="1" t="s">
        <v>361</v>
      </c>
      <c r="C26" s="1" t="s">
        <v>362</v>
      </c>
      <c r="D26" s="1" t="s">
        <v>61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0</v>
      </c>
      <c r="M26" s="1" t="s">
        <v>83</v>
      </c>
    </row>
    <row r="27" spans="1:13" x14ac:dyDescent="0.25">
      <c r="A27" s="1" t="s">
        <v>55</v>
      </c>
      <c r="B27" s="1" t="s">
        <v>363</v>
      </c>
      <c r="C27" s="1" t="s">
        <v>364</v>
      </c>
      <c r="D27" s="1" t="s">
        <v>52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7">
        <v>0</v>
      </c>
      <c r="K27" s="1">
        <v>1</v>
      </c>
      <c r="L27" s="7">
        <v>114.58</v>
      </c>
      <c r="M27" s="1" t="s">
        <v>83</v>
      </c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365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51</v>
      </c>
      <c r="B4" s="1" t="s">
        <v>366</v>
      </c>
      <c r="C4" s="1" t="s">
        <v>367</v>
      </c>
      <c r="D4" s="1" t="s">
        <v>58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15</v>
      </c>
      <c r="K4" s="1">
        <v>1</v>
      </c>
      <c r="L4" s="7">
        <v>0</v>
      </c>
      <c r="M4" s="1" t="s">
        <v>83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15</v>
      </c>
      <c r="W4" s="1">
        <f t="shared" ref="W4:W15" si="6">SUMIF($A$4:$A$43,$P4,K$4:K$43)</f>
        <v>2</v>
      </c>
      <c r="X4" s="7">
        <f t="shared" ref="X4:X15" si="7">SUMIF($A$4:$A$43,$P4,L$4:L$43)</f>
        <v>20.3</v>
      </c>
    </row>
    <row r="5" spans="1:24" x14ac:dyDescent="0.25">
      <c r="A5" s="1" t="s">
        <v>47</v>
      </c>
      <c r="B5" s="1" t="s">
        <v>368</v>
      </c>
      <c r="C5" s="1" t="s">
        <v>369</v>
      </c>
      <c r="D5" s="1" t="s">
        <v>69</v>
      </c>
      <c r="E5" s="1">
        <v>0</v>
      </c>
      <c r="F5" s="1">
        <v>1</v>
      </c>
      <c r="G5" s="1">
        <v>0</v>
      </c>
      <c r="H5" s="1">
        <v>0</v>
      </c>
      <c r="I5" s="1">
        <v>0</v>
      </c>
      <c r="J5" s="7">
        <v>0</v>
      </c>
      <c r="K5" s="1">
        <v>0</v>
      </c>
      <c r="L5" s="7">
        <v>104.86</v>
      </c>
      <c r="M5" s="1" t="s">
        <v>83</v>
      </c>
      <c r="P5" s="1" t="str">
        <f>Setup!$A$5</f>
        <v>Expert 02</v>
      </c>
      <c r="Q5" s="1">
        <f t="shared" si="0"/>
        <v>4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81</v>
      </c>
      <c r="W5" s="1">
        <f t="shared" si="6"/>
        <v>4</v>
      </c>
      <c r="X5" s="7">
        <f t="shared" si="7"/>
        <v>234.95</v>
      </c>
    </row>
    <row r="6" spans="1:24" x14ac:dyDescent="0.25">
      <c r="A6" s="1" t="s">
        <v>51</v>
      </c>
      <c r="B6" s="1" t="s">
        <v>370</v>
      </c>
      <c r="C6" s="1" t="s">
        <v>371</v>
      </c>
      <c r="D6" s="1" t="s">
        <v>36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142.44</v>
      </c>
      <c r="M6" s="1" t="s">
        <v>78</v>
      </c>
      <c r="P6" s="1" t="str">
        <f>Setup!$A$6</f>
        <v>Expert 03</v>
      </c>
      <c r="Q6" s="1">
        <f t="shared" si="0"/>
        <v>1</v>
      </c>
      <c r="R6" s="1">
        <f t="shared" si="1"/>
        <v>1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2</v>
      </c>
      <c r="X6" s="7">
        <f t="shared" si="7"/>
        <v>35.82</v>
      </c>
    </row>
    <row r="7" spans="1:24" x14ac:dyDescent="0.25">
      <c r="A7" s="1" t="s">
        <v>35</v>
      </c>
      <c r="B7" s="1" t="s">
        <v>372</v>
      </c>
      <c r="C7" s="1" t="s">
        <v>373</v>
      </c>
      <c r="D7" s="1" t="s">
        <v>65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33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0</v>
      </c>
      <c r="R7" s="1">
        <f t="shared" si="1"/>
        <v>1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1</v>
      </c>
      <c r="X7" s="7">
        <f t="shared" si="7"/>
        <v>0</v>
      </c>
    </row>
    <row r="8" spans="1:24" x14ac:dyDescent="0.25">
      <c r="A8" s="1" t="s">
        <v>53</v>
      </c>
      <c r="B8" s="1" t="s">
        <v>374</v>
      </c>
      <c r="C8" s="1" t="s">
        <v>375</v>
      </c>
      <c r="D8" s="1" t="s">
        <v>38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0</v>
      </c>
      <c r="K8" s="1">
        <v>1</v>
      </c>
      <c r="L8" s="7">
        <v>18.23</v>
      </c>
      <c r="M8" s="1" t="s">
        <v>78</v>
      </c>
      <c r="P8" s="1" t="str">
        <f>Setup!$A$8</f>
        <v>Expert 05</v>
      </c>
      <c r="Q8" s="1">
        <f t="shared" si="0"/>
        <v>0</v>
      </c>
      <c r="R8" s="1">
        <f t="shared" si="1"/>
        <v>1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15</v>
      </c>
      <c r="W8" s="1">
        <f t="shared" si="6"/>
        <v>1</v>
      </c>
      <c r="X8" s="7">
        <f t="shared" si="7"/>
        <v>0</v>
      </c>
    </row>
    <row r="9" spans="1:24" x14ac:dyDescent="0.25">
      <c r="A9" s="1" t="s">
        <v>37</v>
      </c>
      <c r="B9" s="1" t="s">
        <v>376</v>
      </c>
      <c r="C9" s="1" t="s">
        <v>377</v>
      </c>
      <c r="D9" s="1" t="s">
        <v>64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0</v>
      </c>
      <c r="M9" s="1" t="s">
        <v>78</v>
      </c>
      <c r="P9" s="1" t="str">
        <f>Setup!$A$9</f>
        <v>Expert 06</v>
      </c>
      <c r="Q9" s="1">
        <f t="shared" si="0"/>
        <v>0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1</v>
      </c>
      <c r="V9" s="7">
        <f t="shared" si="5"/>
        <v>0</v>
      </c>
      <c r="W9" s="1">
        <f t="shared" si="6"/>
        <v>1</v>
      </c>
      <c r="X9" s="7">
        <f t="shared" si="7"/>
        <v>145.51</v>
      </c>
    </row>
    <row r="10" spans="1:24" x14ac:dyDescent="0.25">
      <c r="A10" s="1" t="s">
        <v>49</v>
      </c>
      <c r="B10" s="1" t="s">
        <v>378</v>
      </c>
      <c r="C10" s="1" t="s">
        <v>379</v>
      </c>
      <c r="D10" s="1" t="s">
        <v>67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0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0</v>
      </c>
      <c r="R10" s="1">
        <f t="shared" si="1"/>
        <v>1</v>
      </c>
      <c r="S10" s="1">
        <f t="shared" si="2"/>
        <v>0</v>
      </c>
      <c r="T10" s="1">
        <f t="shared" si="3"/>
        <v>0</v>
      </c>
      <c r="U10" s="1">
        <f t="shared" si="4"/>
        <v>1</v>
      </c>
      <c r="V10" s="7">
        <f t="shared" si="5"/>
        <v>0</v>
      </c>
      <c r="W10" s="1">
        <f t="shared" si="6"/>
        <v>0</v>
      </c>
      <c r="X10" s="7">
        <f t="shared" si="7"/>
        <v>63.21</v>
      </c>
    </row>
    <row r="11" spans="1:24" x14ac:dyDescent="0.25">
      <c r="A11" s="1" t="s">
        <v>35</v>
      </c>
      <c r="B11" s="1" t="s">
        <v>380</v>
      </c>
      <c r="C11" s="1" t="s">
        <v>381</v>
      </c>
      <c r="D11" s="1" t="s">
        <v>56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1</v>
      </c>
      <c r="L11" s="7">
        <v>118.57</v>
      </c>
      <c r="M11" s="1" t="s">
        <v>78</v>
      </c>
      <c r="P11" s="1" t="str">
        <f>Setup!$A$11</f>
        <v>Expert 08</v>
      </c>
      <c r="Q11" s="1">
        <f t="shared" si="0"/>
        <v>0</v>
      </c>
      <c r="R11" s="1">
        <f t="shared" si="1"/>
        <v>1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0</v>
      </c>
      <c r="W11" s="1">
        <f t="shared" si="6"/>
        <v>1</v>
      </c>
      <c r="X11" s="7">
        <f t="shared" si="7"/>
        <v>118.06</v>
      </c>
    </row>
    <row r="12" spans="1:24" x14ac:dyDescent="0.25">
      <c r="A12" s="1" t="s">
        <v>55</v>
      </c>
      <c r="B12" s="1" t="s">
        <v>382</v>
      </c>
      <c r="C12" s="1" t="s">
        <v>383</v>
      </c>
      <c r="D12" s="1" t="s">
        <v>52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0</v>
      </c>
      <c r="X12" s="7">
        <f t="shared" si="7"/>
        <v>0</v>
      </c>
    </row>
    <row r="13" spans="1:24" x14ac:dyDescent="0.25">
      <c r="A13" s="1" t="s">
        <v>35</v>
      </c>
      <c r="B13" s="1" t="s">
        <v>384</v>
      </c>
      <c r="C13" s="1" t="s">
        <v>385</v>
      </c>
      <c r="D13" s="1" t="s">
        <v>69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7">
        <v>15</v>
      </c>
      <c r="K13" s="1">
        <v>0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3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15</v>
      </c>
      <c r="W13" s="1">
        <f t="shared" si="6"/>
        <v>3</v>
      </c>
      <c r="X13" s="7">
        <f t="shared" si="7"/>
        <v>142.44</v>
      </c>
    </row>
    <row r="14" spans="1:24" x14ac:dyDescent="0.25">
      <c r="A14" s="1" t="s">
        <v>47</v>
      </c>
      <c r="B14" s="1" t="s">
        <v>386</v>
      </c>
      <c r="C14" s="1" t="s">
        <v>387</v>
      </c>
      <c r="D14" s="1" t="s">
        <v>48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13.2</v>
      </c>
      <c r="M14" s="1" t="s">
        <v>78</v>
      </c>
      <c r="P14" s="1" t="str">
        <f>Setup!$A$14</f>
        <v>Expert 11</v>
      </c>
      <c r="Q14" s="1">
        <f t="shared" si="0"/>
        <v>1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0</v>
      </c>
      <c r="W14" s="1">
        <f t="shared" si="6"/>
        <v>1</v>
      </c>
      <c r="X14" s="7">
        <f t="shared" si="7"/>
        <v>18.23</v>
      </c>
    </row>
    <row r="15" spans="1:24" x14ac:dyDescent="0.25">
      <c r="A15" s="1" t="s">
        <v>39</v>
      </c>
      <c r="B15" s="1" t="s">
        <v>388</v>
      </c>
      <c r="C15" s="1" t="s">
        <v>389</v>
      </c>
      <c r="D15" s="1" t="s">
        <v>40</v>
      </c>
      <c r="E15" s="1">
        <v>0</v>
      </c>
      <c r="F15" s="1">
        <v>1</v>
      </c>
      <c r="G15" s="1">
        <v>0</v>
      </c>
      <c r="H15" s="1">
        <v>0</v>
      </c>
      <c r="I15" s="1">
        <v>0</v>
      </c>
      <c r="J15" s="7">
        <v>0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1</v>
      </c>
      <c r="T15" s="1">
        <f t="shared" si="3"/>
        <v>0</v>
      </c>
      <c r="U15" s="1">
        <f t="shared" si="4"/>
        <v>0</v>
      </c>
      <c r="V15" s="7">
        <f t="shared" si="5"/>
        <v>33</v>
      </c>
      <c r="W15" s="1">
        <f t="shared" si="6"/>
        <v>2</v>
      </c>
      <c r="X15" s="7">
        <f t="shared" si="7"/>
        <v>0</v>
      </c>
    </row>
    <row r="16" spans="1:24" x14ac:dyDescent="0.25">
      <c r="A16" s="1" t="s">
        <v>33</v>
      </c>
      <c r="B16" s="1" t="s">
        <v>390</v>
      </c>
      <c r="C16" s="1" t="s">
        <v>391</v>
      </c>
      <c r="D16" s="1" t="s">
        <v>61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0</v>
      </c>
      <c r="M16" s="1" t="s">
        <v>83</v>
      </c>
      <c r="P16" s="8" t="s">
        <v>103</v>
      </c>
      <c r="Q16" s="9">
        <f t="shared" ref="Q16:X16" si="8">SUM(Q4:Q15)</f>
        <v>13</v>
      </c>
      <c r="R16" s="9">
        <f t="shared" si="8"/>
        <v>5</v>
      </c>
      <c r="S16" s="9">
        <f t="shared" si="8"/>
        <v>1</v>
      </c>
      <c r="T16" s="9">
        <f t="shared" si="8"/>
        <v>0</v>
      </c>
      <c r="U16" s="9">
        <f t="shared" si="8"/>
        <v>2</v>
      </c>
      <c r="V16" s="10">
        <f t="shared" si="8"/>
        <v>159</v>
      </c>
      <c r="W16" s="9">
        <f t="shared" si="8"/>
        <v>18</v>
      </c>
      <c r="X16" s="10">
        <f t="shared" si="8"/>
        <v>778.52</v>
      </c>
    </row>
    <row r="17" spans="1:13" x14ac:dyDescent="0.25">
      <c r="A17" s="1" t="s">
        <v>43</v>
      </c>
      <c r="B17" s="1" t="s">
        <v>392</v>
      </c>
      <c r="C17" s="1" t="s">
        <v>393</v>
      </c>
      <c r="D17" s="1" t="s">
        <v>66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7">
        <v>0</v>
      </c>
      <c r="K17" s="1">
        <v>0</v>
      </c>
      <c r="L17" s="7">
        <v>99.25</v>
      </c>
      <c r="M17" s="1" t="s">
        <v>78</v>
      </c>
    </row>
    <row r="18" spans="1:13" x14ac:dyDescent="0.25">
      <c r="A18" s="1" t="s">
        <v>51</v>
      </c>
      <c r="B18" s="1" t="s">
        <v>394</v>
      </c>
      <c r="C18" s="1" t="s">
        <v>395</v>
      </c>
      <c r="D18" s="1" t="s">
        <v>34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45</v>
      </c>
      <c r="B19" s="1" t="s">
        <v>396</v>
      </c>
      <c r="C19" s="1" t="s">
        <v>397</v>
      </c>
      <c r="D19" s="1" t="s">
        <v>66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7">
        <v>0</v>
      </c>
      <c r="K19" s="1">
        <v>0</v>
      </c>
      <c r="L19" s="7">
        <v>63.21</v>
      </c>
      <c r="M19" s="1" t="s">
        <v>78</v>
      </c>
    </row>
    <row r="20" spans="1:13" x14ac:dyDescent="0.25">
      <c r="A20" s="1" t="s">
        <v>41</v>
      </c>
      <c r="B20" s="1" t="s">
        <v>398</v>
      </c>
      <c r="C20" s="1" t="s">
        <v>399</v>
      </c>
      <c r="D20" s="1" t="s">
        <v>48</v>
      </c>
      <c r="E20" s="1">
        <v>0</v>
      </c>
      <c r="F20" s="1">
        <v>1</v>
      </c>
      <c r="G20" s="1">
        <v>0</v>
      </c>
      <c r="H20" s="1">
        <v>0</v>
      </c>
      <c r="I20" s="1">
        <v>0</v>
      </c>
      <c r="J20" s="7">
        <v>15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33</v>
      </c>
      <c r="B21" s="1" t="s">
        <v>386</v>
      </c>
      <c r="C21" s="1" t="s">
        <v>400</v>
      </c>
      <c r="D21" s="1" t="s">
        <v>67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0</v>
      </c>
      <c r="L21" s="7">
        <v>0</v>
      </c>
      <c r="M21" s="1" t="s">
        <v>78</v>
      </c>
    </row>
    <row r="22" spans="1:13" x14ac:dyDescent="0.25">
      <c r="A22" s="1" t="s">
        <v>33</v>
      </c>
      <c r="B22" s="1" t="s">
        <v>401</v>
      </c>
      <c r="C22" s="1" t="s">
        <v>402</v>
      </c>
      <c r="D22" s="1" t="s">
        <v>57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15</v>
      </c>
      <c r="K22" s="1">
        <v>1</v>
      </c>
      <c r="L22" s="7">
        <v>20.3</v>
      </c>
      <c r="M22" s="1" t="s">
        <v>78</v>
      </c>
    </row>
    <row r="23" spans="1:13" x14ac:dyDescent="0.25">
      <c r="A23" s="1" t="s">
        <v>35</v>
      </c>
      <c r="B23" s="1" t="s">
        <v>403</v>
      </c>
      <c r="C23" s="1" t="s">
        <v>404</v>
      </c>
      <c r="D23" s="1" t="s">
        <v>50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33</v>
      </c>
      <c r="K23" s="1">
        <v>1</v>
      </c>
      <c r="L23" s="7">
        <v>20.010000000000002</v>
      </c>
      <c r="M23" s="1" t="s">
        <v>78</v>
      </c>
    </row>
    <row r="24" spans="1:13" x14ac:dyDescent="0.25">
      <c r="A24" s="1" t="s">
        <v>37</v>
      </c>
      <c r="B24" s="1" t="s">
        <v>405</v>
      </c>
      <c r="C24" s="1" t="s">
        <v>406</v>
      </c>
      <c r="D24" s="1" t="s">
        <v>56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35.82</v>
      </c>
      <c r="M24" s="1" t="s">
        <v>78</v>
      </c>
    </row>
    <row r="25" spans="1:13" x14ac:dyDescent="0.25">
      <c r="A25" s="1" t="s">
        <v>43</v>
      </c>
      <c r="B25" s="1" t="s">
        <v>407</v>
      </c>
      <c r="C25" s="1" t="s">
        <v>408</v>
      </c>
      <c r="D25" s="1" t="s">
        <v>36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7">
        <v>0</v>
      </c>
      <c r="K25" s="1">
        <v>1</v>
      </c>
      <c r="L25" s="7">
        <v>46.26</v>
      </c>
      <c r="M25" s="1" t="s">
        <v>78</v>
      </c>
    </row>
    <row r="26" spans="1:13" x14ac:dyDescent="0.25">
      <c r="A26" s="1" t="s">
        <v>35</v>
      </c>
      <c r="B26" s="1" t="s">
        <v>409</v>
      </c>
      <c r="C26" s="1" t="s">
        <v>410</v>
      </c>
      <c r="D26" s="1" t="s">
        <v>65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96.37</v>
      </c>
      <c r="M26" s="1" t="s">
        <v>78</v>
      </c>
    </row>
    <row r="27" spans="1:13" x14ac:dyDescent="0.25">
      <c r="A27" s="1" t="s">
        <v>55</v>
      </c>
      <c r="B27" s="1" t="s">
        <v>411</v>
      </c>
      <c r="C27" s="1" t="s">
        <v>412</v>
      </c>
      <c r="D27" s="1" t="s">
        <v>68</v>
      </c>
      <c r="E27" s="1">
        <v>1</v>
      </c>
      <c r="F27" s="1">
        <v>0</v>
      </c>
      <c r="G27" s="1">
        <v>1</v>
      </c>
      <c r="H27" s="1">
        <v>0</v>
      </c>
      <c r="I27" s="1">
        <v>0</v>
      </c>
      <c r="J27" s="7">
        <v>33</v>
      </c>
      <c r="K27" s="1">
        <v>1</v>
      </c>
      <c r="L27" s="7">
        <v>0</v>
      </c>
      <c r="M27" s="1" t="s">
        <v>78</v>
      </c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413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55</v>
      </c>
      <c r="B4" s="1" t="s">
        <v>414</v>
      </c>
      <c r="C4" s="1" t="s">
        <v>415</v>
      </c>
      <c r="D4" s="1" t="s">
        <v>64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7">
        <v>15</v>
      </c>
      <c r="K4" s="1">
        <v>1</v>
      </c>
      <c r="L4" s="7">
        <v>72.98</v>
      </c>
      <c r="M4" s="1" t="s">
        <v>83</v>
      </c>
      <c r="P4" s="1" t="str">
        <f>Setup!$A$4</f>
        <v>Expert 01</v>
      </c>
      <c r="Q4" s="1">
        <f t="shared" ref="Q4:Q15" si="0">SUMIF($A$4:$A$43,$P4,E$4:E$43)</f>
        <v>1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1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1</v>
      </c>
      <c r="X4" s="7">
        <f t="shared" ref="X4:X15" si="7">SUMIF($A$4:$A$43,$P4,L$4:L$43)</f>
        <v>73.55</v>
      </c>
    </row>
    <row r="5" spans="1:24" x14ac:dyDescent="0.25">
      <c r="A5" s="1" t="s">
        <v>35</v>
      </c>
      <c r="B5" s="1" t="s">
        <v>416</v>
      </c>
      <c r="C5" s="1" t="s">
        <v>417</v>
      </c>
      <c r="D5" s="1" t="s">
        <v>62</v>
      </c>
      <c r="E5" s="1">
        <v>0</v>
      </c>
      <c r="F5" s="1">
        <v>1</v>
      </c>
      <c r="G5" s="1">
        <v>0</v>
      </c>
      <c r="H5" s="1">
        <v>0</v>
      </c>
      <c r="I5" s="1">
        <v>0</v>
      </c>
      <c r="J5" s="7">
        <v>16</v>
      </c>
      <c r="K5" s="1">
        <v>1</v>
      </c>
      <c r="L5" s="7">
        <v>25.61</v>
      </c>
      <c r="M5" s="1" t="s">
        <v>78</v>
      </c>
      <c r="P5" s="1" t="str">
        <f>Setup!$A$5</f>
        <v>Expert 02</v>
      </c>
      <c r="Q5" s="1">
        <f t="shared" si="0"/>
        <v>0</v>
      </c>
      <c r="R5" s="1">
        <f t="shared" si="1"/>
        <v>1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16</v>
      </c>
      <c r="W5" s="1">
        <f t="shared" si="6"/>
        <v>1</v>
      </c>
      <c r="X5" s="7">
        <f t="shared" si="7"/>
        <v>25.61</v>
      </c>
    </row>
    <row r="6" spans="1:24" x14ac:dyDescent="0.25">
      <c r="A6" s="1" t="s">
        <v>45</v>
      </c>
      <c r="B6" s="1" t="s">
        <v>418</v>
      </c>
      <c r="C6" s="1" t="s">
        <v>419</v>
      </c>
      <c r="D6" s="1" t="s">
        <v>63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0</v>
      </c>
      <c r="M6" s="1" t="s">
        <v>83</v>
      </c>
      <c r="P6" s="1" t="str">
        <f>Setup!$A$6</f>
        <v>Expert 03</v>
      </c>
      <c r="Q6" s="1">
        <f t="shared" si="0"/>
        <v>1</v>
      </c>
      <c r="R6" s="1">
        <f t="shared" si="1"/>
        <v>1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24</v>
      </c>
      <c r="W6" s="1">
        <f t="shared" si="6"/>
        <v>1</v>
      </c>
      <c r="X6" s="7">
        <f t="shared" si="7"/>
        <v>284.64</v>
      </c>
    </row>
    <row r="7" spans="1:24" x14ac:dyDescent="0.25">
      <c r="A7" s="1" t="s">
        <v>45</v>
      </c>
      <c r="B7" s="1" t="s">
        <v>420</v>
      </c>
      <c r="C7" s="1" t="s">
        <v>421</v>
      </c>
      <c r="D7" s="1" t="s">
        <v>62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7">
        <v>18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1</v>
      </c>
      <c r="X7" s="7">
        <f t="shared" si="7"/>
        <v>107.95</v>
      </c>
    </row>
    <row r="8" spans="1:24" x14ac:dyDescent="0.25">
      <c r="A8" s="1" t="s">
        <v>53</v>
      </c>
      <c r="B8" s="1" t="s">
        <v>422</v>
      </c>
      <c r="C8" s="1" t="s">
        <v>423</v>
      </c>
      <c r="D8" s="1" t="s">
        <v>64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7">
        <v>0</v>
      </c>
      <c r="K8" s="1">
        <v>1</v>
      </c>
      <c r="L8" s="7">
        <v>0</v>
      </c>
      <c r="M8" s="1" t="s">
        <v>83</v>
      </c>
      <c r="P8" s="1" t="str">
        <f>Setup!$A$8</f>
        <v>Expert 05</v>
      </c>
      <c r="Q8" s="1">
        <f t="shared" si="0"/>
        <v>1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0</v>
      </c>
      <c r="W8" s="1">
        <f t="shared" si="6"/>
        <v>1</v>
      </c>
      <c r="X8" s="7">
        <f t="shared" si="7"/>
        <v>0</v>
      </c>
    </row>
    <row r="9" spans="1:24" x14ac:dyDescent="0.25">
      <c r="A9" s="1" t="s">
        <v>51</v>
      </c>
      <c r="B9" s="1" t="s">
        <v>424</v>
      </c>
      <c r="C9" s="1" t="s">
        <v>425</v>
      </c>
      <c r="D9" s="1" t="s">
        <v>50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173.66</v>
      </c>
      <c r="M9" s="1" t="s">
        <v>78</v>
      </c>
      <c r="P9" s="1" t="str">
        <f>Setup!$A$9</f>
        <v>Expert 06</v>
      </c>
      <c r="Q9" s="1">
        <f t="shared" si="0"/>
        <v>0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0</v>
      </c>
      <c r="W9" s="1">
        <f t="shared" si="6"/>
        <v>0</v>
      </c>
      <c r="X9" s="7">
        <f t="shared" si="7"/>
        <v>0</v>
      </c>
    </row>
    <row r="10" spans="1:24" x14ac:dyDescent="0.25">
      <c r="A10" s="1" t="s">
        <v>55</v>
      </c>
      <c r="B10" s="1" t="s">
        <v>426</v>
      </c>
      <c r="C10" s="1" t="s">
        <v>427</v>
      </c>
      <c r="D10" s="1" t="s">
        <v>36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7">
        <v>24</v>
      </c>
      <c r="K10" s="1">
        <v>1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18</v>
      </c>
      <c r="W10" s="1">
        <f t="shared" si="6"/>
        <v>2</v>
      </c>
      <c r="X10" s="7">
        <f t="shared" si="7"/>
        <v>0</v>
      </c>
    </row>
    <row r="11" spans="1:24" x14ac:dyDescent="0.25">
      <c r="A11" s="1" t="s">
        <v>51</v>
      </c>
      <c r="B11" s="1" t="s">
        <v>428</v>
      </c>
      <c r="C11" s="1" t="s">
        <v>429</v>
      </c>
      <c r="D11" s="1" t="s">
        <v>58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2</v>
      </c>
      <c r="R11" s="1">
        <f t="shared" si="1"/>
        <v>1</v>
      </c>
      <c r="S11" s="1">
        <f t="shared" si="2"/>
        <v>1</v>
      </c>
      <c r="T11" s="1">
        <f t="shared" si="3"/>
        <v>0</v>
      </c>
      <c r="U11" s="1">
        <f t="shared" si="4"/>
        <v>0</v>
      </c>
      <c r="V11" s="7">
        <f t="shared" si="5"/>
        <v>0</v>
      </c>
      <c r="W11" s="1">
        <f t="shared" si="6"/>
        <v>3</v>
      </c>
      <c r="X11" s="7">
        <f t="shared" si="7"/>
        <v>0</v>
      </c>
    </row>
    <row r="12" spans="1:24" x14ac:dyDescent="0.25">
      <c r="A12" s="1" t="s">
        <v>53</v>
      </c>
      <c r="B12" s="1" t="s">
        <v>430</v>
      </c>
      <c r="C12" s="1" t="s">
        <v>431</v>
      </c>
      <c r="D12" s="1" t="s">
        <v>62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7">
        <v>33</v>
      </c>
      <c r="K12" s="1">
        <v>1</v>
      </c>
      <c r="L12" s="7">
        <v>170.07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2</v>
      </c>
      <c r="X12" s="7">
        <f t="shared" si="7"/>
        <v>76.5</v>
      </c>
    </row>
    <row r="13" spans="1:24" x14ac:dyDescent="0.25">
      <c r="A13" s="1" t="s">
        <v>37</v>
      </c>
      <c r="B13" s="1" t="s">
        <v>432</v>
      </c>
      <c r="C13" s="1" t="s">
        <v>433</v>
      </c>
      <c r="D13" s="1" t="s">
        <v>67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7">
        <v>0</v>
      </c>
      <c r="K13" s="1">
        <v>0</v>
      </c>
      <c r="L13" s="7">
        <v>126.32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1</v>
      </c>
      <c r="S13" s="1">
        <f t="shared" si="2"/>
        <v>1</v>
      </c>
      <c r="T13" s="1">
        <f t="shared" si="3"/>
        <v>0</v>
      </c>
      <c r="U13" s="1">
        <f t="shared" si="4"/>
        <v>0</v>
      </c>
      <c r="V13" s="7">
        <f t="shared" si="5"/>
        <v>16</v>
      </c>
      <c r="W13" s="1">
        <f t="shared" si="6"/>
        <v>3</v>
      </c>
      <c r="X13" s="7">
        <f t="shared" si="7"/>
        <v>187.89</v>
      </c>
    </row>
    <row r="14" spans="1:24" x14ac:dyDescent="0.25">
      <c r="A14" s="1" t="s">
        <v>47</v>
      </c>
      <c r="B14" s="1" t="s">
        <v>434</v>
      </c>
      <c r="C14" s="1" t="s">
        <v>435</v>
      </c>
      <c r="D14" s="1" t="s">
        <v>48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33</v>
      </c>
      <c r="W14" s="1">
        <f t="shared" si="6"/>
        <v>2</v>
      </c>
      <c r="X14" s="7">
        <f t="shared" si="7"/>
        <v>170.07</v>
      </c>
    </row>
    <row r="15" spans="1:24" x14ac:dyDescent="0.25">
      <c r="A15" s="1" t="s">
        <v>41</v>
      </c>
      <c r="B15" s="1" t="s">
        <v>436</v>
      </c>
      <c r="C15" s="1" t="s">
        <v>437</v>
      </c>
      <c r="D15" s="1" t="s">
        <v>57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0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87</v>
      </c>
      <c r="W15" s="1">
        <f t="shared" si="6"/>
        <v>3</v>
      </c>
      <c r="X15" s="7">
        <f t="shared" si="7"/>
        <v>371.82000000000005</v>
      </c>
    </row>
    <row r="16" spans="1:24" x14ac:dyDescent="0.25">
      <c r="A16" s="1" t="s">
        <v>51</v>
      </c>
      <c r="B16" s="1" t="s">
        <v>438</v>
      </c>
      <c r="C16" s="1" t="s">
        <v>439</v>
      </c>
      <c r="D16" s="1" t="s">
        <v>69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7">
        <v>16</v>
      </c>
      <c r="K16" s="1">
        <v>0</v>
      </c>
      <c r="L16" s="7">
        <v>14.23</v>
      </c>
      <c r="M16" s="1" t="s">
        <v>78</v>
      </c>
      <c r="P16" s="8" t="s">
        <v>103</v>
      </c>
      <c r="Q16" s="9">
        <f t="shared" ref="Q16:X16" si="8">SUM(Q4:Q15)</f>
        <v>10</v>
      </c>
      <c r="R16" s="9">
        <f t="shared" si="8"/>
        <v>4</v>
      </c>
      <c r="S16" s="9">
        <f t="shared" si="8"/>
        <v>2</v>
      </c>
      <c r="T16" s="9">
        <f t="shared" si="8"/>
        <v>1</v>
      </c>
      <c r="U16" s="9">
        <f t="shared" si="8"/>
        <v>0</v>
      </c>
      <c r="V16" s="10">
        <f t="shared" si="8"/>
        <v>194</v>
      </c>
      <c r="W16" s="9">
        <f t="shared" si="8"/>
        <v>20</v>
      </c>
      <c r="X16" s="10">
        <f t="shared" si="8"/>
        <v>1298.0300000000002</v>
      </c>
    </row>
    <row r="17" spans="1:13" x14ac:dyDescent="0.25">
      <c r="A17" s="1" t="s">
        <v>39</v>
      </c>
      <c r="B17" s="1" t="s">
        <v>440</v>
      </c>
      <c r="C17" s="1" t="s">
        <v>441</v>
      </c>
      <c r="D17" s="1" t="s">
        <v>48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107.95</v>
      </c>
      <c r="M17" s="1" t="s">
        <v>78</v>
      </c>
    </row>
    <row r="18" spans="1:13" x14ac:dyDescent="0.25">
      <c r="A18" s="1" t="s">
        <v>49</v>
      </c>
      <c r="B18" s="1" t="s">
        <v>442</v>
      </c>
      <c r="C18" s="1" t="s">
        <v>443</v>
      </c>
      <c r="D18" s="1" t="s">
        <v>57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37</v>
      </c>
      <c r="B19" s="1" t="s">
        <v>444</v>
      </c>
      <c r="C19" s="1" t="s">
        <v>445</v>
      </c>
      <c r="D19" s="1" t="s">
        <v>61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24</v>
      </c>
      <c r="K19" s="1">
        <v>1</v>
      </c>
      <c r="L19" s="7">
        <v>158.32</v>
      </c>
      <c r="M19" s="1" t="s">
        <v>78</v>
      </c>
    </row>
    <row r="20" spans="1:13" x14ac:dyDescent="0.25">
      <c r="A20" s="1" t="s">
        <v>47</v>
      </c>
      <c r="B20" s="1" t="s">
        <v>446</v>
      </c>
      <c r="C20" s="1" t="s">
        <v>447</v>
      </c>
      <c r="D20" s="1" t="s">
        <v>54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0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51</v>
      </c>
      <c r="B21" s="1" t="s">
        <v>448</v>
      </c>
      <c r="C21" s="1" t="s">
        <v>449</v>
      </c>
      <c r="D21" s="1" t="s">
        <v>57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55</v>
      </c>
      <c r="B22" s="1" t="s">
        <v>450</v>
      </c>
      <c r="C22" s="1" t="s">
        <v>451</v>
      </c>
      <c r="D22" s="1" t="s">
        <v>38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7">
        <v>24</v>
      </c>
      <c r="K22" s="1">
        <v>1</v>
      </c>
      <c r="L22" s="7">
        <v>122.51</v>
      </c>
      <c r="M22" s="1" t="s">
        <v>78</v>
      </c>
    </row>
    <row r="23" spans="1:13" x14ac:dyDescent="0.25">
      <c r="A23" s="1" t="s">
        <v>33</v>
      </c>
      <c r="B23" s="1" t="s">
        <v>452</v>
      </c>
      <c r="C23" s="1" t="s">
        <v>453</v>
      </c>
      <c r="D23" s="1" t="s">
        <v>69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0</v>
      </c>
      <c r="L23" s="7">
        <v>0</v>
      </c>
      <c r="M23" s="1" t="s">
        <v>78</v>
      </c>
    </row>
    <row r="24" spans="1:13" x14ac:dyDescent="0.25">
      <c r="A24" s="1" t="s">
        <v>47</v>
      </c>
      <c r="B24" s="1" t="s">
        <v>454</v>
      </c>
      <c r="C24" s="1" t="s">
        <v>455</v>
      </c>
      <c r="D24" s="1" t="s">
        <v>60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7">
        <v>0</v>
      </c>
      <c r="K24" s="1">
        <v>1</v>
      </c>
      <c r="L24" s="7">
        <v>0</v>
      </c>
      <c r="M24" s="1" t="s">
        <v>78</v>
      </c>
    </row>
    <row r="25" spans="1:13" x14ac:dyDescent="0.25">
      <c r="A25" s="1" t="s">
        <v>55</v>
      </c>
      <c r="B25" s="1" t="s">
        <v>456</v>
      </c>
      <c r="C25" s="1" t="s">
        <v>457</v>
      </c>
      <c r="D25" s="1" t="s">
        <v>67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24</v>
      </c>
      <c r="K25" s="1">
        <v>0</v>
      </c>
      <c r="L25" s="7">
        <v>176.33</v>
      </c>
      <c r="M25" s="1" t="s">
        <v>78</v>
      </c>
    </row>
    <row r="26" spans="1:13" x14ac:dyDescent="0.25">
      <c r="A26" s="1" t="s">
        <v>33</v>
      </c>
      <c r="B26" s="1" t="s">
        <v>458</v>
      </c>
      <c r="C26" s="1" t="s">
        <v>459</v>
      </c>
      <c r="D26" s="1" t="s">
        <v>64</v>
      </c>
      <c r="E26" s="1">
        <v>1</v>
      </c>
      <c r="F26" s="1">
        <v>0</v>
      </c>
      <c r="G26" s="1">
        <v>0</v>
      </c>
      <c r="H26" s="1">
        <v>1</v>
      </c>
      <c r="I26" s="1">
        <v>0</v>
      </c>
      <c r="J26" s="7">
        <v>0</v>
      </c>
      <c r="K26" s="1">
        <v>1</v>
      </c>
      <c r="L26" s="7">
        <v>73.55</v>
      </c>
      <c r="M26" s="1" t="s">
        <v>78</v>
      </c>
    </row>
    <row r="27" spans="1:13" x14ac:dyDescent="0.25">
      <c r="A27" s="1" t="s">
        <v>49</v>
      </c>
      <c r="B27" s="1" t="s">
        <v>460</v>
      </c>
      <c r="C27" s="1" t="s">
        <v>461</v>
      </c>
      <c r="D27" s="1" t="s">
        <v>64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7">
        <v>0</v>
      </c>
      <c r="K27" s="1">
        <v>1</v>
      </c>
      <c r="L27" s="7">
        <v>76.5</v>
      </c>
      <c r="M27" s="1" t="s">
        <v>78</v>
      </c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462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47</v>
      </c>
      <c r="B4" s="1" t="s">
        <v>463</v>
      </c>
      <c r="C4" s="1" t="s">
        <v>464</v>
      </c>
      <c r="D4" s="1" t="s">
        <v>48</v>
      </c>
      <c r="E4" s="1">
        <v>1</v>
      </c>
      <c r="F4" s="1">
        <v>0</v>
      </c>
      <c r="G4" s="1">
        <v>0</v>
      </c>
      <c r="H4" s="1">
        <v>1</v>
      </c>
      <c r="I4" s="1">
        <v>0</v>
      </c>
      <c r="J4" s="7">
        <v>18</v>
      </c>
      <c r="K4" s="1">
        <v>1</v>
      </c>
      <c r="L4" s="7">
        <v>0</v>
      </c>
      <c r="M4" s="1" t="s">
        <v>78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1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49</v>
      </c>
      <c r="W4" s="1">
        <f t="shared" ref="W4:W15" si="6">SUMIF($A$4:$A$43,$P4,K$4:K$43)</f>
        <v>4</v>
      </c>
      <c r="X4" s="7">
        <f t="shared" ref="X4:X15" si="7">SUMIF($A$4:$A$43,$P4,L$4:L$43)</f>
        <v>97.76</v>
      </c>
    </row>
    <row r="5" spans="1:24" x14ac:dyDescent="0.25">
      <c r="A5" s="1" t="s">
        <v>35</v>
      </c>
      <c r="B5" s="1" t="s">
        <v>465</v>
      </c>
      <c r="C5" s="1" t="s">
        <v>466</v>
      </c>
      <c r="D5" s="1" t="s">
        <v>57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0</v>
      </c>
      <c r="R5" s="1">
        <f t="shared" si="1"/>
        <v>1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0</v>
      </c>
      <c r="W5" s="1">
        <f t="shared" si="6"/>
        <v>2</v>
      </c>
      <c r="X5" s="7">
        <f t="shared" si="7"/>
        <v>24.89</v>
      </c>
    </row>
    <row r="6" spans="1:24" x14ac:dyDescent="0.25">
      <c r="A6" s="1" t="s">
        <v>43</v>
      </c>
      <c r="B6" s="1" t="s">
        <v>467</v>
      </c>
      <c r="C6" s="1" t="s">
        <v>468</v>
      </c>
      <c r="D6" s="1" t="s">
        <v>61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33</v>
      </c>
      <c r="K6" s="1">
        <v>1</v>
      </c>
      <c r="L6" s="7">
        <v>1.32</v>
      </c>
      <c r="M6" s="1" t="s">
        <v>78</v>
      </c>
      <c r="P6" s="1" t="str">
        <f>Setup!$A$6</f>
        <v>Expert 03</v>
      </c>
      <c r="Q6" s="1">
        <f t="shared" si="0"/>
        <v>1</v>
      </c>
      <c r="R6" s="1">
        <f t="shared" si="1"/>
        <v>2</v>
      </c>
      <c r="S6" s="1">
        <f t="shared" si="2"/>
        <v>1</v>
      </c>
      <c r="T6" s="1">
        <f t="shared" si="3"/>
        <v>0</v>
      </c>
      <c r="U6" s="1">
        <f t="shared" si="4"/>
        <v>0</v>
      </c>
      <c r="V6" s="7">
        <f t="shared" si="5"/>
        <v>39</v>
      </c>
      <c r="W6" s="1">
        <f t="shared" si="6"/>
        <v>4</v>
      </c>
      <c r="X6" s="7">
        <f t="shared" si="7"/>
        <v>158.1</v>
      </c>
    </row>
    <row r="7" spans="1:24" x14ac:dyDescent="0.25">
      <c r="A7" s="1" t="s">
        <v>45</v>
      </c>
      <c r="B7" s="1" t="s">
        <v>469</v>
      </c>
      <c r="C7" s="1" t="s">
        <v>470</v>
      </c>
      <c r="D7" s="1" t="s">
        <v>67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0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2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2</v>
      </c>
      <c r="X7" s="7">
        <f t="shared" si="7"/>
        <v>0</v>
      </c>
    </row>
    <row r="8" spans="1:24" x14ac:dyDescent="0.25">
      <c r="A8" s="1" t="s">
        <v>33</v>
      </c>
      <c r="B8" s="1" t="s">
        <v>471</v>
      </c>
      <c r="C8" s="1" t="s">
        <v>472</v>
      </c>
      <c r="D8" s="1" t="s">
        <v>68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16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0</v>
      </c>
      <c r="S8" s="1">
        <f t="shared" si="2"/>
        <v>0</v>
      </c>
      <c r="T8" s="1">
        <f t="shared" si="3"/>
        <v>1</v>
      </c>
      <c r="U8" s="1">
        <f t="shared" si="4"/>
        <v>1</v>
      </c>
      <c r="V8" s="7">
        <f t="shared" si="5"/>
        <v>0</v>
      </c>
      <c r="W8" s="1">
        <f t="shared" si="6"/>
        <v>1</v>
      </c>
      <c r="X8" s="7">
        <f t="shared" si="7"/>
        <v>260.74</v>
      </c>
    </row>
    <row r="9" spans="1:24" x14ac:dyDescent="0.25">
      <c r="A9" s="1" t="s">
        <v>41</v>
      </c>
      <c r="B9" s="1" t="s">
        <v>473</v>
      </c>
      <c r="C9" s="1" t="s">
        <v>474</v>
      </c>
      <c r="D9" s="1" t="s">
        <v>66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7">
        <v>0</v>
      </c>
      <c r="K9" s="1">
        <v>0</v>
      </c>
      <c r="L9" s="7">
        <v>5.82</v>
      </c>
      <c r="M9" s="1" t="s">
        <v>78</v>
      </c>
      <c r="P9" s="1" t="str">
        <f>Setup!$A$9</f>
        <v>Expert 06</v>
      </c>
      <c r="Q9" s="1">
        <f t="shared" si="0"/>
        <v>4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67</v>
      </c>
      <c r="W9" s="1">
        <f t="shared" si="6"/>
        <v>4</v>
      </c>
      <c r="X9" s="7">
        <f t="shared" si="7"/>
        <v>132.74</v>
      </c>
    </row>
    <row r="10" spans="1:24" x14ac:dyDescent="0.25">
      <c r="A10" s="1" t="s">
        <v>53</v>
      </c>
      <c r="B10" s="1" t="s">
        <v>475</v>
      </c>
      <c r="C10" s="1" t="s">
        <v>476</v>
      </c>
      <c r="D10" s="1" t="s">
        <v>44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7">
        <v>16</v>
      </c>
      <c r="K10" s="1">
        <v>1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4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0</v>
      </c>
      <c r="W10" s="1">
        <f t="shared" si="6"/>
        <v>3</v>
      </c>
      <c r="X10" s="7">
        <f t="shared" si="7"/>
        <v>260.79000000000002</v>
      </c>
    </row>
    <row r="11" spans="1:24" x14ac:dyDescent="0.25">
      <c r="A11" s="1" t="s">
        <v>41</v>
      </c>
      <c r="B11" s="1" t="s">
        <v>477</v>
      </c>
      <c r="C11" s="1" t="s">
        <v>478</v>
      </c>
      <c r="D11" s="1" t="s">
        <v>69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0</v>
      </c>
      <c r="L11" s="7">
        <v>87.87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1</v>
      </c>
      <c r="S11" s="1">
        <f t="shared" si="2"/>
        <v>0</v>
      </c>
      <c r="T11" s="1">
        <f t="shared" si="3"/>
        <v>1</v>
      </c>
      <c r="U11" s="1">
        <f t="shared" si="4"/>
        <v>0</v>
      </c>
      <c r="V11" s="7">
        <f t="shared" si="5"/>
        <v>36</v>
      </c>
      <c r="W11" s="1">
        <f t="shared" si="6"/>
        <v>2</v>
      </c>
      <c r="X11" s="7">
        <f t="shared" si="7"/>
        <v>66.31</v>
      </c>
    </row>
    <row r="12" spans="1:24" x14ac:dyDescent="0.25">
      <c r="A12" s="1" t="s">
        <v>47</v>
      </c>
      <c r="B12" s="1" t="s">
        <v>479</v>
      </c>
      <c r="C12" s="1" t="s">
        <v>480</v>
      </c>
      <c r="D12" s="1" t="s">
        <v>63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7">
        <v>18</v>
      </c>
      <c r="K12" s="1">
        <v>1</v>
      </c>
      <c r="L12" s="7">
        <v>66.31</v>
      </c>
      <c r="M12" s="1" t="s">
        <v>78</v>
      </c>
      <c r="P12" s="1" t="str">
        <f>Setup!$A$12</f>
        <v>Expert 09</v>
      </c>
      <c r="Q12" s="1">
        <f t="shared" si="0"/>
        <v>0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16</v>
      </c>
      <c r="W12" s="1">
        <f t="shared" si="6"/>
        <v>1</v>
      </c>
      <c r="X12" s="7">
        <f t="shared" si="7"/>
        <v>61.98</v>
      </c>
    </row>
    <row r="13" spans="1:24" x14ac:dyDescent="0.25">
      <c r="A13" s="1" t="s">
        <v>39</v>
      </c>
      <c r="B13" s="1" t="s">
        <v>481</v>
      </c>
      <c r="C13" s="1" t="s">
        <v>482</v>
      </c>
      <c r="D13" s="1" t="s">
        <v>38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0</v>
      </c>
      <c r="K13" s="1">
        <v>1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0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0</v>
      </c>
      <c r="W13" s="1">
        <f t="shared" si="6"/>
        <v>0</v>
      </c>
      <c r="X13" s="7">
        <f t="shared" si="7"/>
        <v>0</v>
      </c>
    </row>
    <row r="14" spans="1:24" x14ac:dyDescent="0.25">
      <c r="A14" s="1" t="s">
        <v>33</v>
      </c>
      <c r="B14" s="1" t="s">
        <v>483</v>
      </c>
      <c r="C14" s="1" t="s">
        <v>484</v>
      </c>
      <c r="D14" s="1" t="s">
        <v>34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18</v>
      </c>
      <c r="K14" s="1">
        <v>1</v>
      </c>
      <c r="L14" s="7">
        <v>97.76</v>
      </c>
      <c r="M14" s="1" t="s">
        <v>78</v>
      </c>
      <c r="P14" s="1" t="str">
        <f>Setup!$A$14</f>
        <v>Expert 11</v>
      </c>
      <c r="Q14" s="1">
        <f t="shared" si="0"/>
        <v>1</v>
      </c>
      <c r="R14" s="1">
        <f t="shared" si="1"/>
        <v>0</v>
      </c>
      <c r="S14" s="1">
        <f t="shared" si="2"/>
        <v>1</v>
      </c>
      <c r="T14" s="1">
        <f t="shared" si="3"/>
        <v>1</v>
      </c>
      <c r="U14" s="1">
        <f t="shared" si="4"/>
        <v>0</v>
      </c>
      <c r="V14" s="7">
        <f t="shared" si="5"/>
        <v>16</v>
      </c>
      <c r="W14" s="1">
        <f t="shared" si="6"/>
        <v>2</v>
      </c>
      <c r="X14" s="7">
        <f t="shared" si="7"/>
        <v>106.33</v>
      </c>
    </row>
    <row r="15" spans="1:24" x14ac:dyDescent="0.25">
      <c r="A15" s="1" t="s">
        <v>33</v>
      </c>
      <c r="B15" s="1" t="s">
        <v>485</v>
      </c>
      <c r="C15" s="1" t="s">
        <v>486</v>
      </c>
      <c r="D15" s="1" t="s">
        <v>68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7">
        <v>0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0</v>
      </c>
      <c r="T15" s="1">
        <f t="shared" si="3"/>
        <v>1</v>
      </c>
      <c r="U15" s="1">
        <f t="shared" si="4"/>
        <v>1</v>
      </c>
      <c r="V15" s="7">
        <f t="shared" si="5"/>
        <v>0</v>
      </c>
      <c r="W15" s="1">
        <f t="shared" si="6"/>
        <v>1</v>
      </c>
      <c r="X15" s="7">
        <f t="shared" si="7"/>
        <v>144.46</v>
      </c>
    </row>
    <row r="16" spans="1:24" x14ac:dyDescent="0.25">
      <c r="A16" s="1" t="s">
        <v>49</v>
      </c>
      <c r="B16" s="1" t="s">
        <v>487</v>
      </c>
      <c r="C16" s="1" t="s">
        <v>488</v>
      </c>
      <c r="D16" s="1" t="s">
        <v>65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7">
        <v>16</v>
      </c>
      <c r="K16" s="1">
        <v>1</v>
      </c>
      <c r="L16" s="7">
        <v>61.98</v>
      </c>
      <c r="M16" s="1" t="s">
        <v>78</v>
      </c>
      <c r="P16" s="8" t="s">
        <v>103</v>
      </c>
      <c r="Q16" s="9">
        <f t="shared" ref="Q16:X16" si="8">SUM(Q4:Q15)</f>
        <v>17</v>
      </c>
      <c r="R16" s="9">
        <f t="shared" si="8"/>
        <v>5</v>
      </c>
      <c r="S16" s="9">
        <f t="shared" si="8"/>
        <v>2</v>
      </c>
      <c r="T16" s="9">
        <f t="shared" si="8"/>
        <v>4</v>
      </c>
      <c r="U16" s="9">
        <f t="shared" si="8"/>
        <v>2</v>
      </c>
      <c r="V16" s="10">
        <f t="shared" si="8"/>
        <v>223</v>
      </c>
      <c r="W16" s="9">
        <f t="shared" si="8"/>
        <v>26</v>
      </c>
      <c r="X16" s="10">
        <f t="shared" si="8"/>
        <v>1314.1</v>
      </c>
    </row>
    <row r="17" spans="1:13" x14ac:dyDescent="0.25">
      <c r="A17" s="1" t="s">
        <v>33</v>
      </c>
      <c r="B17" s="1" t="s">
        <v>489</v>
      </c>
      <c r="C17" s="1" t="s">
        <v>490</v>
      </c>
      <c r="D17" s="1" t="s">
        <v>34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7">
        <v>15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41</v>
      </c>
      <c r="B18" s="1" t="s">
        <v>491</v>
      </c>
      <c r="C18" s="1" t="s">
        <v>492</v>
      </c>
      <c r="D18" s="1" t="s">
        <v>69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0</v>
      </c>
      <c r="L18" s="7">
        <v>167.05</v>
      </c>
      <c r="M18" s="1" t="s">
        <v>78</v>
      </c>
    </row>
    <row r="19" spans="1:13" x14ac:dyDescent="0.25">
      <c r="A19" s="1" t="s">
        <v>43</v>
      </c>
      <c r="B19" s="1" t="s">
        <v>493</v>
      </c>
      <c r="C19" s="1" t="s">
        <v>494</v>
      </c>
      <c r="D19" s="1" t="s">
        <v>34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16</v>
      </c>
      <c r="K19" s="1">
        <v>1</v>
      </c>
      <c r="L19" s="7">
        <v>53.06</v>
      </c>
      <c r="M19" s="1" t="s">
        <v>78</v>
      </c>
    </row>
    <row r="20" spans="1:13" x14ac:dyDescent="0.25">
      <c r="A20" s="1" t="s">
        <v>43</v>
      </c>
      <c r="B20" s="1" t="s">
        <v>495</v>
      </c>
      <c r="C20" s="1" t="s">
        <v>496</v>
      </c>
      <c r="D20" s="1" t="s">
        <v>65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18</v>
      </c>
      <c r="K20" s="1">
        <v>1</v>
      </c>
      <c r="L20" s="7">
        <v>7.57</v>
      </c>
      <c r="M20" s="1" t="s">
        <v>78</v>
      </c>
    </row>
    <row r="21" spans="1:13" x14ac:dyDescent="0.25">
      <c r="A21" s="1" t="s">
        <v>45</v>
      </c>
      <c r="B21" s="1" t="s">
        <v>497</v>
      </c>
      <c r="C21" s="1" t="s">
        <v>498</v>
      </c>
      <c r="D21" s="1" t="s">
        <v>61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89.46</v>
      </c>
      <c r="M21" s="1" t="s">
        <v>78</v>
      </c>
    </row>
    <row r="22" spans="1:13" x14ac:dyDescent="0.25">
      <c r="A22" s="1" t="s">
        <v>35</v>
      </c>
      <c r="B22" s="1" t="s">
        <v>499</v>
      </c>
      <c r="C22" s="1" t="s">
        <v>500</v>
      </c>
      <c r="D22" s="1" t="s">
        <v>40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24.89</v>
      </c>
      <c r="M22" s="1" t="s">
        <v>78</v>
      </c>
    </row>
    <row r="23" spans="1:13" x14ac:dyDescent="0.25">
      <c r="A23" s="1" t="s">
        <v>37</v>
      </c>
      <c r="B23" s="1" t="s">
        <v>501</v>
      </c>
      <c r="C23" s="1" t="s">
        <v>502</v>
      </c>
      <c r="D23" s="1" t="s">
        <v>46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41.85</v>
      </c>
      <c r="M23" s="1" t="s">
        <v>78</v>
      </c>
    </row>
    <row r="24" spans="1:13" x14ac:dyDescent="0.25">
      <c r="A24" s="1" t="s">
        <v>39</v>
      </c>
      <c r="B24" s="1" t="s">
        <v>503</v>
      </c>
      <c r="C24" s="1" t="s">
        <v>504</v>
      </c>
      <c r="D24" s="1" t="s">
        <v>44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0</v>
      </c>
      <c r="M24" s="1" t="s">
        <v>78</v>
      </c>
    </row>
    <row r="25" spans="1:13" x14ac:dyDescent="0.25">
      <c r="A25" s="1" t="s">
        <v>43</v>
      </c>
      <c r="B25" s="1" t="s">
        <v>505</v>
      </c>
      <c r="C25" s="1" t="s">
        <v>506</v>
      </c>
      <c r="D25" s="1" t="s">
        <v>61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0</v>
      </c>
      <c r="K25" s="1">
        <v>1</v>
      </c>
      <c r="L25" s="7">
        <v>70.790000000000006</v>
      </c>
      <c r="M25" s="1" t="s">
        <v>78</v>
      </c>
    </row>
    <row r="26" spans="1:13" x14ac:dyDescent="0.25">
      <c r="A26" s="1" t="s">
        <v>41</v>
      </c>
      <c r="B26" s="1" t="s">
        <v>507</v>
      </c>
      <c r="C26" s="1" t="s">
        <v>508</v>
      </c>
      <c r="D26" s="1" t="s">
        <v>68</v>
      </c>
      <c r="E26" s="1">
        <v>1</v>
      </c>
      <c r="F26" s="1">
        <v>0</v>
      </c>
      <c r="G26" s="1">
        <v>0</v>
      </c>
      <c r="H26" s="1">
        <v>1</v>
      </c>
      <c r="I26" s="1">
        <v>0</v>
      </c>
      <c r="J26" s="7">
        <v>0</v>
      </c>
      <c r="K26" s="1">
        <v>1</v>
      </c>
      <c r="L26" s="7">
        <v>0</v>
      </c>
      <c r="M26" s="1" t="s">
        <v>78</v>
      </c>
    </row>
    <row r="27" spans="1:13" x14ac:dyDescent="0.25">
      <c r="A27" s="1" t="s">
        <v>37</v>
      </c>
      <c r="B27" s="1" t="s">
        <v>509</v>
      </c>
      <c r="C27" s="1" t="s">
        <v>510</v>
      </c>
      <c r="D27" s="1" t="s">
        <v>60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7">
        <v>15</v>
      </c>
      <c r="K27" s="1">
        <v>1</v>
      </c>
      <c r="L27" s="7">
        <v>111.21</v>
      </c>
      <c r="M27" s="1" t="s">
        <v>78</v>
      </c>
    </row>
    <row r="28" spans="1:13" x14ac:dyDescent="0.25">
      <c r="A28" s="1" t="s">
        <v>45</v>
      </c>
      <c r="B28" s="1" t="s">
        <v>511</v>
      </c>
      <c r="C28" s="1" t="s">
        <v>512</v>
      </c>
      <c r="D28" s="1" t="s">
        <v>61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0</v>
      </c>
      <c r="M28" s="1" t="s">
        <v>78</v>
      </c>
    </row>
    <row r="29" spans="1:13" x14ac:dyDescent="0.25">
      <c r="A29" s="1" t="s">
        <v>53</v>
      </c>
      <c r="B29" s="1" t="s">
        <v>513</v>
      </c>
      <c r="C29" s="1" t="s">
        <v>514</v>
      </c>
      <c r="D29" s="1" t="s">
        <v>50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7">
        <v>0</v>
      </c>
      <c r="K29" s="1">
        <v>1</v>
      </c>
      <c r="L29" s="7">
        <v>106.33</v>
      </c>
      <c r="M29" s="1" t="s">
        <v>78</v>
      </c>
    </row>
    <row r="30" spans="1:13" x14ac:dyDescent="0.25">
      <c r="A30" s="1" t="s">
        <v>55</v>
      </c>
      <c r="B30" s="1" t="s">
        <v>515</v>
      </c>
      <c r="C30" s="1" t="s">
        <v>516</v>
      </c>
      <c r="D30" s="1" t="s">
        <v>66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7">
        <v>0</v>
      </c>
      <c r="K30" s="1">
        <v>0</v>
      </c>
      <c r="L30" s="7">
        <v>0</v>
      </c>
      <c r="M30" s="1" t="s">
        <v>78</v>
      </c>
    </row>
    <row r="31" spans="1:13" x14ac:dyDescent="0.25">
      <c r="A31" s="1" t="s">
        <v>45</v>
      </c>
      <c r="B31" s="1" t="s">
        <v>517</v>
      </c>
      <c r="C31" s="1" t="s">
        <v>518</v>
      </c>
      <c r="D31" s="1" t="s">
        <v>48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7">
        <v>0</v>
      </c>
      <c r="K31" s="1">
        <v>1</v>
      </c>
      <c r="L31" s="7">
        <v>171.33</v>
      </c>
      <c r="M31" s="1" t="s">
        <v>78</v>
      </c>
    </row>
    <row r="32" spans="1:13" x14ac:dyDescent="0.25">
      <c r="A32" s="1" t="s">
        <v>37</v>
      </c>
      <c r="B32" s="1" t="s">
        <v>519</v>
      </c>
      <c r="C32" s="1" t="s">
        <v>520</v>
      </c>
      <c r="D32" s="1" t="s">
        <v>68</v>
      </c>
      <c r="E32" s="1">
        <v>0</v>
      </c>
      <c r="F32" s="1">
        <v>1</v>
      </c>
      <c r="G32" s="1">
        <v>0</v>
      </c>
      <c r="H32" s="1">
        <v>0</v>
      </c>
      <c r="I32" s="1">
        <v>0</v>
      </c>
      <c r="J32" s="7">
        <v>0</v>
      </c>
      <c r="K32" s="1">
        <v>1</v>
      </c>
      <c r="L32" s="7">
        <v>0</v>
      </c>
      <c r="M32" s="1" t="s">
        <v>78</v>
      </c>
    </row>
    <row r="33" spans="1:13" x14ac:dyDescent="0.25">
      <c r="A33" s="1" t="s">
        <v>55</v>
      </c>
      <c r="B33" s="1" t="s">
        <v>521</v>
      </c>
      <c r="C33" s="1" t="s">
        <v>522</v>
      </c>
      <c r="D33" s="1" t="s">
        <v>63</v>
      </c>
      <c r="E33" s="1">
        <v>1</v>
      </c>
      <c r="F33" s="1">
        <v>0</v>
      </c>
      <c r="G33" s="1">
        <v>0</v>
      </c>
      <c r="H33" s="1">
        <v>1</v>
      </c>
      <c r="I33" s="1">
        <v>0</v>
      </c>
      <c r="J33" s="7">
        <v>0</v>
      </c>
      <c r="K33" s="1">
        <v>1</v>
      </c>
      <c r="L33" s="7">
        <v>144.46</v>
      </c>
      <c r="M33" s="1" t="s">
        <v>78</v>
      </c>
    </row>
    <row r="34" spans="1:13" x14ac:dyDescent="0.25">
      <c r="A34" s="1" t="s">
        <v>37</v>
      </c>
      <c r="B34" s="1" t="s">
        <v>523</v>
      </c>
      <c r="C34" s="1" t="s">
        <v>524</v>
      </c>
      <c r="D34" s="1" t="s">
        <v>56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7">
        <v>24</v>
      </c>
      <c r="K34" s="1">
        <v>1</v>
      </c>
      <c r="L34" s="7">
        <v>5.04</v>
      </c>
      <c r="M34" s="1" t="s">
        <v>78</v>
      </c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525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37</v>
      </c>
      <c r="B4" s="1" t="s">
        <v>526</v>
      </c>
      <c r="C4" s="1" t="s">
        <v>527</v>
      </c>
      <c r="D4" s="1" t="s">
        <v>67</v>
      </c>
      <c r="E4" s="1">
        <v>1</v>
      </c>
      <c r="F4" s="1">
        <v>0</v>
      </c>
      <c r="G4" s="1">
        <v>0</v>
      </c>
      <c r="H4" s="1">
        <v>1</v>
      </c>
      <c r="I4" s="1">
        <v>0</v>
      </c>
      <c r="J4" s="7">
        <v>0</v>
      </c>
      <c r="K4" s="1">
        <v>0</v>
      </c>
      <c r="L4" s="7">
        <v>66.19</v>
      </c>
      <c r="M4" s="1" t="s">
        <v>78</v>
      </c>
      <c r="P4" s="1" t="str">
        <f>Setup!$A$4</f>
        <v>Expert 01</v>
      </c>
      <c r="Q4" s="1">
        <f t="shared" ref="Q4:Q15" si="0">SUMIF($A$4:$A$43,$P4,E$4:E$43)</f>
        <v>0</v>
      </c>
      <c r="R4" s="1">
        <f t="shared" ref="R4:R15" si="1">SUMIF($A$4:$A$43,$P4,F$4:F$43)</f>
        <v>0</v>
      </c>
      <c r="S4" s="1">
        <f t="shared" ref="S4:S15" si="2">SUMIF($A$4:$A$43,$P4,G$4:G$43)</f>
        <v>1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0</v>
      </c>
      <c r="X4" s="7">
        <f t="shared" ref="X4:X15" si="7">SUMIF($A$4:$A$43,$P4,L$4:L$43)</f>
        <v>0</v>
      </c>
    </row>
    <row r="5" spans="1:24" x14ac:dyDescent="0.25">
      <c r="A5" s="1" t="s">
        <v>39</v>
      </c>
      <c r="B5" s="1" t="s">
        <v>528</v>
      </c>
      <c r="C5" s="1" t="s">
        <v>529</v>
      </c>
      <c r="D5" s="1" t="s">
        <v>60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24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4</v>
      </c>
      <c r="R5" s="1">
        <f t="shared" si="1"/>
        <v>0</v>
      </c>
      <c r="S5" s="1">
        <f t="shared" si="2"/>
        <v>0</v>
      </c>
      <c r="T5" s="1">
        <f t="shared" si="3"/>
        <v>2</v>
      </c>
      <c r="U5" s="1">
        <f t="shared" si="4"/>
        <v>0</v>
      </c>
      <c r="V5" s="7">
        <f t="shared" si="5"/>
        <v>65</v>
      </c>
      <c r="W5" s="1">
        <f t="shared" si="6"/>
        <v>6</v>
      </c>
      <c r="X5" s="7">
        <f t="shared" si="7"/>
        <v>149.5</v>
      </c>
    </row>
    <row r="6" spans="1:24" x14ac:dyDescent="0.25">
      <c r="A6" s="1" t="s">
        <v>37</v>
      </c>
      <c r="B6" s="1" t="s">
        <v>530</v>
      </c>
      <c r="C6" s="1" t="s">
        <v>531</v>
      </c>
      <c r="D6" s="1" t="s">
        <v>69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7">
        <v>16</v>
      </c>
      <c r="K6" s="1">
        <v>0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4</v>
      </c>
      <c r="R6" s="1">
        <f t="shared" si="1"/>
        <v>0</v>
      </c>
      <c r="S6" s="1">
        <f t="shared" si="2"/>
        <v>0</v>
      </c>
      <c r="T6" s="1">
        <f t="shared" si="3"/>
        <v>1</v>
      </c>
      <c r="U6" s="1">
        <f t="shared" si="4"/>
        <v>0</v>
      </c>
      <c r="V6" s="7">
        <f t="shared" si="5"/>
        <v>16</v>
      </c>
      <c r="W6" s="1">
        <f t="shared" si="6"/>
        <v>3</v>
      </c>
      <c r="X6" s="7">
        <f t="shared" si="7"/>
        <v>282.39</v>
      </c>
    </row>
    <row r="7" spans="1:24" x14ac:dyDescent="0.25">
      <c r="A7" s="1" t="s">
        <v>43</v>
      </c>
      <c r="B7" s="1" t="s">
        <v>532</v>
      </c>
      <c r="C7" s="1" t="s">
        <v>533</v>
      </c>
      <c r="D7" s="1" t="s">
        <v>54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24</v>
      </c>
      <c r="K7" s="1">
        <v>1</v>
      </c>
      <c r="L7" s="7">
        <v>166.93</v>
      </c>
      <c r="M7" s="1" t="s">
        <v>78</v>
      </c>
      <c r="P7" s="1" t="str">
        <f>Setup!$A$7</f>
        <v>Expert 04</v>
      </c>
      <c r="Q7" s="1">
        <f t="shared" si="0"/>
        <v>2</v>
      </c>
      <c r="R7" s="1">
        <f t="shared" si="1"/>
        <v>0</v>
      </c>
      <c r="S7" s="1">
        <f t="shared" si="2"/>
        <v>0</v>
      </c>
      <c r="T7" s="1">
        <f t="shared" si="3"/>
        <v>1</v>
      </c>
      <c r="U7" s="1">
        <f t="shared" si="4"/>
        <v>0</v>
      </c>
      <c r="V7" s="7">
        <f t="shared" si="5"/>
        <v>40</v>
      </c>
      <c r="W7" s="1">
        <f t="shared" si="6"/>
        <v>2</v>
      </c>
      <c r="X7" s="7">
        <f t="shared" si="7"/>
        <v>0</v>
      </c>
    </row>
    <row r="8" spans="1:24" x14ac:dyDescent="0.25">
      <c r="A8" s="1" t="s">
        <v>45</v>
      </c>
      <c r="B8" s="1" t="s">
        <v>534</v>
      </c>
      <c r="C8" s="1" t="s">
        <v>535</v>
      </c>
      <c r="D8" s="1" t="s">
        <v>61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33</v>
      </c>
      <c r="K8" s="1">
        <v>1</v>
      </c>
      <c r="L8" s="7">
        <v>152.87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1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55</v>
      </c>
      <c r="W8" s="1">
        <f t="shared" si="6"/>
        <v>3</v>
      </c>
      <c r="X8" s="7">
        <f t="shared" si="7"/>
        <v>154.35</v>
      </c>
    </row>
    <row r="9" spans="1:24" x14ac:dyDescent="0.25">
      <c r="A9" s="1" t="s">
        <v>49</v>
      </c>
      <c r="B9" s="1" t="s">
        <v>536</v>
      </c>
      <c r="C9" s="1" t="s">
        <v>537</v>
      </c>
      <c r="D9" s="1" t="s">
        <v>69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0</v>
      </c>
      <c r="L9" s="7">
        <v>0</v>
      </c>
      <c r="M9" s="1" t="s">
        <v>78</v>
      </c>
      <c r="P9" s="1" t="str">
        <f>Setup!$A$9</f>
        <v>Expert 06</v>
      </c>
      <c r="Q9" s="1">
        <f t="shared" si="0"/>
        <v>2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24</v>
      </c>
      <c r="W9" s="1">
        <f t="shared" si="6"/>
        <v>2</v>
      </c>
      <c r="X9" s="7">
        <f t="shared" si="7"/>
        <v>166.93</v>
      </c>
    </row>
    <row r="10" spans="1:24" x14ac:dyDescent="0.25">
      <c r="A10" s="1" t="s">
        <v>35</v>
      </c>
      <c r="B10" s="1" t="s">
        <v>538</v>
      </c>
      <c r="C10" s="1" t="s">
        <v>539</v>
      </c>
      <c r="D10" s="1" t="s">
        <v>61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33</v>
      </c>
      <c r="W10" s="1">
        <f t="shared" si="6"/>
        <v>1</v>
      </c>
      <c r="X10" s="7">
        <f t="shared" si="7"/>
        <v>152.87</v>
      </c>
    </row>
    <row r="11" spans="1:24" x14ac:dyDescent="0.25">
      <c r="A11" s="1" t="s">
        <v>41</v>
      </c>
      <c r="B11" s="1" t="s">
        <v>540</v>
      </c>
      <c r="C11" s="1" t="s">
        <v>541</v>
      </c>
      <c r="D11" s="1" t="s">
        <v>52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16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18</v>
      </c>
      <c r="W11" s="1">
        <f t="shared" si="6"/>
        <v>2</v>
      </c>
      <c r="X11" s="7">
        <f t="shared" si="7"/>
        <v>295.19</v>
      </c>
    </row>
    <row r="12" spans="1:24" x14ac:dyDescent="0.25">
      <c r="A12" s="1" t="s">
        <v>53</v>
      </c>
      <c r="B12" s="1" t="s">
        <v>542</v>
      </c>
      <c r="C12" s="1" t="s">
        <v>543</v>
      </c>
      <c r="D12" s="1" t="s">
        <v>56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3</v>
      </c>
      <c r="R12" s="1">
        <f t="shared" si="1"/>
        <v>1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36</v>
      </c>
      <c r="W12" s="1">
        <f t="shared" si="6"/>
        <v>5</v>
      </c>
      <c r="X12" s="7">
        <f t="shared" si="7"/>
        <v>425.18999999999994</v>
      </c>
    </row>
    <row r="13" spans="1:24" x14ac:dyDescent="0.25">
      <c r="A13" s="1" t="s">
        <v>41</v>
      </c>
      <c r="B13" s="1" t="s">
        <v>544</v>
      </c>
      <c r="C13" s="1" t="s">
        <v>545</v>
      </c>
      <c r="D13" s="1" t="s">
        <v>64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7">
        <v>15</v>
      </c>
      <c r="K13" s="1">
        <v>1</v>
      </c>
      <c r="L13" s="7">
        <v>26.01</v>
      </c>
      <c r="M13" s="1" t="s">
        <v>78</v>
      </c>
      <c r="P13" s="1" t="str">
        <f>Setup!$A$13</f>
        <v>Expert 10</v>
      </c>
      <c r="Q13" s="1">
        <f t="shared" si="0"/>
        <v>0</v>
      </c>
      <c r="R13" s="1">
        <f t="shared" si="1"/>
        <v>1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33</v>
      </c>
      <c r="W13" s="1">
        <f t="shared" si="6"/>
        <v>0</v>
      </c>
      <c r="X13" s="7">
        <f t="shared" si="7"/>
        <v>84.4</v>
      </c>
    </row>
    <row r="14" spans="1:24" x14ac:dyDescent="0.25">
      <c r="A14" s="1" t="s">
        <v>49</v>
      </c>
      <c r="B14" s="1" t="s">
        <v>546</v>
      </c>
      <c r="C14" s="1" t="s">
        <v>547</v>
      </c>
      <c r="D14" s="1" t="s">
        <v>44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18</v>
      </c>
      <c r="K14" s="1">
        <v>1</v>
      </c>
      <c r="L14" s="7">
        <v>152.57</v>
      </c>
      <c r="M14" s="1" t="s">
        <v>78</v>
      </c>
      <c r="P14" s="1" t="str">
        <f>Setup!$A$14</f>
        <v>Expert 11</v>
      </c>
      <c r="Q14" s="1">
        <f t="shared" si="0"/>
        <v>3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40</v>
      </c>
      <c r="W14" s="1">
        <f t="shared" si="6"/>
        <v>3</v>
      </c>
      <c r="X14" s="7">
        <f t="shared" si="7"/>
        <v>102.47</v>
      </c>
    </row>
    <row r="15" spans="1:24" x14ac:dyDescent="0.25">
      <c r="A15" s="1" t="s">
        <v>35</v>
      </c>
      <c r="B15" s="1" t="s">
        <v>548</v>
      </c>
      <c r="C15" s="1" t="s">
        <v>549</v>
      </c>
      <c r="D15" s="1" t="s">
        <v>62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16</v>
      </c>
      <c r="K15" s="1">
        <v>1</v>
      </c>
      <c r="L15" s="7">
        <v>149.5</v>
      </c>
      <c r="M15" s="1" t="s">
        <v>78</v>
      </c>
      <c r="P15" s="1" t="str">
        <f>Setup!$A$15</f>
        <v>Expert 12</v>
      </c>
      <c r="Q15" s="1">
        <f t="shared" si="0"/>
        <v>0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0</v>
      </c>
      <c r="W15" s="1">
        <f t="shared" si="6"/>
        <v>1</v>
      </c>
      <c r="X15" s="7">
        <f t="shared" si="7"/>
        <v>122.38</v>
      </c>
    </row>
    <row r="16" spans="1:24" x14ac:dyDescent="0.25">
      <c r="A16" s="1" t="s">
        <v>35</v>
      </c>
      <c r="B16" s="1" t="s">
        <v>550</v>
      </c>
      <c r="C16" s="1" t="s">
        <v>551</v>
      </c>
      <c r="D16" s="1" t="s">
        <v>62</v>
      </c>
      <c r="E16" s="1">
        <v>1</v>
      </c>
      <c r="F16" s="1">
        <v>0</v>
      </c>
      <c r="G16" s="1">
        <v>0</v>
      </c>
      <c r="H16" s="1">
        <v>1</v>
      </c>
      <c r="I16" s="1">
        <v>0</v>
      </c>
      <c r="J16" s="7">
        <v>0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21</v>
      </c>
      <c r="R16" s="9">
        <f t="shared" si="8"/>
        <v>3</v>
      </c>
      <c r="S16" s="9">
        <f t="shared" si="8"/>
        <v>1</v>
      </c>
      <c r="T16" s="9">
        <f t="shared" si="8"/>
        <v>4</v>
      </c>
      <c r="U16" s="9">
        <f t="shared" si="8"/>
        <v>0</v>
      </c>
      <c r="V16" s="10">
        <f t="shared" si="8"/>
        <v>360</v>
      </c>
      <c r="W16" s="9">
        <f t="shared" si="8"/>
        <v>28</v>
      </c>
      <c r="X16" s="10">
        <f t="shared" si="8"/>
        <v>1935.67</v>
      </c>
    </row>
    <row r="17" spans="1:13" x14ac:dyDescent="0.25">
      <c r="A17" s="1" t="s">
        <v>43</v>
      </c>
      <c r="B17" s="1" t="s">
        <v>552</v>
      </c>
      <c r="C17" s="1" t="s">
        <v>553</v>
      </c>
      <c r="D17" s="1" t="s">
        <v>42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49</v>
      </c>
      <c r="B18" s="1" t="s">
        <v>554</v>
      </c>
      <c r="C18" s="1" t="s">
        <v>555</v>
      </c>
      <c r="D18" s="1" t="s">
        <v>63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19.579999999999998</v>
      </c>
      <c r="M18" s="1" t="s">
        <v>78</v>
      </c>
    </row>
    <row r="19" spans="1:13" x14ac:dyDescent="0.25">
      <c r="A19" s="1" t="s">
        <v>37</v>
      </c>
      <c r="B19" s="1" t="s">
        <v>556</v>
      </c>
      <c r="C19" s="1" t="s">
        <v>557</v>
      </c>
      <c r="D19" s="1" t="s">
        <v>63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44.06</v>
      </c>
      <c r="M19" s="1" t="s">
        <v>78</v>
      </c>
    </row>
    <row r="20" spans="1:13" x14ac:dyDescent="0.25">
      <c r="A20" s="1" t="s">
        <v>35</v>
      </c>
      <c r="B20" s="1" t="s">
        <v>558</v>
      </c>
      <c r="C20" s="1" t="s">
        <v>559</v>
      </c>
      <c r="D20" s="1" t="s">
        <v>63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16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33</v>
      </c>
      <c r="B21" s="1" t="s">
        <v>560</v>
      </c>
      <c r="C21" s="1" t="s">
        <v>561</v>
      </c>
      <c r="D21" s="1" t="s">
        <v>69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7">
        <v>0</v>
      </c>
      <c r="K21" s="1">
        <v>0</v>
      </c>
      <c r="L21" s="7">
        <v>0</v>
      </c>
      <c r="M21" s="1" t="s">
        <v>78</v>
      </c>
    </row>
    <row r="22" spans="1:13" x14ac:dyDescent="0.25">
      <c r="A22" s="1" t="s">
        <v>49</v>
      </c>
      <c r="B22" s="1" t="s">
        <v>562</v>
      </c>
      <c r="C22" s="1" t="s">
        <v>563</v>
      </c>
      <c r="D22" s="1" t="s">
        <v>48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126.01</v>
      </c>
      <c r="M22" s="1" t="s">
        <v>78</v>
      </c>
    </row>
    <row r="23" spans="1:13" x14ac:dyDescent="0.25">
      <c r="A23" s="1" t="s">
        <v>49</v>
      </c>
      <c r="B23" s="1" t="s">
        <v>564</v>
      </c>
      <c r="C23" s="1" t="s">
        <v>565</v>
      </c>
      <c r="D23" s="1" t="s">
        <v>38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18</v>
      </c>
      <c r="K23" s="1">
        <v>1</v>
      </c>
      <c r="L23" s="7">
        <v>121.15</v>
      </c>
      <c r="M23" s="1" t="s">
        <v>78</v>
      </c>
    </row>
    <row r="24" spans="1:13" x14ac:dyDescent="0.25">
      <c r="A24" s="1" t="s">
        <v>47</v>
      </c>
      <c r="B24" s="1" t="s">
        <v>566</v>
      </c>
      <c r="C24" s="1" t="s">
        <v>567</v>
      </c>
      <c r="D24" s="1" t="s">
        <v>36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151.22999999999999</v>
      </c>
      <c r="M24" s="1" t="s">
        <v>78</v>
      </c>
    </row>
    <row r="25" spans="1:13" x14ac:dyDescent="0.25">
      <c r="A25" s="1" t="s">
        <v>51</v>
      </c>
      <c r="B25" s="1" t="s">
        <v>568</v>
      </c>
      <c r="C25" s="1" t="s">
        <v>569</v>
      </c>
      <c r="D25" s="1" t="s">
        <v>67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7">
        <v>33</v>
      </c>
      <c r="K25" s="1">
        <v>0</v>
      </c>
      <c r="L25" s="7">
        <v>84.4</v>
      </c>
      <c r="M25" s="1" t="s">
        <v>78</v>
      </c>
    </row>
    <row r="26" spans="1:13" x14ac:dyDescent="0.25">
      <c r="A26" s="1" t="s">
        <v>35</v>
      </c>
      <c r="B26" s="1" t="s">
        <v>570</v>
      </c>
      <c r="C26" s="1" t="s">
        <v>571</v>
      </c>
      <c r="D26" s="1" t="s">
        <v>50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7">
        <v>33</v>
      </c>
      <c r="K26" s="1">
        <v>1</v>
      </c>
      <c r="L26" s="7">
        <v>0</v>
      </c>
      <c r="M26" s="1" t="s">
        <v>78</v>
      </c>
    </row>
    <row r="27" spans="1:13" x14ac:dyDescent="0.25">
      <c r="A27" s="1" t="s">
        <v>55</v>
      </c>
      <c r="B27" s="1" t="s">
        <v>572</v>
      </c>
      <c r="C27" s="1" t="s">
        <v>573</v>
      </c>
      <c r="D27" s="1" t="s">
        <v>58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7">
        <v>0</v>
      </c>
      <c r="K27" s="1">
        <v>1</v>
      </c>
      <c r="L27" s="7">
        <v>122.38</v>
      </c>
      <c r="M27" s="1" t="s">
        <v>83</v>
      </c>
    </row>
    <row r="28" spans="1:13" x14ac:dyDescent="0.25">
      <c r="A28" s="1" t="s">
        <v>39</v>
      </c>
      <c r="B28" s="1" t="s">
        <v>574</v>
      </c>
      <c r="C28" s="1" t="s">
        <v>575</v>
      </c>
      <c r="D28" s="1" t="s">
        <v>34</v>
      </c>
      <c r="E28" s="1">
        <v>1</v>
      </c>
      <c r="F28" s="1">
        <v>0</v>
      </c>
      <c r="G28" s="1">
        <v>0</v>
      </c>
      <c r="H28" s="1">
        <v>1</v>
      </c>
      <c r="I28" s="1">
        <v>0</v>
      </c>
      <c r="J28" s="7">
        <v>16</v>
      </c>
      <c r="K28" s="1">
        <v>1</v>
      </c>
      <c r="L28" s="7">
        <v>0</v>
      </c>
      <c r="M28" s="1" t="s">
        <v>78</v>
      </c>
    </row>
    <row r="29" spans="1:13" x14ac:dyDescent="0.25">
      <c r="A29" s="1" t="s">
        <v>47</v>
      </c>
      <c r="B29" s="1" t="s">
        <v>576</v>
      </c>
      <c r="C29" s="1" t="s">
        <v>577</v>
      </c>
      <c r="D29" s="1" t="s">
        <v>64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7">
        <v>18</v>
      </c>
      <c r="K29" s="1">
        <v>1</v>
      </c>
      <c r="L29" s="7">
        <v>143.96</v>
      </c>
      <c r="M29" s="1" t="s">
        <v>78</v>
      </c>
    </row>
    <row r="30" spans="1:13" x14ac:dyDescent="0.25">
      <c r="A30" s="1" t="s">
        <v>35</v>
      </c>
      <c r="B30" s="1" t="s">
        <v>578</v>
      </c>
      <c r="C30" s="1" t="s">
        <v>579</v>
      </c>
      <c r="D30" s="1" t="s">
        <v>44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7">
        <v>0</v>
      </c>
      <c r="K30" s="1">
        <v>1</v>
      </c>
      <c r="L30" s="7">
        <v>0</v>
      </c>
      <c r="M30" s="1" t="s">
        <v>78</v>
      </c>
    </row>
    <row r="31" spans="1:13" x14ac:dyDescent="0.25">
      <c r="A31" s="1" t="s">
        <v>49</v>
      </c>
      <c r="B31" s="1" t="s">
        <v>580</v>
      </c>
      <c r="C31" s="1" t="s">
        <v>581</v>
      </c>
      <c r="D31" s="1" t="s">
        <v>61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7">
        <v>0</v>
      </c>
      <c r="K31" s="1">
        <v>1</v>
      </c>
      <c r="L31" s="7">
        <v>5.88</v>
      </c>
      <c r="M31" s="1" t="s">
        <v>78</v>
      </c>
    </row>
    <row r="32" spans="1:13" x14ac:dyDescent="0.25">
      <c r="A32" s="1" t="s">
        <v>37</v>
      </c>
      <c r="B32" s="1" t="s">
        <v>582</v>
      </c>
      <c r="C32" s="1" t="s">
        <v>583</v>
      </c>
      <c r="D32" s="1" t="s">
        <v>62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7">
        <v>0</v>
      </c>
      <c r="K32" s="1">
        <v>1</v>
      </c>
      <c r="L32" s="7">
        <v>172.14</v>
      </c>
      <c r="M32" s="1" t="s">
        <v>78</v>
      </c>
    </row>
    <row r="33" spans="1:13" x14ac:dyDescent="0.25">
      <c r="A33" s="1" t="s">
        <v>53</v>
      </c>
      <c r="B33" s="1" t="s">
        <v>584</v>
      </c>
      <c r="C33" s="1" t="s">
        <v>585</v>
      </c>
      <c r="D33" s="1" t="s">
        <v>46</v>
      </c>
      <c r="E33" s="1">
        <v>1</v>
      </c>
      <c r="F33" s="1">
        <v>0</v>
      </c>
      <c r="G33" s="1">
        <v>0</v>
      </c>
      <c r="H33" s="1">
        <v>0</v>
      </c>
      <c r="I33" s="1">
        <v>0</v>
      </c>
      <c r="J33" s="7">
        <v>24</v>
      </c>
      <c r="K33" s="1">
        <v>1</v>
      </c>
      <c r="L33" s="7">
        <v>0</v>
      </c>
      <c r="M33" s="1" t="s">
        <v>78</v>
      </c>
    </row>
    <row r="34" spans="1:13" x14ac:dyDescent="0.25">
      <c r="A34" s="1" t="s">
        <v>37</v>
      </c>
      <c r="B34" s="1" t="s">
        <v>586</v>
      </c>
      <c r="C34" s="1" t="s">
        <v>587</v>
      </c>
      <c r="D34" s="1" t="s">
        <v>34</v>
      </c>
      <c r="E34" s="1">
        <v>1</v>
      </c>
      <c r="F34" s="1">
        <v>0</v>
      </c>
      <c r="G34" s="1">
        <v>0</v>
      </c>
      <c r="H34" s="1">
        <v>0</v>
      </c>
      <c r="I34" s="1">
        <v>0</v>
      </c>
      <c r="J34" s="7">
        <v>0</v>
      </c>
      <c r="K34" s="1">
        <v>1</v>
      </c>
      <c r="L34" s="7">
        <v>0</v>
      </c>
      <c r="M34" s="1" t="s">
        <v>78</v>
      </c>
    </row>
    <row r="35" spans="1:13" x14ac:dyDescent="0.25">
      <c r="A35" s="1" t="s">
        <v>53</v>
      </c>
      <c r="B35" s="1" t="s">
        <v>588</v>
      </c>
      <c r="C35" s="1" t="s">
        <v>589</v>
      </c>
      <c r="D35" s="1" t="s">
        <v>56</v>
      </c>
      <c r="E35" s="1">
        <v>1</v>
      </c>
      <c r="F35" s="1">
        <v>0</v>
      </c>
      <c r="G35" s="1">
        <v>0</v>
      </c>
      <c r="H35" s="1">
        <v>0</v>
      </c>
      <c r="I35" s="1">
        <v>0</v>
      </c>
      <c r="J35" s="7">
        <v>16</v>
      </c>
      <c r="K35" s="1">
        <v>1</v>
      </c>
      <c r="L35" s="7">
        <v>102.47</v>
      </c>
      <c r="M35" s="1" t="s">
        <v>78</v>
      </c>
    </row>
    <row r="36" spans="1:13" x14ac:dyDescent="0.25">
      <c r="A36" s="1" t="s">
        <v>41</v>
      </c>
      <c r="B36" s="1" t="s">
        <v>590</v>
      </c>
      <c r="C36" s="1" t="s">
        <v>591</v>
      </c>
      <c r="D36" s="1" t="s">
        <v>52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7">
        <v>24</v>
      </c>
      <c r="K36" s="1">
        <v>1</v>
      </c>
      <c r="L36" s="7">
        <v>128.34</v>
      </c>
      <c r="M36" s="1" t="s">
        <v>78</v>
      </c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592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41</v>
      </c>
      <c r="B4" s="1" t="s">
        <v>593</v>
      </c>
      <c r="C4" s="1" t="s">
        <v>594</v>
      </c>
      <c r="D4" s="1" t="s">
        <v>58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15</v>
      </c>
      <c r="K4" s="1">
        <v>1</v>
      </c>
      <c r="L4" s="7">
        <v>161.80000000000001</v>
      </c>
      <c r="M4" s="1" t="s">
        <v>83</v>
      </c>
      <c r="P4" s="1" t="str">
        <f>Setup!$A$4</f>
        <v>Expert 01</v>
      </c>
      <c r="Q4" s="1">
        <f t="shared" ref="Q4:Q15" si="0">SUMIF($A$4:$A$43,$P4,E$4:E$43)</f>
        <v>3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3</v>
      </c>
      <c r="X4" s="7">
        <f t="shared" ref="X4:X15" si="7">SUMIF($A$4:$A$43,$P4,L$4:L$43)</f>
        <v>280.57</v>
      </c>
    </row>
    <row r="5" spans="1:24" x14ac:dyDescent="0.25">
      <c r="A5" s="1" t="s">
        <v>37</v>
      </c>
      <c r="B5" s="1" t="s">
        <v>595</v>
      </c>
      <c r="C5" s="1" t="s">
        <v>596</v>
      </c>
      <c r="D5" s="1" t="s">
        <v>44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168.9</v>
      </c>
      <c r="M5" s="1" t="s">
        <v>78</v>
      </c>
      <c r="P5" s="1" t="str">
        <f>Setup!$A$5</f>
        <v>Expert 02</v>
      </c>
      <c r="Q5" s="1">
        <f t="shared" si="0"/>
        <v>0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0</v>
      </c>
      <c r="W5" s="1">
        <f t="shared" si="6"/>
        <v>1</v>
      </c>
      <c r="X5" s="7">
        <f t="shared" si="7"/>
        <v>0</v>
      </c>
    </row>
    <row r="6" spans="1:24" x14ac:dyDescent="0.25">
      <c r="A6" s="1" t="s">
        <v>37</v>
      </c>
      <c r="B6" s="1" t="s">
        <v>597</v>
      </c>
      <c r="C6" s="1" t="s">
        <v>598</v>
      </c>
      <c r="D6" s="1" t="s">
        <v>54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95.54</v>
      </c>
      <c r="M6" s="1" t="s">
        <v>78</v>
      </c>
      <c r="P6" s="1" t="str">
        <f>Setup!$A$6</f>
        <v>Expert 03</v>
      </c>
      <c r="Q6" s="1">
        <f t="shared" si="0"/>
        <v>4</v>
      </c>
      <c r="R6" s="1">
        <f t="shared" si="1"/>
        <v>1</v>
      </c>
      <c r="S6" s="1">
        <f t="shared" si="2"/>
        <v>0</v>
      </c>
      <c r="T6" s="1">
        <f t="shared" si="3"/>
        <v>1</v>
      </c>
      <c r="U6" s="1">
        <f t="shared" si="4"/>
        <v>0</v>
      </c>
      <c r="V6" s="7">
        <f t="shared" si="5"/>
        <v>58</v>
      </c>
      <c r="W6" s="1">
        <f t="shared" si="6"/>
        <v>6</v>
      </c>
      <c r="X6" s="7">
        <f t="shared" si="7"/>
        <v>406.36</v>
      </c>
    </row>
    <row r="7" spans="1:24" x14ac:dyDescent="0.25">
      <c r="A7" s="1" t="s">
        <v>49</v>
      </c>
      <c r="B7" s="1" t="s">
        <v>599</v>
      </c>
      <c r="C7" s="1" t="s">
        <v>600</v>
      </c>
      <c r="D7" s="1" t="s">
        <v>46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7">
        <v>15</v>
      </c>
      <c r="K7" s="1">
        <v>1</v>
      </c>
      <c r="L7" s="7">
        <v>121.53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1</v>
      </c>
      <c r="S7" s="1">
        <f t="shared" si="2"/>
        <v>1</v>
      </c>
      <c r="T7" s="1">
        <f t="shared" si="3"/>
        <v>0</v>
      </c>
      <c r="U7" s="1">
        <f t="shared" si="4"/>
        <v>0</v>
      </c>
      <c r="V7" s="7">
        <f t="shared" si="5"/>
        <v>42</v>
      </c>
      <c r="W7" s="1">
        <f t="shared" si="6"/>
        <v>3</v>
      </c>
      <c r="X7" s="7">
        <f t="shared" si="7"/>
        <v>243.03000000000003</v>
      </c>
    </row>
    <row r="8" spans="1:24" x14ac:dyDescent="0.25">
      <c r="A8" s="1" t="s">
        <v>37</v>
      </c>
      <c r="B8" s="1" t="s">
        <v>601</v>
      </c>
      <c r="C8" s="1" t="s">
        <v>602</v>
      </c>
      <c r="D8" s="1" t="s">
        <v>42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0</v>
      </c>
      <c r="K8" s="1">
        <v>1</v>
      </c>
      <c r="L8" s="7">
        <v>141.91999999999999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15</v>
      </c>
      <c r="W8" s="1">
        <f t="shared" si="6"/>
        <v>2</v>
      </c>
      <c r="X8" s="7">
        <f t="shared" si="7"/>
        <v>265.95000000000005</v>
      </c>
    </row>
    <row r="9" spans="1:24" x14ac:dyDescent="0.25">
      <c r="A9" s="1" t="s">
        <v>53</v>
      </c>
      <c r="B9" s="1" t="s">
        <v>603</v>
      </c>
      <c r="C9" s="1" t="s">
        <v>604</v>
      </c>
      <c r="D9" s="1" t="s">
        <v>36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16</v>
      </c>
      <c r="K9" s="1">
        <v>1</v>
      </c>
      <c r="L9" s="7">
        <v>16.920000000000002</v>
      </c>
      <c r="M9" s="1" t="s">
        <v>78</v>
      </c>
      <c r="P9" s="1" t="str">
        <f>Setup!$A$9</f>
        <v>Expert 06</v>
      </c>
      <c r="Q9" s="1">
        <f t="shared" si="0"/>
        <v>1</v>
      </c>
      <c r="R9" s="1">
        <f t="shared" si="1"/>
        <v>1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51</v>
      </c>
      <c r="W9" s="1">
        <f t="shared" si="6"/>
        <v>2</v>
      </c>
      <c r="X9" s="7">
        <f t="shared" si="7"/>
        <v>32.47</v>
      </c>
    </row>
    <row r="10" spans="1:24" x14ac:dyDescent="0.25">
      <c r="A10" s="1" t="s">
        <v>33</v>
      </c>
      <c r="B10" s="1" t="s">
        <v>605</v>
      </c>
      <c r="C10" s="1" t="s">
        <v>606</v>
      </c>
      <c r="D10" s="1" t="s">
        <v>54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85.08</v>
      </c>
      <c r="M10" s="1" t="s">
        <v>78</v>
      </c>
      <c r="P10" s="1" t="str">
        <f>Setup!$A$10</f>
        <v>Expert 07</v>
      </c>
      <c r="Q10" s="1">
        <f t="shared" si="0"/>
        <v>5</v>
      </c>
      <c r="R10" s="1">
        <f t="shared" si="1"/>
        <v>1</v>
      </c>
      <c r="S10" s="1">
        <f t="shared" si="2"/>
        <v>0</v>
      </c>
      <c r="T10" s="1">
        <f t="shared" si="3"/>
        <v>1</v>
      </c>
      <c r="U10" s="1">
        <f t="shared" si="4"/>
        <v>0</v>
      </c>
      <c r="V10" s="7">
        <f t="shared" si="5"/>
        <v>129</v>
      </c>
      <c r="W10" s="1">
        <f t="shared" si="6"/>
        <v>6</v>
      </c>
      <c r="X10" s="7">
        <f t="shared" si="7"/>
        <v>258.13</v>
      </c>
    </row>
    <row r="11" spans="1:24" x14ac:dyDescent="0.25">
      <c r="A11" s="1" t="s">
        <v>47</v>
      </c>
      <c r="B11" s="1" t="s">
        <v>607</v>
      </c>
      <c r="C11" s="1" t="s">
        <v>608</v>
      </c>
      <c r="D11" s="1" t="s">
        <v>42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1</v>
      </c>
      <c r="L11" s="7">
        <v>102.12</v>
      </c>
      <c r="M11" s="1" t="s">
        <v>78</v>
      </c>
      <c r="P11" s="1" t="str">
        <f>Setup!$A$11</f>
        <v>Expert 08</v>
      </c>
      <c r="Q11" s="1">
        <f t="shared" si="0"/>
        <v>3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16</v>
      </c>
      <c r="W11" s="1">
        <f t="shared" si="6"/>
        <v>3</v>
      </c>
      <c r="X11" s="7">
        <f t="shared" si="7"/>
        <v>251.41</v>
      </c>
    </row>
    <row r="12" spans="1:24" x14ac:dyDescent="0.25">
      <c r="A12" s="1" t="s">
        <v>39</v>
      </c>
      <c r="B12" s="1" t="s">
        <v>609</v>
      </c>
      <c r="C12" s="1" t="s">
        <v>610</v>
      </c>
      <c r="D12" s="1" t="s">
        <v>56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18</v>
      </c>
      <c r="K12" s="1">
        <v>1</v>
      </c>
      <c r="L12" s="7">
        <v>86.79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15</v>
      </c>
      <c r="W12" s="1">
        <f t="shared" si="6"/>
        <v>2</v>
      </c>
      <c r="X12" s="7">
        <f t="shared" si="7"/>
        <v>121.53</v>
      </c>
    </row>
    <row r="13" spans="1:24" x14ac:dyDescent="0.25">
      <c r="A13" s="1" t="s">
        <v>43</v>
      </c>
      <c r="B13" s="1" t="s">
        <v>611</v>
      </c>
      <c r="C13" s="1" t="s">
        <v>612</v>
      </c>
      <c r="D13" s="1" t="s">
        <v>54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7">
        <v>18</v>
      </c>
      <c r="K13" s="1">
        <v>1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0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0</v>
      </c>
      <c r="W13" s="1">
        <f t="shared" si="6"/>
        <v>0</v>
      </c>
      <c r="X13" s="7">
        <f t="shared" si="7"/>
        <v>0</v>
      </c>
    </row>
    <row r="14" spans="1:24" x14ac:dyDescent="0.25">
      <c r="A14" s="1" t="s">
        <v>37</v>
      </c>
      <c r="B14" s="1" t="s">
        <v>613</v>
      </c>
      <c r="C14" s="1" t="s">
        <v>614</v>
      </c>
      <c r="D14" s="1" t="s">
        <v>48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7">
        <v>16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3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82</v>
      </c>
      <c r="W14" s="1">
        <f t="shared" si="6"/>
        <v>3</v>
      </c>
      <c r="X14" s="7">
        <f t="shared" si="7"/>
        <v>129.99</v>
      </c>
    </row>
    <row r="15" spans="1:24" x14ac:dyDescent="0.25">
      <c r="A15" s="1" t="s">
        <v>47</v>
      </c>
      <c r="B15" s="1" t="s">
        <v>615</v>
      </c>
      <c r="C15" s="1" t="s">
        <v>616</v>
      </c>
      <c r="D15" s="1" t="s">
        <v>48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0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2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33</v>
      </c>
      <c r="W15" s="1">
        <f t="shared" si="6"/>
        <v>2</v>
      </c>
      <c r="X15" s="7">
        <f t="shared" si="7"/>
        <v>358.19000000000005</v>
      </c>
    </row>
    <row r="16" spans="1:24" x14ac:dyDescent="0.25">
      <c r="A16" s="1" t="s">
        <v>37</v>
      </c>
      <c r="B16" s="1" t="s">
        <v>617</v>
      </c>
      <c r="C16" s="1" t="s">
        <v>618</v>
      </c>
      <c r="D16" s="1" t="s">
        <v>38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7">
        <v>18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24</v>
      </c>
      <c r="R16" s="9">
        <f t="shared" si="8"/>
        <v>4</v>
      </c>
      <c r="S16" s="9">
        <f t="shared" si="8"/>
        <v>1</v>
      </c>
      <c r="T16" s="9">
        <f t="shared" si="8"/>
        <v>2</v>
      </c>
      <c r="U16" s="9">
        <f t="shared" si="8"/>
        <v>0</v>
      </c>
      <c r="V16" s="10">
        <f t="shared" si="8"/>
        <v>441</v>
      </c>
      <c r="W16" s="9">
        <f t="shared" si="8"/>
        <v>33</v>
      </c>
      <c r="X16" s="10">
        <f t="shared" si="8"/>
        <v>2347.63</v>
      </c>
    </row>
    <row r="17" spans="1:13" x14ac:dyDescent="0.25">
      <c r="A17" s="1" t="s">
        <v>45</v>
      </c>
      <c r="B17" s="1" t="s">
        <v>619</v>
      </c>
      <c r="C17" s="1" t="s">
        <v>620</v>
      </c>
      <c r="D17" s="1" t="s">
        <v>65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7">
        <v>33</v>
      </c>
      <c r="K17" s="1">
        <v>1</v>
      </c>
      <c r="L17" s="7">
        <v>168.79</v>
      </c>
      <c r="M17" s="1" t="s">
        <v>78</v>
      </c>
    </row>
    <row r="18" spans="1:13" x14ac:dyDescent="0.25">
      <c r="A18" s="1" t="s">
        <v>55</v>
      </c>
      <c r="B18" s="1" t="s">
        <v>621</v>
      </c>
      <c r="C18" s="1" t="s">
        <v>622</v>
      </c>
      <c r="D18" s="1" t="s">
        <v>54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153.93</v>
      </c>
      <c r="M18" s="1" t="s">
        <v>78</v>
      </c>
    </row>
    <row r="19" spans="1:13" x14ac:dyDescent="0.25">
      <c r="A19" s="1" t="s">
        <v>45</v>
      </c>
      <c r="B19" s="1" t="s">
        <v>623</v>
      </c>
      <c r="C19" s="1" t="s">
        <v>624</v>
      </c>
      <c r="D19" s="1" t="s">
        <v>40</v>
      </c>
      <c r="E19" s="1">
        <v>1</v>
      </c>
      <c r="F19" s="1">
        <v>0</v>
      </c>
      <c r="G19" s="1">
        <v>0</v>
      </c>
      <c r="H19" s="1">
        <v>1</v>
      </c>
      <c r="I19" s="1">
        <v>0</v>
      </c>
      <c r="J19" s="7">
        <v>24</v>
      </c>
      <c r="K19" s="1">
        <v>1</v>
      </c>
      <c r="L19" s="7">
        <v>0</v>
      </c>
      <c r="M19" s="1" t="s">
        <v>78</v>
      </c>
    </row>
    <row r="20" spans="1:13" x14ac:dyDescent="0.25">
      <c r="A20" s="1" t="s">
        <v>55</v>
      </c>
      <c r="B20" s="1" t="s">
        <v>625</v>
      </c>
      <c r="C20" s="1" t="s">
        <v>626</v>
      </c>
      <c r="D20" s="1" t="s">
        <v>69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7">
        <v>0</v>
      </c>
      <c r="K20" s="1">
        <v>0</v>
      </c>
      <c r="L20" s="7">
        <v>52.93</v>
      </c>
      <c r="M20" s="1" t="s">
        <v>78</v>
      </c>
    </row>
    <row r="21" spans="1:13" x14ac:dyDescent="0.25">
      <c r="A21" s="1" t="s">
        <v>53</v>
      </c>
      <c r="B21" s="1" t="s">
        <v>627</v>
      </c>
      <c r="C21" s="1" t="s">
        <v>628</v>
      </c>
      <c r="D21" s="1" t="s">
        <v>40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33</v>
      </c>
      <c r="K21" s="1">
        <v>1</v>
      </c>
      <c r="L21" s="7">
        <v>91.64</v>
      </c>
      <c r="M21" s="1" t="s">
        <v>78</v>
      </c>
    </row>
    <row r="22" spans="1:13" x14ac:dyDescent="0.25">
      <c r="A22" s="1" t="s">
        <v>45</v>
      </c>
      <c r="B22" s="1" t="s">
        <v>629</v>
      </c>
      <c r="C22" s="1" t="s">
        <v>630</v>
      </c>
      <c r="D22" s="1" t="s">
        <v>65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53</v>
      </c>
      <c r="B23" s="1" t="s">
        <v>631</v>
      </c>
      <c r="C23" s="1" t="s">
        <v>632</v>
      </c>
      <c r="D23" s="1" t="s">
        <v>54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33</v>
      </c>
      <c r="K23" s="1">
        <v>1</v>
      </c>
      <c r="L23" s="7">
        <v>21.43</v>
      </c>
      <c r="M23" s="1" t="s">
        <v>78</v>
      </c>
    </row>
    <row r="24" spans="1:13" x14ac:dyDescent="0.25">
      <c r="A24" s="1" t="s">
        <v>33</v>
      </c>
      <c r="B24" s="1" t="s">
        <v>633</v>
      </c>
      <c r="C24" s="1" t="s">
        <v>634</v>
      </c>
      <c r="D24" s="1" t="s">
        <v>42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64.02</v>
      </c>
      <c r="M24" s="1" t="s">
        <v>78</v>
      </c>
    </row>
    <row r="25" spans="1:13" x14ac:dyDescent="0.25">
      <c r="A25" s="1" t="s">
        <v>55</v>
      </c>
      <c r="B25" s="1" t="s">
        <v>635</v>
      </c>
      <c r="C25" s="1" t="s">
        <v>636</v>
      </c>
      <c r="D25" s="1" t="s">
        <v>68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33</v>
      </c>
      <c r="K25" s="1">
        <v>1</v>
      </c>
      <c r="L25" s="7">
        <v>151.33000000000001</v>
      </c>
      <c r="M25" s="1" t="s">
        <v>83</v>
      </c>
    </row>
    <row r="26" spans="1:13" x14ac:dyDescent="0.25">
      <c r="A26" s="1" t="s">
        <v>37</v>
      </c>
      <c r="B26" s="1" t="s">
        <v>637</v>
      </c>
      <c r="C26" s="1" t="s">
        <v>638</v>
      </c>
      <c r="D26" s="1" t="s">
        <v>40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24</v>
      </c>
      <c r="K26" s="1">
        <v>1</v>
      </c>
      <c r="L26" s="7">
        <v>0</v>
      </c>
      <c r="M26" s="1" t="s">
        <v>78</v>
      </c>
    </row>
    <row r="27" spans="1:13" x14ac:dyDescent="0.25">
      <c r="A27" s="1" t="s">
        <v>45</v>
      </c>
      <c r="B27" s="1" t="s">
        <v>639</v>
      </c>
      <c r="C27" s="1" t="s">
        <v>640</v>
      </c>
      <c r="D27" s="1" t="s">
        <v>58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7">
        <v>33</v>
      </c>
      <c r="K27" s="1">
        <v>1</v>
      </c>
      <c r="L27" s="7">
        <v>0</v>
      </c>
      <c r="M27" s="1" t="s">
        <v>83</v>
      </c>
    </row>
    <row r="28" spans="1:13" x14ac:dyDescent="0.25">
      <c r="A28" s="1" t="s">
        <v>49</v>
      </c>
      <c r="B28" s="1" t="s">
        <v>641</v>
      </c>
      <c r="C28" s="1" t="s">
        <v>642</v>
      </c>
      <c r="D28" s="1" t="s">
        <v>40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0</v>
      </c>
      <c r="M28" s="1" t="s">
        <v>78</v>
      </c>
    </row>
    <row r="29" spans="1:13" x14ac:dyDescent="0.25">
      <c r="A29" s="1" t="s">
        <v>33</v>
      </c>
      <c r="B29" s="1" t="s">
        <v>643</v>
      </c>
      <c r="C29" s="1" t="s">
        <v>644</v>
      </c>
      <c r="D29" s="1" t="s">
        <v>57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7">
        <v>0</v>
      </c>
      <c r="K29" s="1">
        <v>1</v>
      </c>
      <c r="L29" s="7">
        <v>131.47</v>
      </c>
      <c r="M29" s="1" t="s">
        <v>78</v>
      </c>
    </row>
    <row r="30" spans="1:13" x14ac:dyDescent="0.25">
      <c r="A30" s="1" t="s">
        <v>39</v>
      </c>
      <c r="B30" s="1" t="s">
        <v>645</v>
      </c>
      <c r="C30" s="1" t="s">
        <v>646</v>
      </c>
      <c r="D30" s="1" t="s">
        <v>40</v>
      </c>
      <c r="E30" s="1">
        <v>0</v>
      </c>
      <c r="F30" s="1">
        <v>1</v>
      </c>
      <c r="G30" s="1">
        <v>0</v>
      </c>
      <c r="H30" s="1">
        <v>0</v>
      </c>
      <c r="I30" s="1">
        <v>0</v>
      </c>
      <c r="J30" s="7">
        <v>24</v>
      </c>
      <c r="K30" s="1">
        <v>1</v>
      </c>
      <c r="L30" s="7">
        <v>0</v>
      </c>
      <c r="M30" s="1" t="s">
        <v>78</v>
      </c>
    </row>
    <row r="31" spans="1:13" x14ac:dyDescent="0.25">
      <c r="A31" s="1" t="s">
        <v>39</v>
      </c>
      <c r="B31" s="1" t="s">
        <v>647</v>
      </c>
      <c r="C31" s="1" t="s">
        <v>648</v>
      </c>
      <c r="D31" s="1" t="s">
        <v>34</v>
      </c>
      <c r="E31" s="1">
        <v>0</v>
      </c>
      <c r="F31" s="1">
        <v>0</v>
      </c>
      <c r="G31" s="1">
        <v>1</v>
      </c>
      <c r="H31" s="1">
        <v>0</v>
      </c>
      <c r="I31" s="1">
        <v>0</v>
      </c>
      <c r="J31" s="7">
        <v>0</v>
      </c>
      <c r="K31" s="1">
        <v>1</v>
      </c>
      <c r="L31" s="7">
        <v>156.24</v>
      </c>
      <c r="M31" s="1" t="s">
        <v>78</v>
      </c>
    </row>
    <row r="32" spans="1:13" x14ac:dyDescent="0.25">
      <c r="A32" s="1" t="s">
        <v>41</v>
      </c>
      <c r="B32" s="1" t="s">
        <v>649</v>
      </c>
      <c r="C32" s="1" t="s">
        <v>650</v>
      </c>
      <c r="D32" s="1" t="s">
        <v>60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7">
        <v>0</v>
      </c>
      <c r="K32" s="1">
        <v>1</v>
      </c>
      <c r="L32" s="7">
        <v>104.15</v>
      </c>
      <c r="M32" s="1" t="s">
        <v>78</v>
      </c>
    </row>
    <row r="33" spans="1:13" x14ac:dyDescent="0.25">
      <c r="A33" s="1" t="s">
        <v>43</v>
      </c>
      <c r="B33" s="1" t="s">
        <v>651</v>
      </c>
      <c r="C33" s="1" t="s">
        <v>652</v>
      </c>
      <c r="D33" s="1" t="s">
        <v>61</v>
      </c>
      <c r="E33" s="1">
        <v>1</v>
      </c>
      <c r="F33" s="1">
        <v>0</v>
      </c>
      <c r="G33" s="1">
        <v>0</v>
      </c>
      <c r="H33" s="1">
        <v>0</v>
      </c>
      <c r="I33" s="1">
        <v>0</v>
      </c>
      <c r="J33" s="7">
        <v>33</v>
      </c>
      <c r="K33" s="1">
        <v>1</v>
      </c>
      <c r="L33" s="7">
        <v>32.47</v>
      </c>
      <c r="M33" s="1" t="s">
        <v>78</v>
      </c>
    </row>
    <row r="34" spans="1:13" x14ac:dyDescent="0.25">
      <c r="A34" s="1" t="s">
        <v>35</v>
      </c>
      <c r="B34" s="1" t="s">
        <v>653</v>
      </c>
      <c r="C34" s="1" t="s">
        <v>654</v>
      </c>
      <c r="D34" s="1" t="s">
        <v>44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7">
        <v>0</v>
      </c>
      <c r="K34" s="1">
        <v>1</v>
      </c>
      <c r="L34" s="7">
        <v>0</v>
      </c>
      <c r="M34" s="1" t="s">
        <v>78</v>
      </c>
    </row>
    <row r="35" spans="1:13" x14ac:dyDescent="0.25">
      <c r="A35" s="1" t="s">
        <v>47</v>
      </c>
      <c r="B35" s="1" t="s">
        <v>655</v>
      </c>
      <c r="C35" s="1" t="s">
        <v>656</v>
      </c>
      <c r="D35" s="1" t="s">
        <v>44</v>
      </c>
      <c r="E35" s="1">
        <v>1</v>
      </c>
      <c r="F35" s="1">
        <v>0</v>
      </c>
      <c r="G35" s="1">
        <v>0</v>
      </c>
      <c r="H35" s="1">
        <v>0</v>
      </c>
      <c r="I35" s="1">
        <v>0</v>
      </c>
      <c r="J35" s="7">
        <v>16</v>
      </c>
      <c r="K35" s="1">
        <v>1</v>
      </c>
      <c r="L35" s="7">
        <v>149.29</v>
      </c>
      <c r="M35" s="1" t="s">
        <v>83</v>
      </c>
    </row>
    <row r="36" spans="1:13" x14ac:dyDescent="0.25">
      <c r="A36" s="1" t="s">
        <v>45</v>
      </c>
      <c r="B36" s="1" t="s">
        <v>657</v>
      </c>
      <c r="C36" s="1" t="s">
        <v>658</v>
      </c>
      <c r="D36" s="1" t="s">
        <v>64</v>
      </c>
      <c r="E36" s="1">
        <v>1</v>
      </c>
      <c r="F36" s="1">
        <v>0</v>
      </c>
      <c r="G36" s="1">
        <v>0</v>
      </c>
      <c r="H36" s="1">
        <v>0</v>
      </c>
      <c r="I36" s="1">
        <v>0</v>
      </c>
      <c r="J36" s="7">
        <v>15</v>
      </c>
      <c r="K36" s="1">
        <v>1</v>
      </c>
      <c r="L36" s="7">
        <v>39.28</v>
      </c>
      <c r="M36" s="1" t="s">
        <v>78</v>
      </c>
    </row>
    <row r="37" spans="1:13" x14ac:dyDescent="0.25">
      <c r="A37" s="1" t="s">
        <v>45</v>
      </c>
      <c r="B37" s="1" t="s">
        <v>659</v>
      </c>
      <c r="C37" s="1" t="s">
        <v>660</v>
      </c>
      <c r="D37" s="1" t="s">
        <v>42</v>
      </c>
      <c r="E37" s="1">
        <v>1</v>
      </c>
      <c r="F37" s="1">
        <v>0</v>
      </c>
      <c r="G37" s="1">
        <v>0</v>
      </c>
      <c r="H37" s="1">
        <v>0</v>
      </c>
      <c r="I37" s="1">
        <v>0</v>
      </c>
      <c r="J37" s="7">
        <v>24</v>
      </c>
      <c r="K37" s="1">
        <v>1</v>
      </c>
      <c r="L37" s="7">
        <v>50.06</v>
      </c>
      <c r="M37" s="1" t="s">
        <v>78</v>
      </c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661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47</v>
      </c>
      <c r="B4" s="1" t="s">
        <v>662</v>
      </c>
      <c r="C4" s="1" t="s">
        <v>663</v>
      </c>
      <c r="D4" s="1" t="s">
        <v>61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0</v>
      </c>
      <c r="K4" s="1">
        <v>1</v>
      </c>
      <c r="L4" s="7">
        <v>9.56</v>
      </c>
      <c r="M4" s="1" t="s">
        <v>78</v>
      </c>
      <c r="P4" s="1" t="str">
        <f>Setup!$A$4</f>
        <v>Expert 01</v>
      </c>
      <c r="Q4" s="1">
        <f t="shared" ref="Q4:Q15" si="0">SUMIF($A$4:$A$43,$P4,E$4:E$43)</f>
        <v>1</v>
      </c>
      <c r="R4" s="1">
        <f t="shared" ref="R4:R15" si="1">SUMIF($A$4:$A$43,$P4,F$4:F$43)</f>
        <v>0</v>
      </c>
      <c r="S4" s="1">
        <f t="shared" ref="S4:S15" si="2">SUMIF($A$4:$A$43,$P4,G$4:G$43)</f>
        <v>1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15</v>
      </c>
      <c r="W4" s="1">
        <f t="shared" ref="W4:W15" si="6">SUMIF($A$4:$A$43,$P4,K$4:K$43)</f>
        <v>2</v>
      </c>
      <c r="X4" s="7">
        <f t="shared" ref="X4:X15" si="7">SUMIF($A$4:$A$43,$P4,L$4:L$43)</f>
        <v>149.98000000000002</v>
      </c>
    </row>
    <row r="5" spans="1:24" x14ac:dyDescent="0.25">
      <c r="A5" s="1" t="s">
        <v>35</v>
      </c>
      <c r="B5" s="1" t="s">
        <v>664</v>
      </c>
      <c r="C5" s="1" t="s">
        <v>665</v>
      </c>
      <c r="D5" s="1" t="s">
        <v>58</v>
      </c>
      <c r="E5" s="1">
        <v>0</v>
      </c>
      <c r="F5" s="1">
        <v>1</v>
      </c>
      <c r="G5" s="1">
        <v>0</v>
      </c>
      <c r="H5" s="1">
        <v>0</v>
      </c>
      <c r="I5" s="1">
        <v>0</v>
      </c>
      <c r="J5" s="7">
        <v>16</v>
      </c>
      <c r="K5" s="1">
        <v>1</v>
      </c>
      <c r="L5" s="7">
        <v>11.03</v>
      </c>
      <c r="M5" s="1" t="s">
        <v>78</v>
      </c>
      <c r="P5" s="1" t="str">
        <f>Setup!$A$5</f>
        <v>Expert 02</v>
      </c>
      <c r="Q5" s="1">
        <f t="shared" si="0"/>
        <v>3</v>
      </c>
      <c r="R5" s="1">
        <f t="shared" si="1"/>
        <v>3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48</v>
      </c>
      <c r="W5" s="1">
        <f t="shared" si="6"/>
        <v>6</v>
      </c>
      <c r="X5" s="7">
        <f t="shared" si="7"/>
        <v>103.03</v>
      </c>
    </row>
    <row r="6" spans="1:24" x14ac:dyDescent="0.25">
      <c r="A6" s="1" t="s">
        <v>41</v>
      </c>
      <c r="B6" s="1" t="s">
        <v>666</v>
      </c>
      <c r="C6" s="1" t="s">
        <v>667</v>
      </c>
      <c r="D6" s="1" t="s">
        <v>40</v>
      </c>
      <c r="E6" s="1">
        <v>1</v>
      </c>
      <c r="F6" s="1">
        <v>0</v>
      </c>
      <c r="G6" s="1">
        <v>0</v>
      </c>
      <c r="H6" s="1">
        <v>1</v>
      </c>
      <c r="I6" s="1">
        <v>0</v>
      </c>
      <c r="J6" s="7">
        <v>33</v>
      </c>
      <c r="K6" s="1">
        <v>1</v>
      </c>
      <c r="L6" s="7">
        <v>150.72999999999999</v>
      </c>
      <c r="M6" s="1" t="s">
        <v>83</v>
      </c>
      <c r="P6" s="1" t="str">
        <f>Setup!$A$6</f>
        <v>Expert 03</v>
      </c>
      <c r="Q6" s="1">
        <f t="shared" si="0"/>
        <v>0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0</v>
      </c>
      <c r="X6" s="7">
        <f t="shared" si="7"/>
        <v>0</v>
      </c>
    </row>
    <row r="7" spans="1:24" x14ac:dyDescent="0.25">
      <c r="A7" s="1" t="s">
        <v>35</v>
      </c>
      <c r="B7" s="1" t="s">
        <v>668</v>
      </c>
      <c r="C7" s="1" t="s">
        <v>669</v>
      </c>
      <c r="D7" s="1" t="s">
        <v>67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0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0</v>
      </c>
      <c r="R7" s="1">
        <f t="shared" si="1"/>
        <v>1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16</v>
      </c>
      <c r="W7" s="1">
        <f t="shared" si="6"/>
        <v>1</v>
      </c>
      <c r="X7" s="7">
        <f t="shared" si="7"/>
        <v>23.15</v>
      </c>
    </row>
    <row r="8" spans="1:24" x14ac:dyDescent="0.25">
      <c r="A8" s="1" t="s">
        <v>39</v>
      </c>
      <c r="B8" s="1" t="s">
        <v>670</v>
      </c>
      <c r="C8" s="1" t="s">
        <v>671</v>
      </c>
      <c r="D8" s="1" t="s">
        <v>48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7">
        <v>16</v>
      </c>
      <c r="K8" s="1">
        <v>1</v>
      </c>
      <c r="L8" s="7">
        <v>23.15</v>
      </c>
      <c r="M8" s="1" t="s">
        <v>78</v>
      </c>
      <c r="P8" s="1" t="str">
        <f>Setup!$A$8</f>
        <v>Expert 05</v>
      </c>
      <c r="Q8" s="1">
        <f t="shared" si="0"/>
        <v>2</v>
      </c>
      <c r="R8" s="1">
        <f t="shared" si="1"/>
        <v>0</v>
      </c>
      <c r="S8" s="1">
        <f t="shared" si="2"/>
        <v>0</v>
      </c>
      <c r="T8" s="1">
        <f t="shared" si="3"/>
        <v>1</v>
      </c>
      <c r="U8" s="1">
        <f t="shared" si="4"/>
        <v>0</v>
      </c>
      <c r="V8" s="7">
        <f t="shared" si="5"/>
        <v>33</v>
      </c>
      <c r="W8" s="1">
        <f t="shared" si="6"/>
        <v>2</v>
      </c>
      <c r="X8" s="7">
        <f t="shared" si="7"/>
        <v>150.72999999999999</v>
      </c>
    </row>
    <row r="9" spans="1:24" x14ac:dyDescent="0.25">
      <c r="A9" s="1" t="s">
        <v>35</v>
      </c>
      <c r="B9" s="1" t="s">
        <v>672</v>
      </c>
      <c r="C9" s="1" t="s">
        <v>673</v>
      </c>
      <c r="D9" s="1" t="s">
        <v>36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31.1</v>
      </c>
      <c r="M9" s="1" t="s">
        <v>78</v>
      </c>
      <c r="P9" s="1" t="str">
        <f>Setup!$A$9</f>
        <v>Expert 06</v>
      </c>
      <c r="Q9" s="1">
        <f t="shared" si="0"/>
        <v>5</v>
      </c>
      <c r="R9" s="1">
        <f t="shared" si="1"/>
        <v>0</v>
      </c>
      <c r="S9" s="1">
        <f t="shared" si="2"/>
        <v>0</v>
      </c>
      <c r="T9" s="1">
        <f t="shared" si="3"/>
        <v>1</v>
      </c>
      <c r="U9" s="1">
        <f t="shared" si="4"/>
        <v>0</v>
      </c>
      <c r="V9" s="7">
        <f t="shared" si="5"/>
        <v>114</v>
      </c>
      <c r="W9" s="1">
        <f t="shared" si="6"/>
        <v>5</v>
      </c>
      <c r="X9" s="7">
        <f t="shared" si="7"/>
        <v>257.89</v>
      </c>
    </row>
    <row r="10" spans="1:24" x14ac:dyDescent="0.25">
      <c r="A10" s="1" t="s">
        <v>47</v>
      </c>
      <c r="B10" s="1" t="s">
        <v>674</v>
      </c>
      <c r="C10" s="1" t="s">
        <v>675</v>
      </c>
      <c r="D10" s="1" t="s">
        <v>40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7">
        <v>0</v>
      </c>
      <c r="K10" s="1">
        <v>1</v>
      </c>
      <c r="L10" s="7">
        <v>130.65</v>
      </c>
      <c r="M10" s="1" t="s">
        <v>78</v>
      </c>
      <c r="P10" s="1" t="str">
        <f>Setup!$A$10</f>
        <v>Expert 07</v>
      </c>
      <c r="Q10" s="1">
        <f t="shared" si="0"/>
        <v>0</v>
      </c>
      <c r="R10" s="1">
        <f t="shared" si="1"/>
        <v>1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15</v>
      </c>
      <c r="W10" s="1">
        <f t="shared" si="6"/>
        <v>1</v>
      </c>
      <c r="X10" s="7">
        <f t="shared" si="7"/>
        <v>40.07</v>
      </c>
    </row>
    <row r="11" spans="1:24" x14ac:dyDescent="0.25">
      <c r="A11" s="1" t="s">
        <v>51</v>
      </c>
      <c r="B11" s="1" t="s">
        <v>676</v>
      </c>
      <c r="C11" s="1" t="s">
        <v>677</v>
      </c>
      <c r="D11" s="1" t="s">
        <v>48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18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3</v>
      </c>
      <c r="R11" s="1">
        <f t="shared" si="1"/>
        <v>0</v>
      </c>
      <c r="S11" s="1">
        <f t="shared" si="2"/>
        <v>1</v>
      </c>
      <c r="T11" s="1">
        <f t="shared" si="3"/>
        <v>0</v>
      </c>
      <c r="U11" s="1">
        <f t="shared" si="4"/>
        <v>1</v>
      </c>
      <c r="V11" s="7">
        <f t="shared" si="5"/>
        <v>33</v>
      </c>
      <c r="W11" s="1">
        <f t="shared" si="6"/>
        <v>3</v>
      </c>
      <c r="X11" s="7">
        <f t="shared" si="7"/>
        <v>234.53000000000003</v>
      </c>
    </row>
    <row r="12" spans="1:24" x14ac:dyDescent="0.25">
      <c r="A12" s="1" t="s">
        <v>47</v>
      </c>
      <c r="B12" s="1" t="s">
        <v>678</v>
      </c>
      <c r="C12" s="1" t="s">
        <v>679</v>
      </c>
      <c r="D12" s="1" t="s">
        <v>66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7">
        <v>33</v>
      </c>
      <c r="K12" s="1">
        <v>0</v>
      </c>
      <c r="L12" s="7">
        <v>70.39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1</v>
      </c>
      <c r="S12" s="1">
        <f t="shared" si="2"/>
        <v>0</v>
      </c>
      <c r="T12" s="1">
        <f t="shared" si="3"/>
        <v>1</v>
      </c>
      <c r="U12" s="1">
        <f t="shared" si="4"/>
        <v>0</v>
      </c>
      <c r="V12" s="7">
        <f t="shared" si="5"/>
        <v>40</v>
      </c>
      <c r="W12" s="1">
        <f t="shared" si="6"/>
        <v>4</v>
      </c>
      <c r="X12" s="7">
        <f t="shared" si="7"/>
        <v>293.08000000000004</v>
      </c>
    </row>
    <row r="13" spans="1:24" x14ac:dyDescent="0.25">
      <c r="A13" s="1" t="s">
        <v>49</v>
      </c>
      <c r="B13" s="1" t="s">
        <v>680</v>
      </c>
      <c r="C13" s="1" t="s">
        <v>681</v>
      </c>
      <c r="D13" s="1" t="s">
        <v>48</v>
      </c>
      <c r="E13" s="1">
        <v>0</v>
      </c>
      <c r="F13" s="1">
        <v>1</v>
      </c>
      <c r="G13" s="1">
        <v>0</v>
      </c>
      <c r="H13" s="1">
        <v>1</v>
      </c>
      <c r="I13" s="1">
        <v>0</v>
      </c>
      <c r="J13" s="7">
        <v>0</v>
      </c>
      <c r="K13" s="1">
        <v>1</v>
      </c>
      <c r="L13" s="7">
        <v>89.06</v>
      </c>
      <c r="M13" s="1" t="s">
        <v>83</v>
      </c>
      <c r="P13" s="1" t="str">
        <f>Setup!$A$13</f>
        <v>Expert 10</v>
      </c>
      <c r="Q13" s="1">
        <f t="shared" si="0"/>
        <v>1</v>
      </c>
      <c r="R13" s="1">
        <f t="shared" si="1"/>
        <v>1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33</v>
      </c>
      <c r="W13" s="1">
        <f t="shared" si="6"/>
        <v>2</v>
      </c>
      <c r="X13" s="7">
        <f t="shared" si="7"/>
        <v>154.02000000000001</v>
      </c>
    </row>
    <row r="14" spans="1:24" x14ac:dyDescent="0.25">
      <c r="A14" s="1" t="s">
        <v>45</v>
      </c>
      <c r="B14" s="1" t="s">
        <v>682</v>
      </c>
      <c r="C14" s="1" t="s">
        <v>683</v>
      </c>
      <c r="D14" s="1" t="s">
        <v>65</v>
      </c>
      <c r="E14" s="1">
        <v>0</v>
      </c>
      <c r="F14" s="1">
        <v>1</v>
      </c>
      <c r="G14" s="1">
        <v>0</v>
      </c>
      <c r="H14" s="1">
        <v>0</v>
      </c>
      <c r="I14" s="1">
        <v>0</v>
      </c>
      <c r="J14" s="7">
        <v>15</v>
      </c>
      <c r="K14" s="1">
        <v>1</v>
      </c>
      <c r="L14" s="7">
        <v>40.07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1</v>
      </c>
      <c r="V14" s="7">
        <f t="shared" si="5"/>
        <v>24</v>
      </c>
      <c r="W14" s="1">
        <f t="shared" si="6"/>
        <v>0</v>
      </c>
      <c r="X14" s="7">
        <f t="shared" si="7"/>
        <v>77.319999999999993</v>
      </c>
    </row>
    <row r="15" spans="1:24" x14ac:dyDescent="0.25">
      <c r="A15" s="1" t="s">
        <v>41</v>
      </c>
      <c r="B15" s="1" t="s">
        <v>684</v>
      </c>
      <c r="C15" s="1" t="s">
        <v>685</v>
      </c>
      <c r="D15" s="1" t="s">
        <v>42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0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2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33</v>
      </c>
      <c r="W15" s="1">
        <f t="shared" si="6"/>
        <v>2</v>
      </c>
      <c r="X15" s="7">
        <f t="shared" si="7"/>
        <v>161.22999999999999</v>
      </c>
    </row>
    <row r="16" spans="1:24" x14ac:dyDescent="0.25">
      <c r="A16" s="1" t="s">
        <v>47</v>
      </c>
      <c r="B16" s="1" t="s">
        <v>686</v>
      </c>
      <c r="C16" s="1" t="s">
        <v>687</v>
      </c>
      <c r="D16" s="1" t="s">
        <v>42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23.93</v>
      </c>
      <c r="M16" s="1" t="s">
        <v>78</v>
      </c>
      <c r="P16" s="8" t="s">
        <v>103</v>
      </c>
      <c r="Q16" s="9">
        <f t="shared" ref="Q16:X16" si="8">SUM(Q4:Q15)</f>
        <v>18</v>
      </c>
      <c r="R16" s="9">
        <f t="shared" si="8"/>
        <v>7</v>
      </c>
      <c r="S16" s="9">
        <f t="shared" si="8"/>
        <v>2</v>
      </c>
      <c r="T16" s="9">
        <f t="shared" si="8"/>
        <v>3</v>
      </c>
      <c r="U16" s="9">
        <f t="shared" si="8"/>
        <v>2</v>
      </c>
      <c r="V16" s="10">
        <f t="shared" si="8"/>
        <v>404</v>
      </c>
      <c r="W16" s="9">
        <f t="shared" si="8"/>
        <v>28</v>
      </c>
      <c r="X16" s="10">
        <f t="shared" si="8"/>
        <v>1645.03</v>
      </c>
    </row>
    <row r="17" spans="1:13" x14ac:dyDescent="0.25">
      <c r="A17" s="1" t="s">
        <v>35</v>
      </c>
      <c r="B17" s="1" t="s">
        <v>688</v>
      </c>
      <c r="C17" s="1" t="s">
        <v>689</v>
      </c>
      <c r="D17" s="1" t="s">
        <v>61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16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51</v>
      </c>
      <c r="B18" s="1" t="s">
        <v>690</v>
      </c>
      <c r="C18" s="1" t="s">
        <v>691</v>
      </c>
      <c r="D18" s="1" t="s">
        <v>60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7">
        <v>15</v>
      </c>
      <c r="K18" s="1">
        <v>1</v>
      </c>
      <c r="L18" s="7">
        <v>154.02000000000001</v>
      </c>
      <c r="M18" s="1" t="s">
        <v>83</v>
      </c>
    </row>
    <row r="19" spans="1:13" x14ac:dyDescent="0.25">
      <c r="A19" s="1" t="s">
        <v>35</v>
      </c>
      <c r="B19" s="1" t="s">
        <v>692</v>
      </c>
      <c r="C19" s="1" t="s">
        <v>693</v>
      </c>
      <c r="D19" s="1" t="s">
        <v>68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0</v>
      </c>
      <c r="M19" s="1" t="s">
        <v>78</v>
      </c>
    </row>
    <row r="20" spans="1:13" x14ac:dyDescent="0.25">
      <c r="A20" s="1" t="s">
        <v>49</v>
      </c>
      <c r="B20" s="1" t="s">
        <v>694</v>
      </c>
      <c r="C20" s="1" t="s">
        <v>695</v>
      </c>
      <c r="D20" s="1" t="s">
        <v>69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7">
        <v>24</v>
      </c>
      <c r="K20" s="1">
        <v>0</v>
      </c>
      <c r="L20" s="7">
        <v>0</v>
      </c>
      <c r="M20" s="1" t="s">
        <v>78</v>
      </c>
    </row>
    <row r="21" spans="1:13" x14ac:dyDescent="0.25">
      <c r="A21" s="1" t="s">
        <v>49</v>
      </c>
      <c r="B21" s="1" t="s">
        <v>696</v>
      </c>
      <c r="C21" s="1" t="s">
        <v>697</v>
      </c>
      <c r="D21" s="1" t="s">
        <v>57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7">
        <v>16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33</v>
      </c>
      <c r="B22" s="1" t="s">
        <v>698</v>
      </c>
      <c r="C22" s="1" t="s">
        <v>699</v>
      </c>
      <c r="D22" s="1" t="s">
        <v>67</v>
      </c>
      <c r="E22" s="1">
        <v>1</v>
      </c>
      <c r="F22" s="1">
        <v>0</v>
      </c>
      <c r="G22" s="1">
        <v>1</v>
      </c>
      <c r="H22" s="1">
        <v>0</v>
      </c>
      <c r="I22" s="1">
        <v>0</v>
      </c>
      <c r="J22" s="7">
        <v>0</v>
      </c>
      <c r="K22" s="1">
        <v>0</v>
      </c>
      <c r="L22" s="7">
        <v>122.9</v>
      </c>
      <c r="M22" s="1" t="s">
        <v>78</v>
      </c>
    </row>
    <row r="23" spans="1:13" x14ac:dyDescent="0.25">
      <c r="A23" s="1" t="s">
        <v>33</v>
      </c>
      <c r="B23" s="1" t="s">
        <v>700</v>
      </c>
      <c r="C23" s="1" t="s">
        <v>701</v>
      </c>
      <c r="D23" s="1" t="s">
        <v>57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4.5599999999999996</v>
      </c>
      <c r="M23" s="1" t="s">
        <v>78</v>
      </c>
    </row>
    <row r="24" spans="1:13" x14ac:dyDescent="0.25">
      <c r="A24" s="1" t="s">
        <v>55</v>
      </c>
      <c r="B24" s="1" t="s">
        <v>672</v>
      </c>
      <c r="C24" s="1" t="s">
        <v>702</v>
      </c>
      <c r="D24" s="1" t="s">
        <v>34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33</v>
      </c>
      <c r="K24" s="1">
        <v>1</v>
      </c>
      <c r="L24" s="7">
        <v>124.69</v>
      </c>
      <c r="M24" s="1" t="s">
        <v>78</v>
      </c>
    </row>
    <row r="25" spans="1:13" x14ac:dyDescent="0.25">
      <c r="A25" s="1" t="s">
        <v>43</v>
      </c>
      <c r="B25" s="1" t="s">
        <v>703</v>
      </c>
      <c r="C25" s="1" t="s">
        <v>704</v>
      </c>
      <c r="D25" s="1" t="s">
        <v>61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7">
        <v>33</v>
      </c>
      <c r="K25" s="1">
        <v>1</v>
      </c>
      <c r="L25" s="7">
        <v>141.71</v>
      </c>
      <c r="M25" s="1" t="s">
        <v>78</v>
      </c>
    </row>
    <row r="26" spans="1:13" x14ac:dyDescent="0.25">
      <c r="A26" s="1" t="s">
        <v>53</v>
      </c>
      <c r="B26" s="1" t="s">
        <v>705</v>
      </c>
      <c r="C26" s="1" t="s">
        <v>706</v>
      </c>
      <c r="D26" s="1" t="s">
        <v>66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7">
        <v>24</v>
      </c>
      <c r="K26" s="1">
        <v>0</v>
      </c>
      <c r="L26" s="7">
        <v>77.319999999999993</v>
      </c>
      <c r="M26" s="1" t="s">
        <v>78</v>
      </c>
    </row>
    <row r="27" spans="1:13" x14ac:dyDescent="0.25">
      <c r="A27" s="1" t="s">
        <v>35</v>
      </c>
      <c r="B27" s="1" t="s">
        <v>707</v>
      </c>
      <c r="C27" s="1" t="s">
        <v>708</v>
      </c>
      <c r="D27" s="1" t="s">
        <v>48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7">
        <v>0</v>
      </c>
      <c r="K27" s="1">
        <v>1</v>
      </c>
      <c r="L27" s="7">
        <v>0</v>
      </c>
      <c r="M27" s="1" t="s">
        <v>78</v>
      </c>
    </row>
    <row r="28" spans="1:13" x14ac:dyDescent="0.25">
      <c r="A28" s="1" t="s">
        <v>49</v>
      </c>
      <c r="B28" s="1" t="s">
        <v>709</v>
      </c>
      <c r="C28" s="1" t="s">
        <v>710</v>
      </c>
      <c r="D28" s="1" t="s">
        <v>40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143.83000000000001</v>
      </c>
      <c r="M28" s="1" t="s">
        <v>78</v>
      </c>
    </row>
    <row r="29" spans="1:13" x14ac:dyDescent="0.25">
      <c r="A29" s="1" t="s">
        <v>43</v>
      </c>
      <c r="B29" s="1" t="s">
        <v>711</v>
      </c>
      <c r="C29" s="1" t="s">
        <v>712</v>
      </c>
      <c r="D29" s="1" t="s">
        <v>68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7">
        <v>33</v>
      </c>
      <c r="K29" s="1">
        <v>1</v>
      </c>
      <c r="L29" s="7">
        <v>100.28</v>
      </c>
      <c r="M29" s="1" t="s">
        <v>78</v>
      </c>
    </row>
    <row r="30" spans="1:13" x14ac:dyDescent="0.25">
      <c r="A30" s="1" t="s">
        <v>55</v>
      </c>
      <c r="B30" s="1" t="s">
        <v>713</v>
      </c>
      <c r="C30" s="1" t="s">
        <v>714</v>
      </c>
      <c r="D30" s="1" t="s">
        <v>56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7">
        <v>0</v>
      </c>
      <c r="K30" s="1">
        <v>1</v>
      </c>
      <c r="L30" s="7">
        <v>36.54</v>
      </c>
      <c r="M30" s="1" t="s">
        <v>78</v>
      </c>
    </row>
    <row r="31" spans="1:13" x14ac:dyDescent="0.25">
      <c r="A31" s="1" t="s">
        <v>43</v>
      </c>
      <c r="B31" s="1" t="s">
        <v>715</v>
      </c>
      <c r="C31" s="1" t="s">
        <v>716</v>
      </c>
      <c r="D31" s="1" t="s">
        <v>64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7">
        <v>15</v>
      </c>
      <c r="K31" s="1">
        <v>1</v>
      </c>
      <c r="L31" s="7">
        <v>0</v>
      </c>
      <c r="M31" s="1" t="s">
        <v>78</v>
      </c>
    </row>
    <row r="32" spans="1:13" x14ac:dyDescent="0.25">
      <c r="A32" s="1" t="s">
        <v>43</v>
      </c>
      <c r="B32" s="1" t="s">
        <v>717</v>
      </c>
      <c r="C32" s="1" t="s">
        <v>718</v>
      </c>
      <c r="D32" s="1" t="s">
        <v>65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7">
        <v>33</v>
      </c>
      <c r="K32" s="1">
        <v>1</v>
      </c>
      <c r="L32" s="7">
        <v>0</v>
      </c>
      <c r="M32" s="1" t="s">
        <v>78</v>
      </c>
    </row>
    <row r="33" spans="1:13" x14ac:dyDescent="0.25">
      <c r="A33" s="1" t="s">
        <v>35</v>
      </c>
      <c r="B33" s="1" t="s">
        <v>719</v>
      </c>
      <c r="C33" s="1" t="s">
        <v>720</v>
      </c>
      <c r="D33" s="1" t="s">
        <v>38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7">
        <v>16</v>
      </c>
      <c r="K33" s="1">
        <v>1</v>
      </c>
      <c r="L33" s="7">
        <v>60.9</v>
      </c>
      <c r="M33" s="1" t="s">
        <v>78</v>
      </c>
    </row>
    <row r="34" spans="1:13" x14ac:dyDescent="0.25">
      <c r="A34" s="1" t="s">
        <v>49</v>
      </c>
      <c r="B34" s="1" t="s">
        <v>721</v>
      </c>
      <c r="C34" s="1" t="s">
        <v>722</v>
      </c>
      <c r="D34" s="1" t="s">
        <v>50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7">
        <v>0</v>
      </c>
      <c r="K34" s="1">
        <v>1</v>
      </c>
      <c r="L34" s="7">
        <v>60.19</v>
      </c>
      <c r="M34" s="1" t="s">
        <v>78</v>
      </c>
    </row>
    <row r="35" spans="1:13" x14ac:dyDescent="0.25">
      <c r="A35" s="1" t="s">
        <v>33</v>
      </c>
      <c r="B35" s="1" t="s">
        <v>723</v>
      </c>
      <c r="C35" s="1" t="s">
        <v>724</v>
      </c>
      <c r="D35" s="1" t="s">
        <v>64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7">
        <v>15</v>
      </c>
      <c r="K35" s="1">
        <v>1</v>
      </c>
      <c r="L35" s="7">
        <v>22.52</v>
      </c>
      <c r="M35" s="1" t="s">
        <v>78</v>
      </c>
    </row>
    <row r="36" spans="1:13" x14ac:dyDescent="0.25">
      <c r="A36" s="1" t="s">
        <v>43</v>
      </c>
      <c r="B36" s="1" t="s">
        <v>725</v>
      </c>
      <c r="C36" s="1" t="s">
        <v>726</v>
      </c>
      <c r="D36" s="1" t="s">
        <v>52</v>
      </c>
      <c r="E36" s="1">
        <v>1</v>
      </c>
      <c r="F36" s="1">
        <v>0</v>
      </c>
      <c r="G36" s="1">
        <v>0</v>
      </c>
      <c r="H36" s="1">
        <v>0</v>
      </c>
      <c r="I36" s="1">
        <v>0</v>
      </c>
      <c r="J36" s="7">
        <v>0</v>
      </c>
      <c r="K36" s="1">
        <v>1</v>
      </c>
      <c r="L36" s="7">
        <v>15.9</v>
      </c>
      <c r="M36" s="1" t="s">
        <v>78</v>
      </c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727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55</v>
      </c>
      <c r="B4" s="1" t="s">
        <v>728</v>
      </c>
      <c r="C4" s="1" t="s">
        <v>729</v>
      </c>
      <c r="D4" s="1" t="s">
        <v>69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7">
        <v>0</v>
      </c>
      <c r="K4" s="1">
        <v>0</v>
      </c>
      <c r="L4" s="7">
        <v>0</v>
      </c>
      <c r="M4" s="1" t="s">
        <v>78</v>
      </c>
      <c r="P4" s="1" t="str">
        <f>Setup!$A$4</f>
        <v>Expert 01</v>
      </c>
      <c r="Q4" s="1">
        <f t="shared" ref="Q4:Q15" si="0">SUMIF($A$4:$A$43,$P4,E$4:E$43)</f>
        <v>3</v>
      </c>
      <c r="R4" s="1">
        <f t="shared" ref="R4:R15" si="1">SUMIF($A$4:$A$43,$P4,F$4:F$43)</f>
        <v>0</v>
      </c>
      <c r="S4" s="1">
        <f t="shared" ref="S4:S15" si="2">SUMIF($A$4:$A$43,$P4,G$4:G$43)</f>
        <v>1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18</v>
      </c>
      <c r="W4" s="1">
        <f t="shared" ref="W4:W15" si="6">SUMIF($A$4:$A$43,$P4,K$4:K$43)</f>
        <v>3</v>
      </c>
      <c r="X4" s="7">
        <f t="shared" ref="X4:X15" si="7">SUMIF($A$4:$A$43,$P4,L$4:L$43)</f>
        <v>149.71</v>
      </c>
    </row>
    <row r="5" spans="1:24" x14ac:dyDescent="0.25">
      <c r="A5" s="1" t="s">
        <v>41</v>
      </c>
      <c r="B5" s="1" t="s">
        <v>730</v>
      </c>
      <c r="C5" s="1" t="s">
        <v>731</v>
      </c>
      <c r="D5" s="1" t="s">
        <v>48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7">
        <v>15</v>
      </c>
      <c r="K5" s="1">
        <v>1</v>
      </c>
      <c r="L5" s="7">
        <v>107.32</v>
      </c>
      <c r="M5" s="1" t="s">
        <v>78</v>
      </c>
      <c r="P5" s="1" t="str">
        <f>Setup!$A$5</f>
        <v>Expert 02</v>
      </c>
      <c r="Q5" s="1">
        <f t="shared" si="0"/>
        <v>0</v>
      </c>
      <c r="R5" s="1">
        <f t="shared" si="1"/>
        <v>1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33</v>
      </c>
      <c r="W5" s="1">
        <f t="shared" si="6"/>
        <v>1</v>
      </c>
      <c r="X5" s="7">
        <f t="shared" si="7"/>
        <v>0</v>
      </c>
    </row>
    <row r="6" spans="1:24" x14ac:dyDescent="0.25">
      <c r="A6" s="1" t="s">
        <v>39</v>
      </c>
      <c r="B6" s="1" t="s">
        <v>732</v>
      </c>
      <c r="C6" s="1" t="s">
        <v>733</v>
      </c>
      <c r="D6" s="1" t="s">
        <v>60</v>
      </c>
      <c r="E6" s="1">
        <v>0</v>
      </c>
      <c r="F6" s="1">
        <v>1</v>
      </c>
      <c r="G6" s="1">
        <v>0</v>
      </c>
      <c r="H6" s="1">
        <v>1</v>
      </c>
      <c r="I6" s="1">
        <v>0</v>
      </c>
      <c r="J6" s="7">
        <v>0</v>
      </c>
      <c r="K6" s="1">
        <v>1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0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33</v>
      </c>
      <c r="W6" s="1">
        <f t="shared" si="6"/>
        <v>1</v>
      </c>
      <c r="X6" s="7">
        <f t="shared" si="7"/>
        <v>80.06</v>
      </c>
    </row>
    <row r="7" spans="1:24" x14ac:dyDescent="0.25">
      <c r="A7" s="1" t="s">
        <v>53</v>
      </c>
      <c r="B7" s="1" t="s">
        <v>734</v>
      </c>
      <c r="C7" s="1" t="s">
        <v>735</v>
      </c>
      <c r="D7" s="1" t="s">
        <v>50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33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2</v>
      </c>
      <c r="S7" s="1">
        <f t="shared" si="2"/>
        <v>0</v>
      </c>
      <c r="T7" s="1">
        <f t="shared" si="3"/>
        <v>1</v>
      </c>
      <c r="U7" s="1">
        <f t="shared" si="4"/>
        <v>0</v>
      </c>
      <c r="V7" s="7">
        <f t="shared" si="5"/>
        <v>40</v>
      </c>
      <c r="W7" s="1">
        <f t="shared" si="6"/>
        <v>4</v>
      </c>
      <c r="X7" s="7">
        <f t="shared" si="7"/>
        <v>157.19999999999999</v>
      </c>
    </row>
    <row r="8" spans="1:24" x14ac:dyDescent="0.25">
      <c r="A8" s="1" t="s">
        <v>55</v>
      </c>
      <c r="B8" s="1" t="s">
        <v>736</v>
      </c>
      <c r="C8" s="1" t="s">
        <v>737</v>
      </c>
      <c r="D8" s="1" t="s">
        <v>44</v>
      </c>
      <c r="E8" s="1">
        <v>0</v>
      </c>
      <c r="F8" s="1">
        <v>1</v>
      </c>
      <c r="G8" s="1">
        <v>0</v>
      </c>
      <c r="H8" s="1">
        <v>1</v>
      </c>
      <c r="I8" s="1">
        <v>0</v>
      </c>
      <c r="J8" s="7">
        <v>15</v>
      </c>
      <c r="K8" s="1">
        <v>1</v>
      </c>
      <c r="L8" s="7">
        <v>83.76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15</v>
      </c>
      <c r="W8" s="1">
        <f t="shared" si="6"/>
        <v>2</v>
      </c>
      <c r="X8" s="7">
        <f t="shared" si="7"/>
        <v>107.32</v>
      </c>
    </row>
    <row r="9" spans="1:24" x14ac:dyDescent="0.25">
      <c r="A9" s="1" t="s">
        <v>33</v>
      </c>
      <c r="B9" s="1" t="s">
        <v>738</v>
      </c>
      <c r="C9" s="1" t="s">
        <v>739</v>
      </c>
      <c r="D9" s="1" t="s">
        <v>63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149.71</v>
      </c>
      <c r="M9" s="1" t="s">
        <v>78</v>
      </c>
      <c r="P9" s="1" t="str">
        <f>Setup!$A$9</f>
        <v>Expert 06</v>
      </c>
      <c r="Q9" s="1">
        <f t="shared" si="0"/>
        <v>2</v>
      </c>
      <c r="R9" s="1">
        <f t="shared" si="1"/>
        <v>0</v>
      </c>
      <c r="S9" s="1">
        <f t="shared" si="2"/>
        <v>1</v>
      </c>
      <c r="T9" s="1">
        <f t="shared" si="3"/>
        <v>0</v>
      </c>
      <c r="U9" s="1">
        <f t="shared" si="4"/>
        <v>0</v>
      </c>
      <c r="V9" s="7">
        <f t="shared" si="5"/>
        <v>15</v>
      </c>
      <c r="W9" s="1">
        <f t="shared" si="6"/>
        <v>2</v>
      </c>
      <c r="X9" s="7">
        <f t="shared" si="7"/>
        <v>211.8</v>
      </c>
    </row>
    <row r="10" spans="1:24" x14ac:dyDescent="0.25">
      <c r="A10" s="1" t="s">
        <v>47</v>
      </c>
      <c r="B10" s="1" t="s">
        <v>740</v>
      </c>
      <c r="C10" s="1" t="s">
        <v>741</v>
      </c>
      <c r="D10" s="1" t="s">
        <v>57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3</v>
      </c>
      <c r="R10" s="1">
        <f t="shared" si="1"/>
        <v>1</v>
      </c>
      <c r="S10" s="1">
        <f t="shared" si="2"/>
        <v>0</v>
      </c>
      <c r="T10" s="1">
        <f t="shared" si="3"/>
        <v>1</v>
      </c>
      <c r="U10" s="1">
        <f t="shared" si="4"/>
        <v>0</v>
      </c>
      <c r="V10" s="7">
        <f t="shared" si="5"/>
        <v>49</v>
      </c>
      <c r="W10" s="1">
        <f t="shared" si="6"/>
        <v>5</v>
      </c>
      <c r="X10" s="7">
        <f t="shared" si="7"/>
        <v>39.25</v>
      </c>
    </row>
    <row r="11" spans="1:24" x14ac:dyDescent="0.25">
      <c r="A11" s="1" t="s">
        <v>45</v>
      </c>
      <c r="B11" s="1" t="s">
        <v>742</v>
      </c>
      <c r="C11" s="1" t="s">
        <v>743</v>
      </c>
      <c r="D11" s="1" t="s">
        <v>52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16</v>
      </c>
      <c r="K11" s="1">
        <v>1</v>
      </c>
      <c r="L11" s="7">
        <v>8.6300000000000008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0</v>
      </c>
      <c r="S11" s="1">
        <f t="shared" si="2"/>
        <v>0</v>
      </c>
      <c r="T11" s="1">
        <f t="shared" si="3"/>
        <v>1</v>
      </c>
      <c r="U11" s="1">
        <f t="shared" si="4"/>
        <v>0</v>
      </c>
      <c r="V11" s="7">
        <f t="shared" si="5"/>
        <v>0</v>
      </c>
      <c r="W11" s="1">
        <f t="shared" si="6"/>
        <v>3</v>
      </c>
      <c r="X11" s="7">
        <f t="shared" si="7"/>
        <v>0</v>
      </c>
    </row>
    <row r="12" spans="1:24" x14ac:dyDescent="0.25">
      <c r="A12" s="1" t="s">
        <v>45</v>
      </c>
      <c r="B12" s="1" t="s">
        <v>744</v>
      </c>
      <c r="C12" s="1" t="s">
        <v>745</v>
      </c>
      <c r="D12" s="1" t="s">
        <v>48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7">
        <v>33</v>
      </c>
      <c r="K12" s="1">
        <v>1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0</v>
      </c>
      <c r="R12" s="1">
        <f t="shared" si="1"/>
        <v>1</v>
      </c>
      <c r="S12" s="1">
        <f t="shared" si="2"/>
        <v>0</v>
      </c>
      <c r="T12" s="1">
        <f t="shared" si="3"/>
        <v>0</v>
      </c>
      <c r="U12" s="1">
        <f t="shared" si="4"/>
        <v>1</v>
      </c>
      <c r="V12" s="7">
        <f t="shared" si="5"/>
        <v>34</v>
      </c>
      <c r="W12" s="1">
        <f t="shared" si="6"/>
        <v>1</v>
      </c>
      <c r="X12" s="7">
        <f t="shared" si="7"/>
        <v>84.63</v>
      </c>
    </row>
    <row r="13" spans="1:24" x14ac:dyDescent="0.25">
      <c r="A13" s="1" t="s">
        <v>55</v>
      </c>
      <c r="B13" s="1" t="s">
        <v>746</v>
      </c>
      <c r="C13" s="1" t="s">
        <v>747</v>
      </c>
      <c r="D13" s="1" t="s">
        <v>48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18</v>
      </c>
      <c r="K13" s="1">
        <v>1</v>
      </c>
      <c r="L13" s="7">
        <v>49.24</v>
      </c>
      <c r="M13" s="1" t="s">
        <v>78</v>
      </c>
      <c r="P13" s="1" t="str">
        <f>Setup!$A$13</f>
        <v>Expert 10</v>
      </c>
      <c r="Q13" s="1">
        <f t="shared" si="0"/>
        <v>0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0</v>
      </c>
      <c r="W13" s="1">
        <f t="shared" si="6"/>
        <v>0</v>
      </c>
      <c r="X13" s="7">
        <f t="shared" si="7"/>
        <v>50.73</v>
      </c>
    </row>
    <row r="14" spans="1:24" x14ac:dyDescent="0.25">
      <c r="A14" s="1" t="s">
        <v>43</v>
      </c>
      <c r="B14" s="1" t="s">
        <v>748</v>
      </c>
      <c r="C14" s="1" t="s">
        <v>749</v>
      </c>
      <c r="D14" s="1" t="s">
        <v>42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15</v>
      </c>
      <c r="K14" s="1">
        <v>1</v>
      </c>
      <c r="L14" s="7">
        <v>173.74</v>
      </c>
      <c r="M14" s="1" t="s">
        <v>78</v>
      </c>
      <c r="P14" s="1" t="str">
        <f>Setup!$A$14</f>
        <v>Expert 11</v>
      </c>
      <c r="Q14" s="1">
        <f t="shared" si="0"/>
        <v>4</v>
      </c>
      <c r="R14" s="1">
        <f t="shared" si="1"/>
        <v>0</v>
      </c>
      <c r="S14" s="1">
        <f t="shared" si="2"/>
        <v>1</v>
      </c>
      <c r="T14" s="1">
        <f t="shared" si="3"/>
        <v>0</v>
      </c>
      <c r="U14" s="1">
        <f t="shared" si="4"/>
        <v>0</v>
      </c>
      <c r="V14" s="7">
        <f t="shared" si="5"/>
        <v>97</v>
      </c>
      <c r="W14" s="1">
        <f t="shared" si="6"/>
        <v>4</v>
      </c>
      <c r="X14" s="7">
        <f t="shared" si="7"/>
        <v>453.03</v>
      </c>
    </row>
    <row r="15" spans="1:24" x14ac:dyDescent="0.25">
      <c r="A15" s="1" t="s">
        <v>39</v>
      </c>
      <c r="B15" s="1" t="s">
        <v>750</v>
      </c>
      <c r="C15" s="1" t="s">
        <v>751</v>
      </c>
      <c r="D15" s="1" t="s">
        <v>56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24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2</v>
      </c>
      <c r="R15" s="1">
        <f t="shared" si="1"/>
        <v>1</v>
      </c>
      <c r="S15" s="1">
        <f t="shared" si="2"/>
        <v>1</v>
      </c>
      <c r="T15" s="1">
        <f t="shared" si="3"/>
        <v>1</v>
      </c>
      <c r="U15" s="1">
        <f t="shared" si="4"/>
        <v>0</v>
      </c>
      <c r="V15" s="7">
        <f t="shared" si="5"/>
        <v>33</v>
      </c>
      <c r="W15" s="1">
        <f t="shared" si="6"/>
        <v>3</v>
      </c>
      <c r="X15" s="7">
        <f t="shared" si="7"/>
        <v>252.93</v>
      </c>
    </row>
    <row r="16" spans="1:24" x14ac:dyDescent="0.25">
      <c r="A16" s="1" t="s">
        <v>35</v>
      </c>
      <c r="B16" s="1" t="s">
        <v>752</v>
      </c>
      <c r="C16" s="1" t="s">
        <v>753</v>
      </c>
      <c r="D16" s="1" t="s">
        <v>54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7">
        <v>33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17</v>
      </c>
      <c r="R16" s="9">
        <f t="shared" si="8"/>
        <v>6</v>
      </c>
      <c r="S16" s="9">
        <f t="shared" si="8"/>
        <v>4</v>
      </c>
      <c r="T16" s="9">
        <f t="shared" si="8"/>
        <v>4</v>
      </c>
      <c r="U16" s="9">
        <f t="shared" si="8"/>
        <v>1</v>
      </c>
      <c r="V16" s="10">
        <f t="shared" si="8"/>
        <v>367</v>
      </c>
      <c r="W16" s="9">
        <f t="shared" si="8"/>
        <v>29</v>
      </c>
      <c r="X16" s="10">
        <f t="shared" si="8"/>
        <v>1586.66</v>
      </c>
    </row>
    <row r="17" spans="1:13" x14ac:dyDescent="0.25">
      <c r="A17" s="1" t="s">
        <v>53</v>
      </c>
      <c r="B17" s="1" t="s">
        <v>231</v>
      </c>
      <c r="C17" s="1" t="s">
        <v>754</v>
      </c>
      <c r="D17" s="1" t="s">
        <v>68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15</v>
      </c>
      <c r="K17" s="1">
        <v>1</v>
      </c>
      <c r="L17" s="7">
        <v>138.12</v>
      </c>
      <c r="M17" s="1" t="s">
        <v>78</v>
      </c>
    </row>
    <row r="18" spans="1:13" x14ac:dyDescent="0.25">
      <c r="A18" s="1" t="s">
        <v>45</v>
      </c>
      <c r="B18" s="1" t="s">
        <v>755</v>
      </c>
      <c r="C18" s="1" t="s">
        <v>756</v>
      </c>
      <c r="D18" s="1" t="s">
        <v>50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37</v>
      </c>
      <c r="B19" s="1" t="s">
        <v>757</v>
      </c>
      <c r="C19" s="1" t="s">
        <v>758</v>
      </c>
      <c r="D19" s="1" t="s">
        <v>48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7">
        <v>33</v>
      </c>
      <c r="K19" s="1">
        <v>1</v>
      </c>
      <c r="L19" s="7">
        <v>80.06</v>
      </c>
      <c r="M19" s="1" t="s">
        <v>78</v>
      </c>
    </row>
    <row r="20" spans="1:13" x14ac:dyDescent="0.25">
      <c r="A20" s="1" t="s">
        <v>53</v>
      </c>
      <c r="B20" s="1" t="s">
        <v>759</v>
      </c>
      <c r="C20" s="1" t="s">
        <v>760</v>
      </c>
      <c r="D20" s="1" t="s">
        <v>63</v>
      </c>
      <c r="E20" s="1">
        <v>1</v>
      </c>
      <c r="F20" s="1">
        <v>0</v>
      </c>
      <c r="G20" s="1">
        <v>1</v>
      </c>
      <c r="H20" s="1">
        <v>0</v>
      </c>
      <c r="I20" s="1">
        <v>0</v>
      </c>
      <c r="J20" s="7">
        <v>33</v>
      </c>
      <c r="K20" s="1">
        <v>1</v>
      </c>
      <c r="L20" s="7">
        <v>145.63</v>
      </c>
      <c r="M20" s="1" t="s">
        <v>78</v>
      </c>
    </row>
    <row r="21" spans="1:13" x14ac:dyDescent="0.25">
      <c r="A21" s="1" t="s">
        <v>55</v>
      </c>
      <c r="B21" s="1" t="s">
        <v>761</v>
      </c>
      <c r="C21" s="1" t="s">
        <v>762</v>
      </c>
      <c r="D21" s="1" t="s">
        <v>44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119.93</v>
      </c>
      <c r="M21" s="1" t="s">
        <v>78</v>
      </c>
    </row>
    <row r="22" spans="1:13" x14ac:dyDescent="0.25">
      <c r="A22" s="1" t="s">
        <v>45</v>
      </c>
      <c r="B22" s="1" t="s">
        <v>763</v>
      </c>
      <c r="C22" s="1" t="s">
        <v>764</v>
      </c>
      <c r="D22" s="1" t="s">
        <v>61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7">
        <v>0</v>
      </c>
      <c r="K22" s="1">
        <v>1</v>
      </c>
      <c r="L22" s="7">
        <v>30.62</v>
      </c>
      <c r="M22" s="1" t="s">
        <v>78</v>
      </c>
    </row>
    <row r="23" spans="1:13" x14ac:dyDescent="0.25">
      <c r="A23" s="1" t="s">
        <v>45</v>
      </c>
      <c r="B23" s="1" t="s">
        <v>765</v>
      </c>
      <c r="C23" s="1" t="s">
        <v>766</v>
      </c>
      <c r="D23" s="1" t="s">
        <v>64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0</v>
      </c>
      <c r="M23" s="1" t="s">
        <v>78</v>
      </c>
    </row>
    <row r="24" spans="1:13" x14ac:dyDescent="0.25">
      <c r="A24" s="1" t="s">
        <v>33</v>
      </c>
      <c r="B24" s="1" t="s">
        <v>767</v>
      </c>
      <c r="C24" s="1" t="s">
        <v>768</v>
      </c>
      <c r="D24" s="1" t="s">
        <v>52</v>
      </c>
      <c r="E24" s="1">
        <v>1</v>
      </c>
      <c r="F24" s="1">
        <v>0</v>
      </c>
      <c r="G24" s="1">
        <v>1</v>
      </c>
      <c r="H24" s="1">
        <v>0</v>
      </c>
      <c r="I24" s="1">
        <v>0</v>
      </c>
      <c r="J24" s="7">
        <v>18</v>
      </c>
      <c r="K24" s="1">
        <v>1</v>
      </c>
      <c r="L24" s="7">
        <v>0</v>
      </c>
      <c r="M24" s="1" t="s">
        <v>78</v>
      </c>
    </row>
    <row r="25" spans="1:13" x14ac:dyDescent="0.25">
      <c r="A25" s="1" t="s">
        <v>33</v>
      </c>
      <c r="B25" s="1" t="s">
        <v>769</v>
      </c>
      <c r="C25" s="1" t="s">
        <v>770</v>
      </c>
      <c r="D25" s="1" t="s">
        <v>64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0</v>
      </c>
      <c r="K25" s="1">
        <v>1</v>
      </c>
      <c r="L25" s="7">
        <v>0</v>
      </c>
      <c r="M25" s="1" t="s">
        <v>78</v>
      </c>
    </row>
    <row r="26" spans="1:13" x14ac:dyDescent="0.25">
      <c r="A26" s="1" t="s">
        <v>39</v>
      </c>
      <c r="B26" s="1" t="s">
        <v>771</v>
      </c>
      <c r="C26" s="1" t="s">
        <v>772</v>
      </c>
      <c r="D26" s="1" t="s">
        <v>61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7">
        <v>16</v>
      </c>
      <c r="K26" s="1">
        <v>1</v>
      </c>
      <c r="L26" s="7">
        <v>0</v>
      </c>
      <c r="M26" s="1" t="s">
        <v>78</v>
      </c>
    </row>
    <row r="27" spans="1:13" x14ac:dyDescent="0.25">
      <c r="A27" s="1" t="s">
        <v>47</v>
      </c>
      <c r="B27" s="1" t="s">
        <v>773</v>
      </c>
      <c r="C27" s="1" t="s">
        <v>774</v>
      </c>
      <c r="D27" s="1" t="s">
        <v>54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7">
        <v>0</v>
      </c>
      <c r="K27" s="1">
        <v>1</v>
      </c>
      <c r="L27" s="7">
        <v>0</v>
      </c>
      <c r="M27" s="1" t="s">
        <v>78</v>
      </c>
    </row>
    <row r="28" spans="1:13" x14ac:dyDescent="0.25">
      <c r="A28" s="1" t="s">
        <v>51</v>
      </c>
      <c r="B28" s="1" t="s">
        <v>775</v>
      </c>
      <c r="C28" s="1" t="s">
        <v>776</v>
      </c>
      <c r="D28" s="1" t="s">
        <v>69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0</v>
      </c>
      <c r="L28" s="7">
        <v>50.73</v>
      </c>
      <c r="M28" s="1" t="s">
        <v>78</v>
      </c>
    </row>
    <row r="29" spans="1:13" x14ac:dyDescent="0.25">
      <c r="A29" s="1" t="s">
        <v>43</v>
      </c>
      <c r="B29" s="1" t="s">
        <v>777</v>
      </c>
      <c r="C29" s="1" t="s">
        <v>778</v>
      </c>
      <c r="D29" s="1" t="s">
        <v>46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7">
        <v>0</v>
      </c>
      <c r="K29" s="1">
        <v>1</v>
      </c>
      <c r="L29" s="7">
        <v>38.06</v>
      </c>
      <c r="M29" s="1" t="s">
        <v>78</v>
      </c>
    </row>
    <row r="30" spans="1:13" x14ac:dyDescent="0.25">
      <c r="A30" s="1" t="s">
        <v>49</v>
      </c>
      <c r="B30" s="1" t="s">
        <v>779</v>
      </c>
      <c r="C30" s="1" t="s">
        <v>780</v>
      </c>
      <c r="D30" s="1" t="s">
        <v>50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7">
        <v>16</v>
      </c>
      <c r="K30" s="1">
        <v>1</v>
      </c>
      <c r="L30" s="7">
        <v>0</v>
      </c>
      <c r="M30" s="1" t="s">
        <v>78</v>
      </c>
    </row>
    <row r="31" spans="1:13" x14ac:dyDescent="0.25">
      <c r="A31" s="1" t="s">
        <v>39</v>
      </c>
      <c r="B31" s="1" t="s">
        <v>781</v>
      </c>
      <c r="C31" s="1" t="s">
        <v>782</v>
      </c>
      <c r="D31" s="1" t="s">
        <v>50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7">
        <v>0</v>
      </c>
      <c r="K31" s="1">
        <v>1</v>
      </c>
      <c r="L31" s="7">
        <v>157.19999999999999</v>
      </c>
      <c r="M31" s="1" t="s">
        <v>78</v>
      </c>
    </row>
    <row r="32" spans="1:13" x14ac:dyDescent="0.25">
      <c r="A32" s="1" t="s">
        <v>41</v>
      </c>
      <c r="B32" s="1" t="s">
        <v>783</v>
      </c>
      <c r="C32" s="1" t="s">
        <v>784</v>
      </c>
      <c r="D32" s="1" t="s">
        <v>46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7">
        <v>0</v>
      </c>
      <c r="K32" s="1">
        <v>1</v>
      </c>
      <c r="L32" s="7">
        <v>0</v>
      </c>
      <c r="M32" s="1" t="s">
        <v>78</v>
      </c>
    </row>
    <row r="33" spans="1:13" x14ac:dyDescent="0.25">
      <c r="A33" s="1" t="s">
        <v>49</v>
      </c>
      <c r="B33" s="1" t="s">
        <v>785</v>
      </c>
      <c r="C33" s="1" t="s">
        <v>786</v>
      </c>
      <c r="D33" s="1" t="s">
        <v>66</v>
      </c>
      <c r="E33" s="1">
        <v>0</v>
      </c>
      <c r="F33" s="1">
        <v>1</v>
      </c>
      <c r="G33" s="1">
        <v>0</v>
      </c>
      <c r="H33" s="1">
        <v>0</v>
      </c>
      <c r="I33" s="1">
        <v>1</v>
      </c>
      <c r="J33" s="7">
        <v>18</v>
      </c>
      <c r="K33" s="1">
        <v>0</v>
      </c>
      <c r="L33" s="7">
        <v>84.63</v>
      </c>
      <c r="M33" s="1" t="s">
        <v>78</v>
      </c>
    </row>
    <row r="34" spans="1:13" x14ac:dyDescent="0.25">
      <c r="A34" s="1" t="s">
        <v>53</v>
      </c>
      <c r="B34" s="1" t="s">
        <v>787</v>
      </c>
      <c r="C34" s="1" t="s">
        <v>788</v>
      </c>
      <c r="D34" s="1" t="s">
        <v>61</v>
      </c>
      <c r="E34" s="1">
        <v>1</v>
      </c>
      <c r="F34" s="1">
        <v>0</v>
      </c>
      <c r="G34" s="1">
        <v>0</v>
      </c>
      <c r="H34" s="1">
        <v>0</v>
      </c>
      <c r="I34" s="1">
        <v>0</v>
      </c>
      <c r="J34" s="7">
        <v>16</v>
      </c>
      <c r="K34" s="1">
        <v>1</v>
      </c>
      <c r="L34" s="7">
        <v>169.28</v>
      </c>
      <c r="M34" s="1" t="s">
        <v>83</v>
      </c>
    </row>
    <row r="35" spans="1:13" x14ac:dyDescent="0.25">
      <c r="A35" s="1" t="s">
        <v>47</v>
      </c>
      <c r="B35" s="1" t="s">
        <v>789</v>
      </c>
      <c r="C35" s="1" t="s">
        <v>790</v>
      </c>
      <c r="D35" s="1" t="s">
        <v>52</v>
      </c>
      <c r="E35" s="1">
        <v>1</v>
      </c>
      <c r="F35" s="1">
        <v>0</v>
      </c>
      <c r="G35" s="1">
        <v>0</v>
      </c>
      <c r="H35" s="1">
        <v>1</v>
      </c>
      <c r="I35" s="1">
        <v>0</v>
      </c>
      <c r="J35" s="7">
        <v>0</v>
      </c>
      <c r="K35" s="1">
        <v>1</v>
      </c>
      <c r="L35" s="7">
        <v>0</v>
      </c>
      <c r="M35" s="1" t="s">
        <v>78</v>
      </c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791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39</v>
      </c>
      <c r="B4" s="1" t="s">
        <v>792</v>
      </c>
      <c r="C4" s="1" t="s">
        <v>793</v>
      </c>
      <c r="D4" s="1" t="s">
        <v>38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24</v>
      </c>
      <c r="K4" s="1">
        <v>1</v>
      </c>
      <c r="L4" s="7">
        <v>0</v>
      </c>
      <c r="M4" s="1" t="s">
        <v>78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1</v>
      </c>
      <c r="X4" s="7">
        <f t="shared" ref="X4:X15" si="7">SUMIF($A$4:$A$43,$P4,L$4:L$43)</f>
        <v>212.69</v>
      </c>
    </row>
    <row r="5" spans="1:24" x14ac:dyDescent="0.25">
      <c r="A5" s="1" t="s">
        <v>55</v>
      </c>
      <c r="B5" s="1" t="s">
        <v>794</v>
      </c>
      <c r="C5" s="1" t="s">
        <v>795</v>
      </c>
      <c r="D5" s="1" t="s">
        <v>56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2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15</v>
      </c>
      <c r="W5" s="1">
        <f t="shared" si="6"/>
        <v>2</v>
      </c>
      <c r="X5" s="7">
        <f t="shared" si="7"/>
        <v>148.43</v>
      </c>
    </row>
    <row r="6" spans="1:24" x14ac:dyDescent="0.25">
      <c r="A6" s="1" t="s">
        <v>33</v>
      </c>
      <c r="B6" s="1" t="s">
        <v>796</v>
      </c>
      <c r="C6" s="1" t="s">
        <v>797</v>
      </c>
      <c r="D6" s="1" t="s">
        <v>64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147.02000000000001</v>
      </c>
      <c r="M6" s="1" t="s">
        <v>78</v>
      </c>
      <c r="P6" s="1" t="str">
        <f>Setup!$A$6</f>
        <v>Expert 03</v>
      </c>
      <c r="Q6" s="1">
        <f t="shared" si="0"/>
        <v>0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0</v>
      </c>
      <c r="X6" s="7">
        <f t="shared" si="7"/>
        <v>0</v>
      </c>
    </row>
    <row r="7" spans="1:24" x14ac:dyDescent="0.25">
      <c r="A7" s="1" t="s">
        <v>49</v>
      </c>
      <c r="B7" s="1" t="s">
        <v>798</v>
      </c>
      <c r="C7" s="1" t="s">
        <v>799</v>
      </c>
      <c r="D7" s="1" t="s">
        <v>61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1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72</v>
      </c>
      <c r="W7" s="1">
        <f t="shared" si="6"/>
        <v>3</v>
      </c>
      <c r="X7" s="7">
        <f t="shared" si="7"/>
        <v>229.29</v>
      </c>
    </row>
    <row r="8" spans="1:24" x14ac:dyDescent="0.25">
      <c r="A8" s="1" t="s">
        <v>47</v>
      </c>
      <c r="B8" s="1" t="s">
        <v>800</v>
      </c>
      <c r="C8" s="1" t="s">
        <v>801</v>
      </c>
      <c r="D8" s="1" t="s">
        <v>60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33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0</v>
      </c>
      <c r="R8" s="1">
        <f t="shared" si="1"/>
        <v>1</v>
      </c>
      <c r="S8" s="1">
        <f t="shared" si="2"/>
        <v>0</v>
      </c>
      <c r="T8" s="1">
        <f t="shared" si="3"/>
        <v>0</v>
      </c>
      <c r="U8" s="1">
        <f t="shared" si="4"/>
        <v>1</v>
      </c>
      <c r="V8" s="7">
        <f t="shared" si="5"/>
        <v>0</v>
      </c>
      <c r="W8" s="1">
        <f t="shared" si="6"/>
        <v>1</v>
      </c>
      <c r="X8" s="7">
        <f t="shared" si="7"/>
        <v>77.430000000000007</v>
      </c>
    </row>
    <row r="9" spans="1:24" x14ac:dyDescent="0.25">
      <c r="A9" s="1" t="s">
        <v>39</v>
      </c>
      <c r="B9" s="1" t="s">
        <v>802</v>
      </c>
      <c r="C9" s="1" t="s">
        <v>803</v>
      </c>
      <c r="D9" s="1" t="s">
        <v>69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0</v>
      </c>
      <c r="L9" s="7">
        <v>113.05</v>
      </c>
      <c r="M9" s="1" t="s">
        <v>78</v>
      </c>
      <c r="P9" s="1" t="str">
        <f>Setup!$A$9</f>
        <v>Expert 06</v>
      </c>
      <c r="Q9" s="1">
        <f t="shared" si="0"/>
        <v>0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0</v>
      </c>
      <c r="W9" s="1">
        <f t="shared" si="6"/>
        <v>0</v>
      </c>
      <c r="X9" s="7">
        <f t="shared" si="7"/>
        <v>0</v>
      </c>
    </row>
    <row r="10" spans="1:24" x14ac:dyDescent="0.25">
      <c r="A10" s="1" t="s">
        <v>39</v>
      </c>
      <c r="B10" s="1" t="s">
        <v>804</v>
      </c>
      <c r="C10" s="1" t="s">
        <v>805</v>
      </c>
      <c r="D10" s="1" t="s">
        <v>65</v>
      </c>
      <c r="E10" s="1">
        <v>0</v>
      </c>
      <c r="F10" s="1">
        <v>1</v>
      </c>
      <c r="G10" s="1">
        <v>0</v>
      </c>
      <c r="H10" s="1">
        <v>0</v>
      </c>
      <c r="I10" s="1">
        <v>0</v>
      </c>
      <c r="J10" s="7">
        <v>24</v>
      </c>
      <c r="K10" s="1">
        <v>1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0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0</v>
      </c>
      <c r="W10" s="1">
        <f t="shared" si="6"/>
        <v>1</v>
      </c>
      <c r="X10" s="7">
        <f t="shared" si="7"/>
        <v>0</v>
      </c>
    </row>
    <row r="11" spans="1:24" x14ac:dyDescent="0.25">
      <c r="A11" s="1" t="s">
        <v>33</v>
      </c>
      <c r="B11" s="1" t="s">
        <v>806</v>
      </c>
      <c r="C11" s="1" t="s">
        <v>807</v>
      </c>
      <c r="D11" s="1" t="s">
        <v>67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0</v>
      </c>
      <c r="L11" s="7">
        <v>65.67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33</v>
      </c>
      <c r="W11" s="1">
        <f t="shared" si="6"/>
        <v>1</v>
      </c>
      <c r="X11" s="7">
        <f t="shared" si="7"/>
        <v>0</v>
      </c>
    </row>
    <row r="12" spans="1:24" x14ac:dyDescent="0.25">
      <c r="A12" s="1" t="s">
        <v>51</v>
      </c>
      <c r="B12" s="1" t="s">
        <v>808</v>
      </c>
      <c r="C12" s="1" t="s">
        <v>809</v>
      </c>
      <c r="D12" s="1" t="s">
        <v>62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2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34</v>
      </c>
      <c r="W12" s="1">
        <f t="shared" si="6"/>
        <v>4</v>
      </c>
      <c r="X12" s="7">
        <f t="shared" si="7"/>
        <v>194.31</v>
      </c>
    </row>
    <row r="13" spans="1:24" x14ac:dyDescent="0.25">
      <c r="A13" s="1" t="s">
        <v>39</v>
      </c>
      <c r="B13" s="1" t="s">
        <v>810</v>
      </c>
      <c r="C13" s="1" t="s">
        <v>811</v>
      </c>
      <c r="D13" s="1" t="s">
        <v>38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7">
        <v>24</v>
      </c>
      <c r="K13" s="1">
        <v>1</v>
      </c>
      <c r="L13" s="7">
        <v>116.24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0</v>
      </c>
      <c r="W13" s="1">
        <f t="shared" si="6"/>
        <v>1</v>
      </c>
      <c r="X13" s="7">
        <f t="shared" si="7"/>
        <v>0</v>
      </c>
    </row>
    <row r="14" spans="1:24" x14ac:dyDescent="0.25">
      <c r="A14" s="1" t="s">
        <v>49</v>
      </c>
      <c r="B14" s="1" t="s">
        <v>812</v>
      </c>
      <c r="C14" s="1" t="s">
        <v>813</v>
      </c>
      <c r="D14" s="1" t="s">
        <v>54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16</v>
      </c>
      <c r="K14" s="1">
        <v>1</v>
      </c>
      <c r="L14" s="7">
        <v>48.18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0</v>
      </c>
      <c r="W14" s="1">
        <f t="shared" si="6"/>
        <v>0</v>
      </c>
      <c r="X14" s="7">
        <f t="shared" si="7"/>
        <v>0</v>
      </c>
    </row>
    <row r="15" spans="1:24" x14ac:dyDescent="0.25">
      <c r="A15" s="1" t="s">
        <v>35</v>
      </c>
      <c r="B15" s="1" t="s">
        <v>814</v>
      </c>
      <c r="C15" s="1" t="s">
        <v>815</v>
      </c>
      <c r="D15" s="1" t="s">
        <v>62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15</v>
      </c>
      <c r="K15" s="1">
        <v>1</v>
      </c>
      <c r="L15" s="7">
        <v>148.43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0</v>
      </c>
      <c r="T15" s="1">
        <f t="shared" si="3"/>
        <v>1</v>
      </c>
      <c r="U15" s="1">
        <f t="shared" si="4"/>
        <v>0</v>
      </c>
      <c r="V15" s="7">
        <f t="shared" si="5"/>
        <v>0</v>
      </c>
      <c r="W15" s="1">
        <f t="shared" si="6"/>
        <v>1</v>
      </c>
      <c r="X15" s="7">
        <f t="shared" si="7"/>
        <v>168.7</v>
      </c>
    </row>
    <row r="16" spans="1:24" x14ac:dyDescent="0.25">
      <c r="A16" s="1" t="s">
        <v>41</v>
      </c>
      <c r="B16" s="1" t="s">
        <v>816</v>
      </c>
      <c r="C16" s="1" t="s">
        <v>817</v>
      </c>
      <c r="D16" s="1" t="s">
        <v>66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7">
        <v>0</v>
      </c>
      <c r="K16" s="1">
        <v>0</v>
      </c>
      <c r="L16" s="7">
        <v>77.430000000000007</v>
      </c>
      <c r="M16" s="1" t="s">
        <v>83</v>
      </c>
      <c r="P16" s="8" t="s">
        <v>103</v>
      </c>
      <c r="Q16" s="9">
        <f t="shared" ref="Q16:X16" si="8">SUM(Q4:Q15)</f>
        <v>10</v>
      </c>
      <c r="R16" s="9">
        <f t="shared" si="8"/>
        <v>2</v>
      </c>
      <c r="S16" s="9">
        <f t="shared" si="8"/>
        <v>0</v>
      </c>
      <c r="T16" s="9">
        <f t="shared" si="8"/>
        <v>1</v>
      </c>
      <c r="U16" s="9">
        <f t="shared" si="8"/>
        <v>1</v>
      </c>
      <c r="V16" s="10">
        <f t="shared" si="8"/>
        <v>154</v>
      </c>
      <c r="W16" s="9">
        <f t="shared" si="8"/>
        <v>15</v>
      </c>
      <c r="X16" s="10">
        <f t="shared" si="8"/>
        <v>1030.8499999999999</v>
      </c>
    </row>
    <row r="17" spans="1:13" x14ac:dyDescent="0.25">
      <c r="A17" s="1" t="s">
        <v>49</v>
      </c>
      <c r="B17" s="1" t="s">
        <v>818</v>
      </c>
      <c r="C17" s="1" t="s">
        <v>819</v>
      </c>
      <c r="D17" s="1" t="s">
        <v>57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7">
        <v>18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45</v>
      </c>
      <c r="B18" s="1" t="s">
        <v>820</v>
      </c>
      <c r="C18" s="1" t="s">
        <v>821</v>
      </c>
      <c r="D18" s="1" t="s">
        <v>61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83</v>
      </c>
    </row>
    <row r="19" spans="1:13" x14ac:dyDescent="0.25">
      <c r="A19" s="1" t="s">
        <v>41</v>
      </c>
      <c r="B19" s="1" t="s">
        <v>822</v>
      </c>
      <c r="C19" s="1" t="s">
        <v>823</v>
      </c>
      <c r="D19" s="1" t="s">
        <v>65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0</v>
      </c>
      <c r="M19" s="1" t="s">
        <v>78</v>
      </c>
    </row>
    <row r="20" spans="1:13" x14ac:dyDescent="0.25">
      <c r="A20" s="1" t="s">
        <v>35</v>
      </c>
      <c r="B20" s="1" t="s">
        <v>824</v>
      </c>
      <c r="C20" s="1" t="s">
        <v>825</v>
      </c>
      <c r="D20" s="1" t="s">
        <v>44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0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55</v>
      </c>
      <c r="B21" s="1" t="s">
        <v>826</v>
      </c>
      <c r="C21" s="1" t="s">
        <v>827</v>
      </c>
      <c r="D21" s="1" t="s">
        <v>69</v>
      </c>
      <c r="E21" s="1">
        <v>0</v>
      </c>
      <c r="F21" s="1">
        <v>0</v>
      </c>
      <c r="G21" s="1">
        <v>0</v>
      </c>
      <c r="H21" s="1">
        <v>1</v>
      </c>
      <c r="I21" s="1">
        <v>0</v>
      </c>
      <c r="J21" s="7">
        <v>0</v>
      </c>
      <c r="K21" s="1">
        <v>0</v>
      </c>
      <c r="L21" s="7">
        <v>168.7</v>
      </c>
      <c r="M21" s="1" t="s">
        <v>78</v>
      </c>
    </row>
    <row r="22" spans="1:13" x14ac:dyDescent="0.25">
      <c r="A22" s="1" t="s">
        <v>49</v>
      </c>
      <c r="B22" s="1" t="s">
        <v>828</v>
      </c>
      <c r="C22" s="1" t="s">
        <v>829</v>
      </c>
      <c r="D22" s="1" t="s">
        <v>36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146.13</v>
      </c>
      <c r="M22" s="1" t="s">
        <v>78</v>
      </c>
    </row>
    <row r="23" spans="1:13" x14ac:dyDescent="0.25">
      <c r="A23" s="1"/>
      <c r="B23" s="1"/>
      <c r="C23" s="1"/>
      <c r="D23" s="1"/>
      <c r="E23" s="1"/>
      <c r="F23" s="1"/>
      <c r="G23" s="1"/>
      <c r="H23" s="1"/>
      <c r="I23" s="1"/>
      <c r="J23" s="7"/>
      <c r="K23" s="1"/>
      <c r="L23" s="7"/>
      <c r="M23" s="1"/>
    </row>
    <row r="24" spans="1:13" x14ac:dyDescent="0.25">
      <c r="A24" s="1"/>
      <c r="B24" s="1"/>
      <c r="C24" s="1"/>
      <c r="D24" s="1"/>
      <c r="E24" s="1"/>
      <c r="F24" s="1"/>
      <c r="G24" s="1"/>
      <c r="H24" s="1"/>
      <c r="I24" s="1"/>
      <c r="J24" s="7"/>
      <c r="K24" s="1"/>
      <c r="L24" s="7"/>
      <c r="M24" s="1"/>
    </row>
    <row r="25" spans="1:13" x14ac:dyDescent="0.25">
      <c r="A25" s="1"/>
      <c r="B25" s="1"/>
      <c r="C25" s="1"/>
      <c r="D25" s="1"/>
      <c r="E25" s="1"/>
      <c r="F25" s="1"/>
      <c r="G25" s="1"/>
      <c r="H25" s="1"/>
      <c r="I25" s="1"/>
      <c r="J25" s="7"/>
      <c r="K25" s="1"/>
      <c r="L25" s="7"/>
      <c r="M25" s="1"/>
    </row>
    <row r="26" spans="1:13" x14ac:dyDescent="0.25">
      <c r="A26" s="1"/>
      <c r="B26" s="1"/>
      <c r="C26" s="1"/>
      <c r="D26" s="1"/>
      <c r="E26" s="1"/>
      <c r="F26" s="1"/>
      <c r="G26" s="1"/>
      <c r="H26" s="1"/>
      <c r="I26" s="1"/>
      <c r="J26" s="7"/>
      <c r="K26" s="1"/>
      <c r="L26" s="7"/>
      <c r="M26" s="1"/>
    </row>
    <row r="27" spans="1:13" x14ac:dyDescent="0.25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  <c r="L27" s="7"/>
      <c r="M27" s="1"/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830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47</v>
      </c>
      <c r="B4" s="1" t="s">
        <v>831</v>
      </c>
      <c r="C4" s="1" t="s">
        <v>832</v>
      </c>
      <c r="D4" s="1" t="s">
        <v>58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0</v>
      </c>
      <c r="K4" s="1">
        <v>1</v>
      </c>
      <c r="L4" s="7">
        <v>22.85</v>
      </c>
      <c r="M4" s="1" t="s">
        <v>78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16</v>
      </c>
      <c r="W4" s="1">
        <f t="shared" ref="W4:W15" si="6">SUMIF($A$4:$A$43,$P4,K$4:K$43)</f>
        <v>2</v>
      </c>
      <c r="X4" s="7">
        <f t="shared" ref="X4:X15" si="7">SUMIF($A$4:$A$43,$P4,L$4:L$43)</f>
        <v>28.09</v>
      </c>
    </row>
    <row r="5" spans="1:24" x14ac:dyDescent="0.25">
      <c r="A5" s="1" t="s">
        <v>39</v>
      </c>
      <c r="B5" s="1" t="s">
        <v>833</v>
      </c>
      <c r="C5" s="1" t="s">
        <v>834</v>
      </c>
      <c r="D5" s="1" t="s">
        <v>63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0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0</v>
      </c>
      <c r="W5" s="1">
        <f t="shared" si="6"/>
        <v>0</v>
      </c>
      <c r="X5" s="7">
        <f t="shared" si="7"/>
        <v>0</v>
      </c>
    </row>
    <row r="6" spans="1:24" x14ac:dyDescent="0.25">
      <c r="A6" s="1" t="s">
        <v>41</v>
      </c>
      <c r="B6" s="1" t="s">
        <v>835</v>
      </c>
      <c r="C6" s="1" t="s">
        <v>836</v>
      </c>
      <c r="D6" s="1" t="s">
        <v>61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110.93</v>
      </c>
      <c r="M6" s="1" t="s">
        <v>78</v>
      </c>
      <c r="P6" s="1" t="str">
        <f>Setup!$A$6</f>
        <v>Expert 03</v>
      </c>
      <c r="Q6" s="1">
        <f t="shared" si="0"/>
        <v>1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1</v>
      </c>
      <c r="X6" s="7">
        <f t="shared" si="7"/>
        <v>158.38</v>
      </c>
    </row>
    <row r="7" spans="1:24" x14ac:dyDescent="0.25">
      <c r="A7" s="1" t="s">
        <v>43</v>
      </c>
      <c r="B7" s="1" t="s">
        <v>837</v>
      </c>
      <c r="C7" s="1" t="s">
        <v>838</v>
      </c>
      <c r="D7" s="1" t="s">
        <v>36</v>
      </c>
      <c r="E7" s="1">
        <v>1</v>
      </c>
      <c r="F7" s="1">
        <v>0</v>
      </c>
      <c r="G7" s="1">
        <v>0</v>
      </c>
      <c r="H7" s="1">
        <v>1</v>
      </c>
      <c r="I7" s="1">
        <v>0</v>
      </c>
      <c r="J7" s="7">
        <v>16</v>
      </c>
      <c r="K7" s="1">
        <v>1</v>
      </c>
      <c r="L7" s="7">
        <v>71.2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1</v>
      </c>
      <c r="S7" s="1">
        <f t="shared" si="2"/>
        <v>1</v>
      </c>
      <c r="T7" s="1">
        <f t="shared" si="3"/>
        <v>0</v>
      </c>
      <c r="U7" s="1">
        <f t="shared" si="4"/>
        <v>0</v>
      </c>
      <c r="V7" s="7">
        <f t="shared" si="5"/>
        <v>33</v>
      </c>
      <c r="W7" s="1">
        <f t="shared" si="6"/>
        <v>3</v>
      </c>
      <c r="X7" s="7">
        <f t="shared" si="7"/>
        <v>109.53999999999999</v>
      </c>
    </row>
    <row r="8" spans="1:24" x14ac:dyDescent="0.25">
      <c r="A8" s="1" t="s">
        <v>53</v>
      </c>
      <c r="B8" s="1" t="s">
        <v>839</v>
      </c>
      <c r="C8" s="1" t="s">
        <v>840</v>
      </c>
      <c r="D8" s="1" t="s">
        <v>46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7">
        <v>24</v>
      </c>
      <c r="K8" s="1">
        <v>1</v>
      </c>
      <c r="L8" s="7">
        <v>124.71</v>
      </c>
      <c r="M8" s="1" t="s">
        <v>78</v>
      </c>
      <c r="P8" s="1" t="str">
        <f>Setup!$A$8</f>
        <v>Expert 05</v>
      </c>
      <c r="Q8" s="1">
        <f t="shared" si="0"/>
        <v>0</v>
      </c>
      <c r="R8" s="1">
        <f t="shared" si="1"/>
        <v>1</v>
      </c>
      <c r="S8" s="1">
        <f t="shared" si="2"/>
        <v>0</v>
      </c>
      <c r="T8" s="1">
        <f t="shared" si="3"/>
        <v>1</v>
      </c>
      <c r="U8" s="1">
        <f t="shared" si="4"/>
        <v>0</v>
      </c>
      <c r="V8" s="7">
        <f t="shared" si="5"/>
        <v>15</v>
      </c>
      <c r="W8" s="1">
        <f t="shared" si="6"/>
        <v>2</v>
      </c>
      <c r="X8" s="7">
        <f t="shared" si="7"/>
        <v>242.41</v>
      </c>
    </row>
    <row r="9" spans="1:24" x14ac:dyDescent="0.25">
      <c r="A9" s="1" t="s">
        <v>55</v>
      </c>
      <c r="B9" s="1" t="s">
        <v>841</v>
      </c>
      <c r="C9" s="1" t="s">
        <v>842</v>
      </c>
      <c r="D9" s="1" t="s">
        <v>46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7">
        <v>24</v>
      </c>
      <c r="K9" s="1">
        <v>1</v>
      </c>
      <c r="L9" s="7">
        <v>46.59</v>
      </c>
      <c r="M9" s="1" t="s">
        <v>78</v>
      </c>
      <c r="P9" s="1" t="str">
        <f>Setup!$A$9</f>
        <v>Expert 06</v>
      </c>
      <c r="Q9" s="1">
        <f t="shared" si="0"/>
        <v>1</v>
      </c>
      <c r="R9" s="1">
        <f t="shared" si="1"/>
        <v>0</v>
      </c>
      <c r="S9" s="1">
        <f t="shared" si="2"/>
        <v>0</v>
      </c>
      <c r="T9" s="1">
        <f t="shared" si="3"/>
        <v>1</v>
      </c>
      <c r="U9" s="1">
        <f t="shared" si="4"/>
        <v>0</v>
      </c>
      <c r="V9" s="7">
        <f t="shared" si="5"/>
        <v>16</v>
      </c>
      <c r="W9" s="1">
        <f t="shared" si="6"/>
        <v>1</v>
      </c>
      <c r="X9" s="7">
        <f t="shared" si="7"/>
        <v>71.2</v>
      </c>
    </row>
    <row r="10" spans="1:24" x14ac:dyDescent="0.25">
      <c r="A10" s="1" t="s">
        <v>47</v>
      </c>
      <c r="B10" s="1" t="s">
        <v>843</v>
      </c>
      <c r="C10" s="1" t="s">
        <v>844</v>
      </c>
      <c r="D10" s="1" t="s">
        <v>66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7">
        <v>0</v>
      </c>
      <c r="K10" s="1">
        <v>0</v>
      </c>
      <c r="L10" s="7">
        <v>169.64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24</v>
      </c>
      <c r="W10" s="1">
        <f t="shared" si="6"/>
        <v>2</v>
      </c>
      <c r="X10" s="7">
        <f t="shared" si="7"/>
        <v>78.87</v>
      </c>
    </row>
    <row r="11" spans="1:24" x14ac:dyDescent="0.25">
      <c r="A11" s="1" t="s">
        <v>33</v>
      </c>
      <c r="B11" s="1" t="s">
        <v>808</v>
      </c>
      <c r="C11" s="1" t="s">
        <v>845</v>
      </c>
      <c r="D11" s="1" t="s">
        <v>62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16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2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1</v>
      </c>
      <c r="V11" s="7">
        <f t="shared" si="5"/>
        <v>15</v>
      </c>
      <c r="W11" s="1">
        <f t="shared" si="6"/>
        <v>3</v>
      </c>
      <c r="X11" s="7">
        <f t="shared" si="7"/>
        <v>400.37999999999994</v>
      </c>
    </row>
    <row r="12" spans="1:24" x14ac:dyDescent="0.25">
      <c r="A12" s="1" t="s">
        <v>37</v>
      </c>
      <c r="B12" s="1" t="s">
        <v>846</v>
      </c>
      <c r="C12" s="1" t="s">
        <v>847</v>
      </c>
      <c r="D12" s="1" t="s">
        <v>36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158.38</v>
      </c>
      <c r="M12" s="1" t="s">
        <v>78</v>
      </c>
      <c r="P12" s="1" t="str">
        <f>Setup!$A$12</f>
        <v>Expert 09</v>
      </c>
      <c r="Q12" s="1">
        <f t="shared" si="0"/>
        <v>0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0</v>
      </c>
      <c r="X12" s="7">
        <f t="shared" si="7"/>
        <v>0</v>
      </c>
    </row>
    <row r="13" spans="1:24" x14ac:dyDescent="0.25">
      <c r="A13" s="1" t="s">
        <v>53</v>
      </c>
      <c r="B13" s="1" t="s">
        <v>848</v>
      </c>
      <c r="C13" s="1" t="s">
        <v>849</v>
      </c>
      <c r="D13" s="1" t="s">
        <v>46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18</v>
      </c>
      <c r="K13" s="1">
        <v>1</v>
      </c>
      <c r="L13" s="7">
        <v>78.45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18</v>
      </c>
      <c r="W13" s="1">
        <f t="shared" si="6"/>
        <v>1</v>
      </c>
      <c r="X13" s="7">
        <f t="shared" si="7"/>
        <v>46.96</v>
      </c>
    </row>
    <row r="14" spans="1:24" x14ac:dyDescent="0.25">
      <c r="A14" s="1" t="s">
        <v>47</v>
      </c>
      <c r="B14" s="1" t="s">
        <v>850</v>
      </c>
      <c r="C14" s="1" t="s">
        <v>851</v>
      </c>
      <c r="D14" s="1" t="s">
        <v>54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7">
        <v>15</v>
      </c>
      <c r="K14" s="1">
        <v>1</v>
      </c>
      <c r="L14" s="7">
        <v>163.69999999999999</v>
      </c>
      <c r="M14" s="1" t="s">
        <v>78</v>
      </c>
      <c r="P14" s="1" t="str">
        <f>Setup!$A$14</f>
        <v>Expert 11</v>
      </c>
      <c r="Q14" s="1">
        <f t="shared" si="0"/>
        <v>1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42</v>
      </c>
      <c r="W14" s="1">
        <f t="shared" si="6"/>
        <v>2</v>
      </c>
      <c r="X14" s="7">
        <f t="shared" si="7"/>
        <v>203.16</v>
      </c>
    </row>
    <row r="15" spans="1:24" x14ac:dyDescent="0.25">
      <c r="A15" s="1" t="s">
        <v>39</v>
      </c>
      <c r="B15" s="1" t="s">
        <v>852</v>
      </c>
      <c r="C15" s="1" t="s">
        <v>853</v>
      </c>
      <c r="D15" s="1" t="s">
        <v>65</v>
      </c>
      <c r="E15" s="1">
        <v>0</v>
      </c>
      <c r="F15" s="1">
        <v>1</v>
      </c>
      <c r="G15" s="1">
        <v>0</v>
      </c>
      <c r="H15" s="1">
        <v>0</v>
      </c>
      <c r="I15" s="1">
        <v>0</v>
      </c>
      <c r="J15" s="7">
        <v>33</v>
      </c>
      <c r="K15" s="1">
        <v>1</v>
      </c>
      <c r="L15" s="7">
        <v>42.48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1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24</v>
      </c>
      <c r="W15" s="1">
        <f t="shared" si="6"/>
        <v>2</v>
      </c>
      <c r="X15" s="7">
        <f t="shared" si="7"/>
        <v>46.59</v>
      </c>
    </row>
    <row r="16" spans="1:24" x14ac:dyDescent="0.25">
      <c r="A16" s="1" t="s">
        <v>41</v>
      </c>
      <c r="B16" s="1" t="s">
        <v>854</v>
      </c>
      <c r="C16" s="1" t="s">
        <v>855</v>
      </c>
      <c r="D16" s="1" t="s">
        <v>62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7">
        <v>15</v>
      </c>
      <c r="K16" s="1">
        <v>1</v>
      </c>
      <c r="L16" s="7">
        <v>131.47999999999999</v>
      </c>
      <c r="M16" s="1" t="s">
        <v>78</v>
      </c>
      <c r="P16" s="8" t="s">
        <v>103</v>
      </c>
      <c r="Q16" s="9">
        <f t="shared" ref="Q16:X16" si="8">SUM(Q4:Q15)</f>
        <v>11</v>
      </c>
      <c r="R16" s="9">
        <f t="shared" si="8"/>
        <v>3</v>
      </c>
      <c r="S16" s="9">
        <f t="shared" si="8"/>
        <v>1</v>
      </c>
      <c r="T16" s="9">
        <f t="shared" si="8"/>
        <v>2</v>
      </c>
      <c r="U16" s="9">
        <f t="shared" si="8"/>
        <v>1</v>
      </c>
      <c r="V16" s="10">
        <f t="shared" si="8"/>
        <v>203</v>
      </c>
      <c r="W16" s="9">
        <f t="shared" si="8"/>
        <v>19</v>
      </c>
      <c r="X16" s="10">
        <f t="shared" si="8"/>
        <v>1385.58</v>
      </c>
    </row>
    <row r="17" spans="1:13" x14ac:dyDescent="0.25">
      <c r="A17" s="1" t="s">
        <v>55</v>
      </c>
      <c r="B17" s="1" t="s">
        <v>856</v>
      </c>
      <c r="C17" s="1" t="s">
        <v>857</v>
      </c>
      <c r="D17" s="1" t="s">
        <v>48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39</v>
      </c>
      <c r="B18" s="1" t="s">
        <v>92</v>
      </c>
      <c r="C18" s="1" t="s">
        <v>858</v>
      </c>
      <c r="D18" s="1" t="s">
        <v>64</v>
      </c>
      <c r="E18" s="1">
        <v>1</v>
      </c>
      <c r="F18" s="1">
        <v>0</v>
      </c>
      <c r="G18" s="1">
        <v>1</v>
      </c>
      <c r="H18" s="1">
        <v>0</v>
      </c>
      <c r="I18" s="1">
        <v>0</v>
      </c>
      <c r="J18" s="7">
        <v>0</v>
      </c>
      <c r="K18" s="1">
        <v>1</v>
      </c>
      <c r="L18" s="7">
        <v>67.06</v>
      </c>
      <c r="M18" s="1" t="s">
        <v>78</v>
      </c>
    </row>
    <row r="19" spans="1:13" x14ac:dyDescent="0.25">
      <c r="A19" s="1" t="s">
        <v>45</v>
      </c>
      <c r="B19" s="1" t="s">
        <v>859</v>
      </c>
      <c r="C19" s="1" t="s">
        <v>860</v>
      </c>
      <c r="D19" s="1" t="s">
        <v>64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78.87</v>
      </c>
      <c r="M19" s="1" t="s">
        <v>78</v>
      </c>
    </row>
    <row r="20" spans="1:13" x14ac:dyDescent="0.25">
      <c r="A20" s="1" t="s">
        <v>47</v>
      </c>
      <c r="B20" s="1" t="s">
        <v>861</v>
      </c>
      <c r="C20" s="1" t="s">
        <v>862</v>
      </c>
      <c r="D20" s="1" t="s">
        <v>61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0</v>
      </c>
      <c r="K20" s="1">
        <v>1</v>
      </c>
      <c r="L20" s="7">
        <v>44.19</v>
      </c>
      <c r="M20" s="1" t="s">
        <v>78</v>
      </c>
    </row>
    <row r="21" spans="1:13" x14ac:dyDescent="0.25">
      <c r="A21" s="1" t="s">
        <v>51</v>
      </c>
      <c r="B21" s="1" t="s">
        <v>863</v>
      </c>
      <c r="C21" s="1" t="s">
        <v>864</v>
      </c>
      <c r="D21" s="1" t="s">
        <v>44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18</v>
      </c>
      <c r="K21" s="1">
        <v>1</v>
      </c>
      <c r="L21" s="7">
        <v>46.96</v>
      </c>
      <c r="M21" s="1" t="s">
        <v>78</v>
      </c>
    </row>
    <row r="22" spans="1:13" x14ac:dyDescent="0.25">
      <c r="A22" s="1" t="s">
        <v>45</v>
      </c>
      <c r="B22" s="1" t="s">
        <v>865</v>
      </c>
      <c r="C22" s="1" t="s">
        <v>866</v>
      </c>
      <c r="D22" s="1" t="s">
        <v>57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24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33</v>
      </c>
      <c r="B23" s="1" t="s">
        <v>867</v>
      </c>
      <c r="C23" s="1" t="s">
        <v>868</v>
      </c>
      <c r="D23" s="1" t="s">
        <v>50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28.09</v>
      </c>
      <c r="M23" s="1" t="s">
        <v>78</v>
      </c>
    </row>
    <row r="24" spans="1:13" x14ac:dyDescent="0.25">
      <c r="A24" s="1"/>
      <c r="B24" s="1"/>
      <c r="C24" s="1"/>
      <c r="D24" s="1"/>
      <c r="E24" s="1"/>
      <c r="F24" s="1"/>
      <c r="G24" s="1"/>
      <c r="H24" s="1"/>
      <c r="I24" s="1"/>
      <c r="J24" s="7"/>
      <c r="K24" s="1"/>
      <c r="L24" s="7"/>
      <c r="M24" s="1"/>
    </row>
    <row r="25" spans="1:13" x14ac:dyDescent="0.25">
      <c r="A25" s="1"/>
      <c r="B25" s="1"/>
      <c r="C25" s="1"/>
      <c r="D25" s="1"/>
      <c r="E25" s="1"/>
      <c r="F25" s="1"/>
      <c r="G25" s="1"/>
      <c r="H25" s="1"/>
      <c r="I25" s="1"/>
      <c r="J25" s="7"/>
      <c r="K25" s="1"/>
      <c r="L25" s="7"/>
      <c r="M25" s="1"/>
    </row>
    <row r="26" spans="1:13" x14ac:dyDescent="0.25">
      <c r="A26" s="1"/>
      <c r="B26" s="1"/>
      <c r="C26" s="1"/>
      <c r="D26" s="1"/>
      <c r="E26" s="1"/>
      <c r="F26" s="1"/>
      <c r="G26" s="1"/>
      <c r="H26" s="1"/>
      <c r="I26" s="1"/>
      <c r="J26" s="7"/>
      <c r="K26" s="1"/>
      <c r="L26" s="7"/>
      <c r="M26" s="1"/>
    </row>
    <row r="27" spans="1:13" x14ac:dyDescent="0.25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  <c r="L27" s="7"/>
      <c r="M27" s="1"/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869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55</v>
      </c>
      <c r="B4" s="1" t="s">
        <v>870</v>
      </c>
      <c r="C4" s="1" t="s">
        <v>871</v>
      </c>
      <c r="D4" s="1" t="s">
        <v>57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7">
        <v>24</v>
      </c>
      <c r="K4" s="1">
        <v>1</v>
      </c>
      <c r="L4" s="7">
        <v>0</v>
      </c>
      <c r="M4" s="1" t="s">
        <v>78</v>
      </c>
      <c r="P4" s="1" t="str">
        <f>Setup!$A$4</f>
        <v>Expert 01</v>
      </c>
      <c r="Q4" s="1">
        <f t="shared" ref="Q4:Q15" si="0">SUMIF($A$4:$A$43,$P4,E$4:E$43)</f>
        <v>0</v>
      </c>
      <c r="R4" s="1">
        <f t="shared" ref="R4:R15" si="1">SUMIF($A$4:$A$43,$P4,F$4:F$43)</f>
        <v>1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16</v>
      </c>
      <c r="W4" s="1">
        <f t="shared" ref="W4:W15" si="6">SUMIF($A$4:$A$43,$P4,K$4:K$43)</f>
        <v>1</v>
      </c>
      <c r="X4" s="7">
        <f t="shared" ref="X4:X15" si="7">SUMIF($A$4:$A$43,$P4,L$4:L$43)</f>
        <v>111.22</v>
      </c>
    </row>
    <row r="5" spans="1:24" x14ac:dyDescent="0.25">
      <c r="A5" s="1" t="s">
        <v>43</v>
      </c>
      <c r="B5" s="1" t="s">
        <v>872</v>
      </c>
      <c r="C5" s="1" t="s">
        <v>873</v>
      </c>
      <c r="D5" s="1" t="s">
        <v>48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7">
        <v>15</v>
      </c>
      <c r="K5" s="1">
        <v>1</v>
      </c>
      <c r="L5" s="7">
        <v>127.29</v>
      </c>
      <c r="M5" s="1" t="s">
        <v>78</v>
      </c>
      <c r="P5" s="1" t="str">
        <f>Setup!$A$5</f>
        <v>Expert 02</v>
      </c>
      <c r="Q5" s="1">
        <f t="shared" si="0"/>
        <v>1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0</v>
      </c>
      <c r="W5" s="1">
        <f t="shared" si="6"/>
        <v>1</v>
      </c>
      <c r="X5" s="7">
        <f t="shared" si="7"/>
        <v>0</v>
      </c>
    </row>
    <row r="6" spans="1:24" x14ac:dyDescent="0.25">
      <c r="A6" s="1" t="s">
        <v>43</v>
      </c>
      <c r="B6" s="1" t="s">
        <v>874</v>
      </c>
      <c r="C6" s="1" t="s">
        <v>875</v>
      </c>
      <c r="D6" s="1" t="s">
        <v>64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7">
        <v>24</v>
      </c>
      <c r="K6" s="1">
        <v>1</v>
      </c>
      <c r="L6" s="7">
        <v>50.06</v>
      </c>
      <c r="M6" s="1" t="s">
        <v>78</v>
      </c>
      <c r="P6" s="1" t="str">
        <f>Setup!$A$6</f>
        <v>Expert 03</v>
      </c>
      <c r="Q6" s="1">
        <f t="shared" si="0"/>
        <v>3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48</v>
      </c>
      <c r="W6" s="1">
        <f t="shared" si="6"/>
        <v>2</v>
      </c>
      <c r="X6" s="7">
        <f t="shared" si="7"/>
        <v>58.94</v>
      </c>
    </row>
    <row r="7" spans="1:24" x14ac:dyDescent="0.25">
      <c r="A7" s="1" t="s">
        <v>37</v>
      </c>
      <c r="B7" s="1" t="s">
        <v>876</v>
      </c>
      <c r="C7" s="1" t="s">
        <v>877</v>
      </c>
      <c r="D7" s="1" t="s">
        <v>46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15.6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1</v>
      </c>
      <c r="S7" s="1">
        <f t="shared" si="2"/>
        <v>0</v>
      </c>
      <c r="T7" s="1">
        <f t="shared" si="3"/>
        <v>1</v>
      </c>
      <c r="U7" s="1">
        <f t="shared" si="4"/>
        <v>1</v>
      </c>
      <c r="V7" s="7">
        <f t="shared" si="5"/>
        <v>0</v>
      </c>
      <c r="W7" s="1">
        <f t="shared" si="6"/>
        <v>0</v>
      </c>
      <c r="X7" s="7">
        <f t="shared" si="7"/>
        <v>188.42000000000002</v>
      </c>
    </row>
    <row r="8" spans="1:24" x14ac:dyDescent="0.25">
      <c r="A8" s="1" t="s">
        <v>43</v>
      </c>
      <c r="B8" s="1" t="s">
        <v>878</v>
      </c>
      <c r="C8" s="1" t="s">
        <v>879</v>
      </c>
      <c r="D8" s="1" t="s">
        <v>48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7">
        <v>18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0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0</v>
      </c>
      <c r="W8" s="1">
        <f t="shared" si="6"/>
        <v>0</v>
      </c>
      <c r="X8" s="7">
        <f t="shared" si="7"/>
        <v>0</v>
      </c>
    </row>
    <row r="9" spans="1:24" x14ac:dyDescent="0.25">
      <c r="A9" s="1" t="s">
        <v>55</v>
      </c>
      <c r="B9" s="1" t="s">
        <v>880</v>
      </c>
      <c r="C9" s="1" t="s">
        <v>881</v>
      </c>
      <c r="D9" s="1" t="s">
        <v>40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24</v>
      </c>
      <c r="K9" s="1">
        <v>1</v>
      </c>
      <c r="L9" s="7">
        <v>38.479999999999997</v>
      </c>
      <c r="M9" s="1" t="s">
        <v>78</v>
      </c>
      <c r="P9" s="1" t="str">
        <f>Setup!$A$9</f>
        <v>Expert 06</v>
      </c>
      <c r="Q9" s="1">
        <f t="shared" si="0"/>
        <v>1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81</v>
      </c>
      <c r="W9" s="1">
        <f t="shared" si="6"/>
        <v>5</v>
      </c>
      <c r="X9" s="7">
        <f t="shared" si="7"/>
        <v>301.82000000000005</v>
      </c>
    </row>
    <row r="10" spans="1:24" x14ac:dyDescent="0.25">
      <c r="A10" s="1" t="s">
        <v>45</v>
      </c>
      <c r="B10" s="1" t="s">
        <v>333</v>
      </c>
      <c r="C10" s="1" t="s">
        <v>882</v>
      </c>
      <c r="D10" s="1" t="s">
        <v>62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7">
        <v>33</v>
      </c>
      <c r="K10" s="1">
        <v>1</v>
      </c>
      <c r="L10" s="7">
        <v>134.66999999999999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1</v>
      </c>
      <c r="T10" s="1">
        <f t="shared" si="3"/>
        <v>0</v>
      </c>
      <c r="U10" s="1">
        <f t="shared" si="4"/>
        <v>0</v>
      </c>
      <c r="V10" s="7">
        <f t="shared" si="5"/>
        <v>49</v>
      </c>
      <c r="W10" s="1">
        <f t="shared" si="6"/>
        <v>2</v>
      </c>
      <c r="X10" s="7">
        <f t="shared" si="7"/>
        <v>280.80999999999995</v>
      </c>
    </row>
    <row r="11" spans="1:24" x14ac:dyDescent="0.25">
      <c r="A11" s="1" t="s">
        <v>49</v>
      </c>
      <c r="B11" s="1" t="s">
        <v>883</v>
      </c>
      <c r="C11" s="1" t="s">
        <v>884</v>
      </c>
      <c r="D11" s="1" t="s">
        <v>46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24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0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0</v>
      </c>
      <c r="W11" s="1">
        <f t="shared" si="6"/>
        <v>0</v>
      </c>
      <c r="X11" s="7">
        <f t="shared" si="7"/>
        <v>0</v>
      </c>
    </row>
    <row r="12" spans="1:24" x14ac:dyDescent="0.25">
      <c r="A12" s="1" t="s">
        <v>43</v>
      </c>
      <c r="B12" s="1" t="s">
        <v>885</v>
      </c>
      <c r="C12" s="1" t="s">
        <v>886</v>
      </c>
      <c r="D12" s="1" t="s">
        <v>42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24</v>
      </c>
      <c r="W12" s="1">
        <f t="shared" si="6"/>
        <v>1</v>
      </c>
      <c r="X12" s="7">
        <f t="shared" si="7"/>
        <v>0</v>
      </c>
    </row>
    <row r="13" spans="1:24" x14ac:dyDescent="0.25">
      <c r="A13" s="1" t="s">
        <v>37</v>
      </c>
      <c r="B13" s="1" t="s">
        <v>887</v>
      </c>
      <c r="C13" s="1" t="s">
        <v>888</v>
      </c>
      <c r="D13" s="1" t="s">
        <v>67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24</v>
      </c>
      <c r="K13" s="1">
        <v>0</v>
      </c>
      <c r="L13" s="7">
        <v>15.69</v>
      </c>
      <c r="M13" s="1" t="s">
        <v>78</v>
      </c>
      <c r="P13" s="1" t="str">
        <f>Setup!$A$13</f>
        <v>Expert 10</v>
      </c>
      <c r="Q13" s="1">
        <f t="shared" si="0"/>
        <v>0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0</v>
      </c>
      <c r="W13" s="1">
        <f t="shared" si="6"/>
        <v>0</v>
      </c>
      <c r="X13" s="7">
        <f t="shared" si="7"/>
        <v>0</v>
      </c>
    </row>
    <row r="14" spans="1:24" x14ac:dyDescent="0.25">
      <c r="A14" s="1" t="s">
        <v>39</v>
      </c>
      <c r="B14" s="1" t="s">
        <v>889</v>
      </c>
      <c r="C14" s="1" t="s">
        <v>890</v>
      </c>
      <c r="D14" s="1" t="s">
        <v>66</v>
      </c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7">
        <v>0</v>
      </c>
      <c r="K14" s="1">
        <v>0</v>
      </c>
      <c r="L14" s="7">
        <v>123.64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0</v>
      </c>
      <c r="W14" s="1">
        <f t="shared" si="6"/>
        <v>0</v>
      </c>
      <c r="X14" s="7">
        <f t="shared" si="7"/>
        <v>0</v>
      </c>
    </row>
    <row r="15" spans="1:24" x14ac:dyDescent="0.25">
      <c r="A15" s="1" t="s">
        <v>43</v>
      </c>
      <c r="B15" s="1" t="s">
        <v>341</v>
      </c>
      <c r="C15" s="1" t="s">
        <v>891</v>
      </c>
      <c r="D15" s="1" t="s">
        <v>69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7">
        <v>24</v>
      </c>
      <c r="K15" s="1">
        <v>0</v>
      </c>
      <c r="L15" s="7">
        <v>124.47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1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48</v>
      </c>
      <c r="W15" s="1">
        <f t="shared" si="6"/>
        <v>2</v>
      </c>
      <c r="X15" s="7">
        <f t="shared" si="7"/>
        <v>38.479999999999997</v>
      </c>
    </row>
    <row r="16" spans="1:24" x14ac:dyDescent="0.25">
      <c r="A16" s="1" t="s">
        <v>33</v>
      </c>
      <c r="B16" s="1" t="s">
        <v>892</v>
      </c>
      <c r="C16" s="1" t="s">
        <v>893</v>
      </c>
      <c r="D16" s="1" t="s">
        <v>38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7">
        <v>16</v>
      </c>
      <c r="K16" s="1">
        <v>1</v>
      </c>
      <c r="L16" s="7">
        <v>111.22</v>
      </c>
      <c r="M16" s="1" t="s">
        <v>78</v>
      </c>
      <c r="P16" s="8" t="s">
        <v>103</v>
      </c>
      <c r="Q16" s="9">
        <f t="shared" ref="Q16:X16" si="8">SUM(Q4:Q15)</f>
        <v>9</v>
      </c>
      <c r="R16" s="9">
        <f t="shared" si="8"/>
        <v>3</v>
      </c>
      <c r="S16" s="9">
        <f t="shared" si="8"/>
        <v>1</v>
      </c>
      <c r="T16" s="9">
        <f t="shared" si="8"/>
        <v>1</v>
      </c>
      <c r="U16" s="9">
        <f t="shared" si="8"/>
        <v>1</v>
      </c>
      <c r="V16" s="10">
        <f t="shared" si="8"/>
        <v>266</v>
      </c>
      <c r="W16" s="9">
        <f t="shared" si="8"/>
        <v>14</v>
      </c>
      <c r="X16" s="10">
        <f t="shared" si="8"/>
        <v>979.69</v>
      </c>
    </row>
    <row r="17" spans="1:13" x14ac:dyDescent="0.25">
      <c r="A17" s="1" t="s">
        <v>41</v>
      </c>
      <c r="B17" s="1" t="s">
        <v>894</v>
      </c>
      <c r="C17" s="1" t="s">
        <v>895</v>
      </c>
      <c r="D17" s="1" t="s">
        <v>69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0</v>
      </c>
      <c r="L17" s="7">
        <v>0</v>
      </c>
      <c r="M17" s="1" t="s">
        <v>78</v>
      </c>
    </row>
    <row r="18" spans="1:13" x14ac:dyDescent="0.25">
      <c r="A18" s="1" t="s">
        <v>37</v>
      </c>
      <c r="B18" s="1" t="s">
        <v>896</v>
      </c>
      <c r="C18" s="1" t="s">
        <v>897</v>
      </c>
      <c r="D18" s="1" t="s">
        <v>50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24</v>
      </c>
      <c r="K18" s="1">
        <v>1</v>
      </c>
      <c r="L18" s="7">
        <v>27.65</v>
      </c>
      <c r="M18" s="1" t="s">
        <v>78</v>
      </c>
    </row>
    <row r="19" spans="1:13" x14ac:dyDescent="0.25">
      <c r="A19" s="1" t="s">
        <v>39</v>
      </c>
      <c r="B19" s="1" t="s">
        <v>898</v>
      </c>
      <c r="C19" s="1" t="s">
        <v>899</v>
      </c>
      <c r="D19" s="1" t="s">
        <v>67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0</v>
      </c>
      <c r="L19" s="7">
        <v>64.78</v>
      </c>
      <c r="M19" s="1" t="s">
        <v>78</v>
      </c>
    </row>
    <row r="20" spans="1:13" x14ac:dyDescent="0.25">
      <c r="A20" s="1" t="s">
        <v>45</v>
      </c>
      <c r="B20" s="1" t="s">
        <v>900</v>
      </c>
      <c r="C20" s="1" t="s">
        <v>901</v>
      </c>
      <c r="D20" s="1" t="s">
        <v>60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16</v>
      </c>
      <c r="K20" s="1">
        <v>1</v>
      </c>
      <c r="L20" s="7">
        <v>146.13999999999999</v>
      </c>
      <c r="M20" s="1" t="s">
        <v>78</v>
      </c>
    </row>
    <row r="21" spans="1:13" x14ac:dyDescent="0.25">
      <c r="A21" s="1" t="s">
        <v>43</v>
      </c>
      <c r="B21" s="1" t="s">
        <v>902</v>
      </c>
      <c r="C21" s="1" t="s">
        <v>903</v>
      </c>
      <c r="D21" s="1" t="s">
        <v>44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35</v>
      </c>
      <c r="B22" s="1" t="s">
        <v>904</v>
      </c>
      <c r="C22" s="1" t="s">
        <v>905</v>
      </c>
      <c r="D22" s="1" t="s">
        <v>61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0</v>
      </c>
      <c r="M22" s="1" t="s">
        <v>78</v>
      </c>
    </row>
    <row r="23" spans="1:13" x14ac:dyDescent="0.25">
      <c r="A23" s="1"/>
      <c r="B23" s="1"/>
      <c r="C23" s="1"/>
      <c r="D23" s="1"/>
      <c r="E23" s="1"/>
      <c r="F23" s="1"/>
      <c r="G23" s="1"/>
      <c r="H23" s="1"/>
      <c r="I23" s="1"/>
      <c r="J23" s="7"/>
      <c r="K23" s="1"/>
      <c r="L23" s="7"/>
      <c r="M23" s="1"/>
    </row>
    <row r="24" spans="1:13" x14ac:dyDescent="0.25">
      <c r="A24" s="1"/>
      <c r="B24" s="1"/>
      <c r="C24" s="1"/>
      <c r="D24" s="1"/>
      <c r="E24" s="1"/>
      <c r="F24" s="1"/>
      <c r="G24" s="1"/>
      <c r="H24" s="1"/>
      <c r="I24" s="1"/>
      <c r="J24" s="7"/>
      <c r="K24" s="1"/>
      <c r="L24" s="7"/>
      <c r="M24" s="1"/>
    </row>
    <row r="25" spans="1:13" x14ac:dyDescent="0.25">
      <c r="A25" s="1"/>
      <c r="B25" s="1"/>
      <c r="C25" s="1"/>
      <c r="D25" s="1"/>
      <c r="E25" s="1"/>
      <c r="F25" s="1"/>
      <c r="G25" s="1"/>
      <c r="H25" s="1"/>
      <c r="I25" s="1"/>
      <c r="J25" s="7"/>
      <c r="K25" s="1"/>
      <c r="L25" s="7"/>
      <c r="M25" s="1"/>
    </row>
    <row r="26" spans="1:13" x14ac:dyDescent="0.25">
      <c r="A26" s="1"/>
      <c r="B26" s="1"/>
      <c r="C26" s="1"/>
      <c r="D26" s="1"/>
      <c r="E26" s="1"/>
      <c r="F26" s="1"/>
      <c r="G26" s="1"/>
      <c r="H26" s="1"/>
      <c r="I26" s="1"/>
      <c r="J26" s="7"/>
      <c r="K26" s="1"/>
      <c r="L26" s="7"/>
      <c r="M26" s="1"/>
    </row>
    <row r="27" spans="1:13" x14ac:dyDescent="0.25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  <c r="L27" s="7"/>
      <c r="M27" s="1"/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906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47</v>
      </c>
      <c r="B4" s="1" t="s">
        <v>907</v>
      </c>
      <c r="C4" s="1" t="s">
        <v>908</v>
      </c>
      <c r="D4" s="1" t="s">
        <v>69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7">
        <v>0</v>
      </c>
      <c r="K4" s="1">
        <v>0</v>
      </c>
      <c r="L4" s="7">
        <v>179.33</v>
      </c>
      <c r="M4" s="1" t="s">
        <v>78</v>
      </c>
      <c r="P4" s="1" t="str">
        <f>Setup!$A$4</f>
        <v>Expert 01</v>
      </c>
      <c r="Q4" s="1">
        <f t="shared" ref="Q4:Q15" si="0">SUMIF($A$4:$A$43,$P4,E$4:E$43)</f>
        <v>1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2</v>
      </c>
      <c r="X4" s="7">
        <f t="shared" ref="X4:X15" si="7">SUMIF($A$4:$A$43,$P4,L$4:L$43)</f>
        <v>139.21</v>
      </c>
    </row>
    <row r="5" spans="1:24" x14ac:dyDescent="0.25">
      <c r="A5" s="1" t="s">
        <v>41</v>
      </c>
      <c r="B5" s="1" t="s">
        <v>198</v>
      </c>
      <c r="C5" s="1" t="s">
        <v>909</v>
      </c>
      <c r="D5" s="1" t="s">
        <v>38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18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1</v>
      </c>
      <c r="R5" s="1">
        <f t="shared" si="1"/>
        <v>0</v>
      </c>
      <c r="S5" s="1">
        <f t="shared" si="2"/>
        <v>0</v>
      </c>
      <c r="T5" s="1">
        <f t="shared" si="3"/>
        <v>1</v>
      </c>
      <c r="U5" s="1">
        <f t="shared" si="4"/>
        <v>0</v>
      </c>
      <c r="V5" s="7">
        <f t="shared" si="5"/>
        <v>0</v>
      </c>
      <c r="W5" s="1">
        <f t="shared" si="6"/>
        <v>1</v>
      </c>
      <c r="X5" s="7">
        <f t="shared" si="7"/>
        <v>11.39</v>
      </c>
    </row>
    <row r="6" spans="1:24" x14ac:dyDescent="0.25">
      <c r="A6" s="1" t="s">
        <v>39</v>
      </c>
      <c r="B6" s="1" t="s">
        <v>910</v>
      </c>
      <c r="C6" s="1" t="s">
        <v>911</v>
      </c>
      <c r="D6" s="1" t="s">
        <v>58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7">
        <v>0</v>
      </c>
      <c r="K6" s="1">
        <v>1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2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2</v>
      </c>
      <c r="X6" s="7">
        <f t="shared" si="7"/>
        <v>79.02</v>
      </c>
    </row>
    <row r="7" spans="1:24" x14ac:dyDescent="0.25">
      <c r="A7" s="1" t="s">
        <v>47</v>
      </c>
      <c r="B7" s="1" t="s">
        <v>912</v>
      </c>
      <c r="C7" s="1" t="s">
        <v>913</v>
      </c>
      <c r="D7" s="1" t="s">
        <v>61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33</v>
      </c>
      <c r="K7" s="1">
        <v>1</v>
      </c>
      <c r="L7" s="7">
        <v>143.35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0</v>
      </c>
      <c r="S7" s="1">
        <f t="shared" si="2"/>
        <v>0</v>
      </c>
      <c r="T7" s="1">
        <f t="shared" si="3"/>
        <v>1</v>
      </c>
      <c r="U7" s="1">
        <f t="shared" si="4"/>
        <v>0</v>
      </c>
      <c r="V7" s="7">
        <f t="shared" si="5"/>
        <v>18</v>
      </c>
      <c r="W7" s="1">
        <f t="shared" si="6"/>
        <v>2</v>
      </c>
      <c r="X7" s="7">
        <f t="shared" si="7"/>
        <v>63.96</v>
      </c>
    </row>
    <row r="8" spans="1:24" x14ac:dyDescent="0.25">
      <c r="A8" s="1" t="s">
        <v>43</v>
      </c>
      <c r="B8" s="1" t="s">
        <v>914</v>
      </c>
      <c r="C8" s="1" t="s">
        <v>915</v>
      </c>
      <c r="D8" s="1" t="s">
        <v>60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24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1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33</v>
      </c>
      <c r="W8" s="1">
        <f t="shared" si="6"/>
        <v>3</v>
      </c>
      <c r="X8" s="7">
        <f t="shared" si="7"/>
        <v>0</v>
      </c>
    </row>
    <row r="9" spans="1:24" x14ac:dyDescent="0.25">
      <c r="A9" s="1" t="s">
        <v>55</v>
      </c>
      <c r="B9" s="1" t="s">
        <v>206</v>
      </c>
      <c r="C9" s="1" t="s">
        <v>916</v>
      </c>
      <c r="D9" s="1" t="s">
        <v>63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0</v>
      </c>
      <c r="M9" s="1" t="s">
        <v>78</v>
      </c>
      <c r="P9" s="1" t="str">
        <f>Setup!$A$9</f>
        <v>Expert 06</v>
      </c>
      <c r="Q9" s="1">
        <f t="shared" si="0"/>
        <v>1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24</v>
      </c>
      <c r="W9" s="1">
        <f t="shared" si="6"/>
        <v>1</v>
      </c>
      <c r="X9" s="7">
        <f t="shared" si="7"/>
        <v>0</v>
      </c>
    </row>
    <row r="10" spans="1:24" x14ac:dyDescent="0.25">
      <c r="A10" s="1" t="s">
        <v>55</v>
      </c>
      <c r="B10" s="1" t="s">
        <v>917</v>
      </c>
      <c r="C10" s="1" t="s">
        <v>918</v>
      </c>
      <c r="D10" s="1" t="s">
        <v>54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33</v>
      </c>
      <c r="K10" s="1">
        <v>1</v>
      </c>
      <c r="L10" s="7">
        <v>128.84</v>
      </c>
      <c r="M10" s="1" t="s">
        <v>78</v>
      </c>
      <c r="P10" s="1" t="str">
        <f>Setup!$A$10</f>
        <v>Expert 07</v>
      </c>
      <c r="Q10" s="1">
        <f t="shared" si="0"/>
        <v>0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0</v>
      </c>
      <c r="W10" s="1">
        <f t="shared" si="6"/>
        <v>0</v>
      </c>
      <c r="X10" s="7">
        <f t="shared" si="7"/>
        <v>0</v>
      </c>
    </row>
    <row r="11" spans="1:24" x14ac:dyDescent="0.25">
      <c r="A11" s="1" t="s">
        <v>53</v>
      </c>
      <c r="B11" s="1" t="s">
        <v>919</v>
      </c>
      <c r="C11" s="1" t="s">
        <v>920</v>
      </c>
      <c r="D11" s="1" t="s">
        <v>68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24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1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48</v>
      </c>
      <c r="W11" s="1">
        <f t="shared" si="6"/>
        <v>1</v>
      </c>
      <c r="X11" s="7">
        <f t="shared" si="7"/>
        <v>375.42</v>
      </c>
    </row>
    <row r="12" spans="1:24" x14ac:dyDescent="0.25">
      <c r="A12" s="1" t="s">
        <v>33</v>
      </c>
      <c r="B12" s="1" t="s">
        <v>921</v>
      </c>
      <c r="C12" s="1" t="s">
        <v>922</v>
      </c>
      <c r="D12" s="1" t="s">
        <v>36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2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2</v>
      </c>
      <c r="X12" s="7">
        <f t="shared" si="7"/>
        <v>0</v>
      </c>
    </row>
    <row r="13" spans="1:24" x14ac:dyDescent="0.25">
      <c r="A13" s="1" t="s">
        <v>49</v>
      </c>
      <c r="B13" s="1" t="s">
        <v>923</v>
      </c>
      <c r="C13" s="1" t="s">
        <v>924</v>
      </c>
      <c r="D13" s="1" t="s">
        <v>58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0</v>
      </c>
      <c r="K13" s="1">
        <v>1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0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16</v>
      </c>
      <c r="W13" s="1">
        <f t="shared" si="6"/>
        <v>1</v>
      </c>
      <c r="X13" s="7">
        <f t="shared" si="7"/>
        <v>46.53</v>
      </c>
    </row>
    <row r="14" spans="1:24" x14ac:dyDescent="0.25">
      <c r="A14" s="1" t="s">
        <v>35</v>
      </c>
      <c r="B14" s="1" t="s">
        <v>925</v>
      </c>
      <c r="C14" s="1" t="s">
        <v>926</v>
      </c>
      <c r="D14" s="1" t="s">
        <v>67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7">
        <v>0</v>
      </c>
      <c r="K14" s="1">
        <v>0</v>
      </c>
      <c r="L14" s="7">
        <v>0</v>
      </c>
      <c r="M14" s="1" t="s">
        <v>83</v>
      </c>
      <c r="P14" s="1" t="str">
        <f>Setup!$A$14</f>
        <v>Expert 11</v>
      </c>
      <c r="Q14" s="1">
        <f t="shared" si="0"/>
        <v>1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24</v>
      </c>
      <c r="W14" s="1">
        <f t="shared" si="6"/>
        <v>1</v>
      </c>
      <c r="X14" s="7">
        <f t="shared" si="7"/>
        <v>0</v>
      </c>
    </row>
    <row r="15" spans="1:24" x14ac:dyDescent="0.25">
      <c r="A15" s="1" t="s">
        <v>51</v>
      </c>
      <c r="B15" s="1" t="s">
        <v>927</v>
      </c>
      <c r="C15" s="1" t="s">
        <v>928</v>
      </c>
      <c r="D15" s="1" t="s">
        <v>50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7">
        <v>16</v>
      </c>
      <c r="K15" s="1">
        <v>1</v>
      </c>
      <c r="L15" s="7">
        <v>46.53</v>
      </c>
      <c r="M15" s="1" t="s">
        <v>78</v>
      </c>
      <c r="P15" s="1" t="str">
        <f>Setup!$A$15</f>
        <v>Expert 12</v>
      </c>
      <c r="Q15" s="1">
        <f t="shared" si="0"/>
        <v>4</v>
      </c>
      <c r="R15" s="1">
        <f t="shared" si="1"/>
        <v>1</v>
      </c>
      <c r="S15" s="1">
        <f t="shared" si="2"/>
        <v>0</v>
      </c>
      <c r="T15" s="1">
        <f t="shared" si="3"/>
        <v>1</v>
      </c>
      <c r="U15" s="1">
        <f t="shared" si="4"/>
        <v>0</v>
      </c>
      <c r="V15" s="7">
        <f t="shared" si="5"/>
        <v>57</v>
      </c>
      <c r="W15" s="1">
        <f t="shared" si="6"/>
        <v>5</v>
      </c>
      <c r="X15" s="7">
        <f t="shared" si="7"/>
        <v>291.28000000000003</v>
      </c>
    </row>
    <row r="16" spans="1:24" x14ac:dyDescent="0.25">
      <c r="A16" s="1" t="s">
        <v>49</v>
      </c>
      <c r="B16" s="1" t="s">
        <v>929</v>
      </c>
      <c r="C16" s="1" t="s">
        <v>930</v>
      </c>
      <c r="D16" s="1" t="s">
        <v>68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15</v>
      </c>
      <c r="R16" s="9">
        <f t="shared" si="8"/>
        <v>3</v>
      </c>
      <c r="S16" s="9">
        <f t="shared" si="8"/>
        <v>0</v>
      </c>
      <c r="T16" s="9">
        <f t="shared" si="8"/>
        <v>3</v>
      </c>
      <c r="U16" s="9">
        <f t="shared" si="8"/>
        <v>0</v>
      </c>
      <c r="V16" s="10">
        <f t="shared" si="8"/>
        <v>220</v>
      </c>
      <c r="W16" s="9">
        <f t="shared" si="8"/>
        <v>21</v>
      </c>
      <c r="X16" s="10">
        <f t="shared" si="8"/>
        <v>1006.81</v>
      </c>
    </row>
    <row r="17" spans="1:13" x14ac:dyDescent="0.25">
      <c r="A17" s="1" t="s">
        <v>39</v>
      </c>
      <c r="B17" s="1" t="s">
        <v>931</v>
      </c>
      <c r="C17" s="1" t="s">
        <v>932</v>
      </c>
      <c r="D17" s="1" t="s">
        <v>65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37</v>
      </c>
      <c r="B18" s="1" t="s">
        <v>933</v>
      </c>
      <c r="C18" s="1" t="s">
        <v>934</v>
      </c>
      <c r="D18" s="1" t="s">
        <v>60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41</v>
      </c>
      <c r="B19" s="1" t="s">
        <v>935</v>
      </c>
      <c r="C19" s="1" t="s">
        <v>936</v>
      </c>
      <c r="D19" s="1" t="s">
        <v>64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0</v>
      </c>
      <c r="M19" s="1" t="s">
        <v>78</v>
      </c>
    </row>
    <row r="20" spans="1:13" x14ac:dyDescent="0.25">
      <c r="A20" s="1" t="s">
        <v>47</v>
      </c>
      <c r="B20" s="1" t="s">
        <v>937</v>
      </c>
      <c r="C20" s="1" t="s">
        <v>938</v>
      </c>
      <c r="D20" s="1" t="s">
        <v>69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7">
        <v>15</v>
      </c>
      <c r="K20" s="1">
        <v>0</v>
      </c>
      <c r="L20" s="7">
        <v>52.74</v>
      </c>
      <c r="M20" s="1" t="s">
        <v>78</v>
      </c>
    </row>
    <row r="21" spans="1:13" x14ac:dyDescent="0.25">
      <c r="A21" s="1" t="s">
        <v>55</v>
      </c>
      <c r="B21" s="1" t="s">
        <v>939</v>
      </c>
      <c r="C21" s="1" t="s">
        <v>940</v>
      </c>
      <c r="D21" s="1" t="s">
        <v>36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24</v>
      </c>
      <c r="K21" s="1">
        <v>1</v>
      </c>
      <c r="L21" s="7">
        <v>143.33000000000001</v>
      </c>
      <c r="M21" s="1" t="s">
        <v>78</v>
      </c>
    </row>
    <row r="22" spans="1:13" x14ac:dyDescent="0.25">
      <c r="A22" s="1" t="s">
        <v>55</v>
      </c>
      <c r="B22" s="1" t="s">
        <v>941</v>
      </c>
      <c r="C22" s="1" t="s">
        <v>942</v>
      </c>
      <c r="D22" s="1" t="s">
        <v>50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19.11</v>
      </c>
      <c r="M22" s="1" t="s">
        <v>78</v>
      </c>
    </row>
    <row r="23" spans="1:13" x14ac:dyDescent="0.25">
      <c r="A23" s="1" t="s">
        <v>33</v>
      </c>
      <c r="B23" s="1" t="s">
        <v>943</v>
      </c>
      <c r="C23" s="1" t="s">
        <v>944</v>
      </c>
      <c r="D23" s="1" t="s">
        <v>61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139.21</v>
      </c>
      <c r="M23" s="1" t="s">
        <v>78</v>
      </c>
    </row>
    <row r="24" spans="1:13" x14ac:dyDescent="0.25">
      <c r="A24" s="1" t="s">
        <v>55</v>
      </c>
      <c r="B24" s="1" t="s">
        <v>945</v>
      </c>
      <c r="C24" s="1" t="s">
        <v>946</v>
      </c>
      <c r="D24" s="1" t="s">
        <v>54</v>
      </c>
      <c r="E24" s="1">
        <v>1</v>
      </c>
      <c r="F24" s="1">
        <v>0</v>
      </c>
      <c r="G24" s="1">
        <v>0</v>
      </c>
      <c r="H24" s="1">
        <v>1</v>
      </c>
      <c r="I24" s="1">
        <v>0</v>
      </c>
      <c r="J24" s="7">
        <v>0</v>
      </c>
      <c r="K24" s="1">
        <v>1</v>
      </c>
      <c r="L24" s="7">
        <v>0</v>
      </c>
      <c r="M24" s="1" t="s">
        <v>78</v>
      </c>
    </row>
    <row r="25" spans="1:13" x14ac:dyDescent="0.25">
      <c r="A25" s="1" t="s">
        <v>35</v>
      </c>
      <c r="B25" s="1" t="s">
        <v>947</v>
      </c>
      <c r="C25" s="1" t="s">
        <v>948</v>
      </c>
      <c r="D25" s="1" t="s">
        <v>44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7">
        <v>0</v>
      </c>
      <c r="K25" s="1">
        <v>1</v>
      </c>
      <c r="L25" s="7">
        <v>11.39</v>
      </c>
      <c r="M25" s="1" t="s">
        <v>78</v>
      </c>
    </row>
    <row r="26" spans="1:13" x14ac:dyDescent="0.25">
      <c r="A26" s="1" t="s">
        <v>39</v>
      </c>
      <c r="B26" s="1" t="s">
        <v>949</v>
      </c>
      <c r="C26" s="1" t="s">
        <v>950</v>
      </c>
      <c r="D26" s="1" t="s">
        <v>67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18</v>
      </c>
      <c r="K26" s="1">
        <v>0</v>
      </c>
      <c r="L26" s="7">
        <v>63.96</v>
      </c>
      <c r="M26" s="1" t="s">
        <v>78</v>
      </c>
    </row>
    <row r="27" spans="1:13" x14ac:dyDescent="0.25">
      <c r="A27" s="1" t="s">
        <v>41</v>
      </c>
      <c r="B27" s="1" t="s">
        <v>951</v>
      </c>
      <c r="C27" s="1" t="s">
        <v>952</v>
      </c>
      <c r="D27" s="1" t="s">
        <v>44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7">
        <v>15</v>
      </c>
      <c r="K27" s="1">
        <v>1</v>
      </c>
      <c r="L27" s="7">
        <v>0</v>
      </c>
      <c r="M27" s="1" t="s">
        <v>78</v>
      </c>
    </row>
    <row r="28" spans="1:13" x14ac:dyDescent="0.25">
      <c r="A28" s="1" t="s">
        <v>37</v>
      </c>
      <c r="B28" s="1" t="s">
        <v>953</v>
      </c>
      <c r="C28" s="1" t="s">
        <v>954</v>
      </c>
      <c r="D28" s="1" t="s">
        <v>48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79.02</v>
      </c>
      <c r="M28" s="1" t="s">
        <v>78</v>
      </c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955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35</v>
      </c>
      <c r="B4" s="1" t="s">
        <v>956</v>
      </c>
      <c r="C4" s="1" t="s">
        <v>957</v>
      </c>
      <c r="D4" s="1" t="s">
        <v>68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24</v>
      </c>
      <c r="K4" s="1">
        <v>1</v>
      </c>
      <c r="L4" s="7">
        <v>99.74</v>
      </c>
      <c r="M4" s="1" t="s">
        <v>78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1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15</v>
      </c>
      <c r="W4" s="1">
        <f t="shared" ref="W4:W15" si="6">SUMIF($A$4:$A$43,$P4,K$4:K$43)</f>
        <v>3</v>
      </c>
      <c r="X4" s="7">
        <f t="shared" ref="X4:X15" si="7">SUMIF($A$4:$A$43,$P4,L$4:L$43)</f>
        <v>194.81</v>
      </c>
    </row>
    <row r="5" spans="1:24" x14ac:dyDescent="0.25">
      <c r="A5" s="1" t="s">
        <v>43</v>
      </c>
      <c r="B5" s="1" t="s">
        <v>958</v>
      </c>
      <c r="C5" s="1" t="s">
        <v>959</v>
      </c>
      <c r="D5" s="1" t="s">
        <v>60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142.16999999999999</v>
      </c>
      <c r="M5" s="1" t="s">
        <v>78</v>
      </c>
      <c r="P5" s="1" t="str">
        <f>Setup!$A$5</f>
        <v>Expert 02</v>
      </c>
      <c r="Q5" s="1">
        <f t="shared" si="0"/>
        <v>3</v>
      </c>
      <c r="R5" s="1">
        <f t="shared" si="1"/>
        <v>1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75</v>
      </c>
      <c r="W5" s="1">
        <f t="shared" si="6"/>
        <v>4</v>
      </c>
      <c r="X5" s="7">
        <f t="shared" si="7"/>
        <v>204.91</v>
      </c>
    </row>
    <row r="6" spans="1:24" x14ac:dyDescent="0.25">
      <c r="A6" s="1" t="s">
        <v>45</v>
      </c>
      <c r="B6" s="1" t="s">
        <v>960</v>
      </c>
      <c r="C6" s="1" t="s">
        <v>961</v>
      </c>
      <c r="D6" s="1" t="s">
        <v>57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24</v>
      </c>
      <c r="K6" s="1">
        <v>1</v>
      </c>
      <c r="L6" s="7">
        <v>62.66</v>
      </c>
      <c r="M6" s="1" t="s">
        <v>78</v>
      </c>
      <c r="P6" s="1" t="str">
        <f>Setup!$A$6</f>
        <v>Expert 03</v>
      </c>
      <c r="Q6" s="1">
        <f t="shared" si="0"/>
        <v>1</v>
      </c>
      <c r="R6" s="1">
        <f t="shared" si="1"/>
        <v>1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24</v>
      </c>
      <c r="W6" s="1">
        <f t="shared" si="6"/>
        <v>2</v>
      </c>
      <c r="X6" s="7">
        <f t="shared" si="7"/>
        <v>11.66</v>
      </c>
    </row>
    <row r="7" spans="1:24" x14ac:dyDescent="0.25">
      <c r="A7" s="1" t="s">
        <v>35</v>
      </c>
      <c r="B7" s="1" t="s">
        <v>962</v>
      </c>
      <c r="C7" s="1" t="s">
        <v>963</v>
      </c>
      <c r="D7" s="1" t="s">
        <v>42</v>
      </c>
      <c r="E7" s="1">
        <v>0</v>
      </c>
      <c r="F7" s="1">
        <v>1</v>
      </c>
      <c r="G7" s="1">
        <v>0</v>
      </c>
      <c r="H7" s="1">
        <v>0</v>
      </c>
      <c r="I7" s="1">
        <v>0</v>
      </c>
      <c r="J7" s="7">
        <v>18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0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1</v>
      </c>
      <c r="X7" s="7">
        <f t="shared" si="7"/>
        <v>0</v>
      </c>
    </row>
    <row r="8" spans="1:24" x14ac:dyDescent="0.25">
      <c r="A8" s="1" t="s">
        <v>33</v>
      </c>
      <c r="B8" s="1" t="s">
        <v>964</v>
      </c>
      <c r="C8" s="1" t="s">
        <v>965</v>
      </c>
      <c r="D8" s="1" t="s">
        <v>67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0</v>
      </c>
      <c r="K8" s="1">
        <v>0</v>
      </c>
      <c r="L8" s="7">
        <v>11.09</v>
      </c>
      <c r="M8" s="1" t="s">
        <v>78</v>
      </c>
      <c r="P8" s="1" t="str">
        <f>Setup!$A$8</f>
        <v>Expert 05</v>
      </c>
      <c r="Q8" s="1">
        <f t="shared" si="0"/>
        <v>3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57</v>
      </c>
      <c r="W8" s="1">
        <f t="shared" si="6"/>
        <v>3</v>
      </c>
      <c r="X8" s="7">
        <f t="shared" si="7"/>
        <v>115.92</v>
      </c>
    </row>
    <row r="9" spans="1:24" x14ac:dyDescent="0.25">
      <c r="A9" s="1" t="s">
        <v>51</v>
      </c>
      <c r="B9" s="1" t="s">
        <v>966</v>
      </c>
      <c r="C9" s="1" t="s">
        <v>967</v>
      </c>
      <c r="D9" s="1" t="s">
        <v>42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79.7</v>
      </c>
      <c r="M9" s="1" t="s">
        <v>78</v>
      </c>
      <c r="P9" s="1" t="str">
        <f>Setup!$A$9</f>
        <v>Expert 06</v>
      </c>
      <c r="Q9" s="1">
        <f t="shared" si="0"/>
        <v>3</v>
      </c>
      <c r="R9" s="1">
        <f t="shared" si="1"/>
        <v>1</v>
      </c>
      <c r="S9" s="1">
        <f t="shared" si="2"/>
        <v>0</v>
      </c>
      <c r="T9" s="1">
        <f t="shared" si="3"/>
        <v>1</v>
      </c>
      <c r="U9" s="1">
        <f t="shared" si="4"/>
        <v>1</v>
      </c>
      <c r="V9" s="7">
        <f t="shared" si="5"/>
        <v>66</v>
      </c>
      <c r="W9" s="1">
        <f t="shared" si="6"/>
        <v>5</v>
      </c>
      <c r="X9" s="7">
        <f t="shared" si="7"/>
        <v>461.68</v>
      </c>
    </row>
    <row r="10" spans="1:24" x14ac:dyDescent="0.25">
      <c r="A10" s="1" t="s">
        <v>37</v>
      </c>
      <c r="B10" s="1" t="s">
        <v>968</v>
      </c>
      <c r="C10" s="1" t="s">
        <v>969</v>
      </c>
      <c r="D10" s="1" t="s">
        <v>40</v>
      </c>
      <c r="E10" s="1">
        <v>0</v>
      </c>
      <c r="F10" s="1">
        <v>1</v>
      </c>
      <c r="G10" s="1">
        <v>0</v>
      </c>
      <c r="H10" s="1">
        <v>0</v>
      </c>
      <c r="I10" s="1">
        <v>0</v>
      </c>
      <c r="J10" s="7">
        <v>24</v>
      </c>
      <c r="K10" s="1">
        <v>1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1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48</v>
      </c>
      <c r="W10" s="1">
        <f t="shared" si="6"/>
        <v>2</v>
      </c>
      <c r="X10" s="7">
        <f t="shared" si="7"/>
        <v>171.18</v>
      </c>
    </row>
    <row r="11" spans="1:24" x14ac:dyDescent="0.25">
      <c r="A11" s="1" t="s">
        <v>33</v>
      </c>
      <c r="B11" s="1" t="s">
        <v>970</v>
      </c>
      <c r="C11" s="1" t="s">
        <v>971</v>
      </c>
      <c r="D11" s="1" t="s">
        <v>62</v>
      </c>
      <c r="E11" s="1">
        <v>0</v>
      </c>
      <c r="F11" s="1">
        <v>1</v>
      </c>
      <c r="G11" s="1">
        <v>0</v>
      </c>
      <c r="H11" s="1">
        <v>0</v>
      </c>
      <c r="I11" s="1">
        <v>0</v>
      </c>
      <c r="J11" s="7">
        <v>15</v>
      </c>
      <c r="K11" s="1">
        <v>1</v>
      </c>
      <c r="L11" s="7">
        <v>65.97</v>
      </c>
      <c r="M11" s="1" t="s">
        <v>78</v>
      </c>
      <c r="P11" s="1" t="str">
        <f>Setup!$A$11</f>
        <v>Expert 08</v>
      </c>
      <c r="Q11" s="1">
        <f t="shared" si="0"/>
        <v>0</v>
      </c>
      <c r="R11" s="1">
        <f t="shared" si="1"/>
        <v>1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0</v>
      </c>
      <c r="W11" s="1">
        <f t="shared" si="6"/>
        <v>2</v>
      </c>
      <c r="X11" s="7">
        <f t="shared" si="7"/>
        <v>8.7200000000000006</v>
      </c>
    </row>
    <row r="12" spans="1:24" x14ac:dyDescent="0.25">
      <c r="A12" s="1" t="s">
        <v>33</v>
      </c>
      <c r="B12" s="1" t="s">
        <v>972</v>
      </c>
      <c r="C12" s="1" t="s">
        <v>973</v>
      </c>
      <c r="D12" s="1" t="s">
        <v>68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87.17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1</v>
      </c>
      <c r="X12" s="7">
        <f t="shared" si="7"/>
        <v>0</v>
      </c>
    </row>
    <row r="13" spans="1:24" x14ac:dyDescent="0.25">
      <c r="A13" s="1" t="s">
        <v>51</v>
      </c>
      <c r="B13" s="1" t="s">
        <v>974</v>
      </c>
      <c r="C13" s="1" t="s">
        <v>975</v>
      </c>
      <c r="D13" s="1" t="s">
        <v>36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7">
        <v>16</v>
      </c>
      <c r="K13" s="1">
        <v>1</v>
      </c>
      <c r="L13" s="7">
        <v>30.86</v>
      </c>
      <c r="M13" s="1" t="s">
        <v>78</v>
      </c>
      <c r="P13" s="1" t="str">
        <f>Setup!$A$13</f>
        <v>Expert 10</v>
      </c>
      <c r="Q13" s="1">
        <f t="shared" si="0"/>
        <v>0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16</v>
      </c>
      <c r="W13" s="1">
        <f t="shared" si="6"/>
        <v>2</v>
      </c>
      <c r="X13" s="7">
        <f t="shared" si="7"/>
        <v>110.56</v>
      </c>
    </row>
    <row r="14" spans="1:24" x14ac:dyDescent="0.25">
      <c r="A14" s="1" t="s">
        <v>39</v>
      </c>
      <c r="B14" s="1" t="s">
        <v>976</v>
      </c>
      <c r="C14" s="1" t="s">
        <v>977</v>
      </c>
      <c r="D14" s="1" t="s">
        <v>52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2</v>
      </c>
      <c r="R14" s="1">
        <f t="shared" si="1"/>
        <v>0</v>
      </c>
      <c r="S14" s="1">
        <f t="shared" si="2"/>
        <v>0</v>
      </c>
      <c r="T14" s="1">
        <f t="shared" si="3"/>
        <v>1</v>
      </c>
      <c r="U14" s="1">
        <f t="shared" si="4"/>
        <v>1</v>
      </c>
      <c r="V14" s="7">
        <f t="shared" si="5"/>
        <v>36</v>
      </c>
      <c r="W14" s="1">
        <f t="shared" si="6"/>
        <v>2</v>
      </c>
      <c r="X14" s="7">
        <f t="shared" si="7"/>
        <v>201.56</v>
      </c>
    </row>
    <row r="15" spans="1:24" x14ac:dyDescent="0.25">
      <c r="A15" s="1" t="s">
        <v>49</v>
      </c>
      <c r="B15" s="1" t="s">
        <v>978</v>
      </c>
      <c r="C15" s="1" t="s">
        <v>979</v>
      </c>
      <c r="D15" s="1" t="s">
        <v>52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0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2</v>
      </c>
      <c r="R15" s="1">
        <f t="shared" si="1"/>
        <v>1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24</v>
      </c>
      <c r="W15" s="1">
        <f t="shared" si="6"/>
        <v>4</v>
      </c>
      <c r="X15" s="7">
        <f t="shared" si="7"/>
        <v>205.98000000000002</v>
      </c>
    </row>
    <row r="16" spans="1:24" x14ac:dyDescent="0.25">
      <c r="A16" s="1" t="s">
        <v>37</v>
      </c>
      <c r="B16" s="1" t="s">
        <v>980</v>
      </c>
      <c r="C16" s="1" t="s">
        <v>981</v>
      </c>
      <c r="D16" s="1" t="s">
        <v>65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11.66</v>
      </c>
      <c r="M16" s="1" t="s">
        <v>78</v>
      </c>
      <c r="P16" s="8" t="s">
        <v>103</v>
      </c>
      <c r="Q16" s="9">
        <f t="shared" ref="Q16:X16" si="8">SUM(Q4:Q15)</f>
        <v>18</v>
      </c>
      <c r="R16" s="9">
        <f t="shared" si="8"/>
        <v>7</v>
      </c>
      <c r="S16" s="9">
        <f t="shared" si="8"/>
        <v>0</v>
      </c>
      <c r="T16" s="9">
        <f t="shared" si="8"/>
        <v>2</v>
      </c>
      <c r="U16" s="9">
        <f t="shared" si="8"/>
        <v>2</v>
      </c>
      <c r="V16" s="10">
        <f t="shared" si="8"/>
        <v>361</v>
      </c>
      <c r="W16" s="9">
        <f t="shared" si="8"/>
        <v>31</v>
      </c>
      <c r="X16" s="10">
        <f t="shared" si="8"/>
        <v>1686.98</v>
      </c>
    </row>
    <row r="17" spans="1:13" x14ac:dyDescent="0.25">
      <c r="A17" s="1" t="s">
        <v>47</v>
      </c>
      <c r="B17" s="1" t="s">
        <v>982</v>
      </c>
      <c r="C17" s="1" t="s">
        <v>983</v>
      </c>
      <c r="D17" s="1" t="s">
        <v>42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8.7200000000000006</v>
      </c>
      <c r="M17" s="1" t="s">
        <v>78</v>
      </c>
    </row>
    <row r="18" spans="1:13" x14ac:dyDescent="0.25">
      <c r="A18" s="1" t="s">
        <v>55</v>
      </c>
      <c r="B18" s="1" t="s">
        <v>984</v>
      </c>
      <c r="C18" s="1" t="s">
        <v>985</v>
      </c>
      <c r="D18" s="1" t="s">
        <v>56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43</v>
      </c>
      <c r="B19" s="1" t="s">
        <v>986</v>
      </c>
      <c r="C19" s="1" t="s">
        <v>987</v>
      </c>
      <c r="D19" s="1" t="s">
        <v>34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18</v>
      </c>
      <c r="K19" s="1">
        <v>1</v>
      </c>
      <c r="L19" s="7">
        <v>158.02000000000001</v>
      </c>
      <c r="M19" s="1" t="s">
        <v>78</v>
      </c>
    </row>
    <row r="20" spans="1:13" x14ac:dyDescent="0.25">
      <c r="A20" s="1" t="s">
        <v>35</v>
      </c>
      <c r="B20" s="1" t="s">
        <v>988</v>
      </c>
      <c r="C20" s="1" t="s">
        <v>989</v>
      </c>
      <c r="D20" s="1" t="s">
        <v>48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18</v>
      </c>
      <c r="K20" s="1">
        <v>1</v>
      </c>
      <c r="L20" s="7">
        <v>105.17</v>
      </c>
      <c r="M20" s="1" t="s">
        <v>78</v>
      </c>
    </row>
    <row r="21" spans="1:13" x14ac:dyDescent="0.25">
      <c r="A21" s="1" t="s">
        <v>55</v>
      </c>
      <c r="B21" s="1" t="s">
        <v>990</v>
      </c>
      <c r="C21" s="1" t="s">
        <v>991</v>
      </c>
      <c r="D21" s="1" t="s">
        <v>50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7">
        <v>24</v>
      </c>
      <c r="K21" s="1">
        <v>1</v>
      </c>
      <c r="L21" s="7">
        <v>16.32</v>
      </c>
      <c r="M21" s="1" t="s">
        <v>78</v>
      </c>
    </row>
    <row r="22" spans="1:13" x14ac:dyDescent="0.25">
      <c r="A22" s="1" t="s">
        <v>43</v>
      </c>
      <c r="B22" s="1" t="s">
        <v>992</v>
      </c>
      <c r="C22" s="1" t="s">
        <v>993</v>
      </c>
      <c r="D22" s="1" t="s">
        <v>63</v>
      </c>
      <c r="E22" s="1">
        <v>1</v>
      </c>
      <c r="F22" s="1">
        <v>0</v>
      </c>
      <c r="G22" s="1">
        <v>0</v>
      </c>
      <c r="H22" s="1">
        <v>1</v>
      </c>
      <c r="I22" s="1">
        <v>0</v>
      </c>
      <c r="J22" s="7">
        <v>24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43</v>
      </c>
      <c r="B23" s="1" t="s">
        <v>994</v>
      </c>
      <c r="C23" s="1" t="s">
        <v>995</v>
      </c>
      <c r="D23" s="1" t="s">
        <v>62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0</v>
      </c>
      <c r="M23" s="1" t="s">
        <v>78</v>
      </c>
    </row>
    <row r="24" spans="1:13" x14ac:dyDescent="0.25">
      <c r="A24" s="1" t="s">
        <v>43</v>
      </c>
      <c r="B24" s="1" t="s">
        <v>996</v>
      </c>
      <c r="C24" s="1" t="s">
        <v>997</v>
      </c>
      <c r="D24" s="1" t="s">
        <v>34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71.36</v>
      </c>
      <c r="M24" s="1" t="s">
        <v>78</v>
      </c>
    </row>
    <row r="25" spans="1:13" x14ac:dyDescent="0.25">
      <c r="A25" s="1" t="s">
        <v>41</v>
      </c>
      <c r="B25" s="1" t="s">
        <v>998</v>
      </c>
      <c r="C25" s="1" t="s">
        <v>999</v>
      </c>
      <c r="D25" s="1" t="s">
        <v>68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24</v>
      </c>
      <c r="K25" s="1">
        <v>1</v>
      </c>
      <c r="L25" s="7">
        <v>115.92</v>
      </c>
      <c r="M25" s="1" t="s">
        <v>78</v>
      </c>
    </row>
    <row r="26" spans="1:13" x14ac:dyDescent="0.25">
      <c r="A26" s="1" t="s">
        <v>41</v>
      </c>
      <c r="B26" s="1" t="s">
        <v>1000</v>
      </c>
      <c r="C26" s="1" t="s">
        <v>1001</v>
      </c>
      <c r="D26" s="1" t="s">
        <v>57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0</v>
      </c>
      <c r="M26" s="1" t="s">
        <v>78</v>
      </c>
    </row>
    <row r="27" spans="1:13" x14ac:dyDescent="0.25">
      <c r="A27" s="1" t="s">
        <v>53</v>
      </c>
      <c r="B27" s="1" t="s">
        <v>1002</v>
      </c>
      <c r="C27" s="1" t="s">
        <v>1003</v>
      </c>
      <c r="D27" s="1" t="s">
        <v>40</v>
      </c>
      <c r="E27" s="1">
        <v>1</v>
      </c>
      <c r="F27" s="1">
        <v>0</v>
      </c>
      <c r="G27" s="1">
        <v>0</v>
      </c>
      <c r="H27" s="1">
        <v>1</v>
      </c>
      <c r="I27" s="1">
        <v>0</v>
      </c>
      <c r="J27" s="7">
        <v>18</v>
      </c>
      <c r="K27" s="1">
        <v>1</v>
      </c>
      <c r="L27" s="7">
        <v>130.69999999999999</v>
      </c>
      <c r="M27" s="1" t="s">
        <v>78</v>
      </c>
    </row>
    <row r="28" spans="1:13" x14ac:dyDescent="0.25">
      <c r="A28" s="1" t="s">
        <v>55</v>
      </c>
      <c r="B28" s="1" t="s">
        <v>1004</v>
      </c>
      <c r="C28" s="1" t="s">
        <v>1005</v>
      </c>
      <c r="D28" s="1" t="s">
        <v>44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107.3</v>
      </c>
      <c r="M28" s="1" t="s">
        <v>83</v>
      </c>
    </row>
    <row r="29" spans="1:13" x14ac:dyDescent="0.25">
      <c r="A29" s="1" t="s">
        <v>35</v>
      </c>
      <c r="B29" s="1" t="s">
        <v>792</v>
      </c>
      <c r="C29" s="1" t="s">
        <v>1006</v>
      </c>
      <c r="D29" s="1" t="s">
        <v>63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7">
        <v>15</v>
      </c>
      <c r="K29" s="1">
        <v>1</v>
      </c>
      <c r="L29" s="7">
        <v>0</v>
      </c>
      <c r="M29" s="1" t="s">
        <v>78</v>
      </c>
    </row>
    <row r="30" spans="1:13" x14ac:dyDescent="0.25">
      <c r="A30" s="1" t="s">
        <v>55</v>
      </c>
      <c r="B30" s="1" t="s">
        <v>1007</v>
      </c>
      <c r="C30" s="1" t="s">
        <v>1008</v>
      </c>
      <c r="D30" s="1" t="s">
        <v>56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7">
        <v>0</v>
      </c>
      <c r="K30" s="1">
        <v>1</v>
      </c>
      <c r="L30" s="7">
        <v>82.36</v>
      </c>
      <c r="M30" s="1" t="s">
        <v>83</v>
      </c>
    </row>
    <row r="31" spans="1:13" x14ac:dyDescent="0.25">
      <c r="A31" s="1" t="s">
        <v>33</v>
      </c>
      <c r="B31" s="1" t="s">
        <v>1009</v>
      </c>
      <c r="C31" s="1" t="s">
        <v>1010</v>
      </c>
      <c r="D31" s="1" t="s">
        <v>65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7">
        <v>0</v>
      </c>
      <c r="K31" s="1">
        <v>1</v>
      </c>
      <c r="L31" s="7">
        <v>30.58</v>
      </c>
      <c r="M31" s="1" t="s">
        <v>78</v>
      </c>
    </row>
    <row r="32" spans="1:13" x14ac:dyDescent="0.25">
      <c r="A32" s="1" t="s">
        <v>47</v>
      </c>
      <c r="B32" s="1" t="s">
        <v>1011</v>
      </c>
      <c r="C32" s="1" t="s">
        <v>1012</v>
      </c>
      <c r="D32" s="1" t="s">
        <v>57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7">
        <v>0</v>
      </c>
      <c r="K32" s="1">
        <v>1</v>
      </c>
      <c r="L32" s="7">
        <v>0</v>
      </c>
      <c r="M32" s="1" t="s">
        <v>78</v>
      </c>
    </row>
    <row r="33" spans="1:13" x14ac:dyDescent="0.25">
      <c r="A33" s="1" t="s">
        <v>53</v>
      </c>
      <c r="B33" s="1" t="s">
        <v>1013</v>
      </c>
      <c r="C33" s="1" t="s">
        <v>1014</v>
      </c>
      <c r="D33" s="1" t="s">
        <v>66</v>
      </c>
      <c r="E33" s="1">
        <v>0</v>
      </c>
      <c r="F33" s="1">
        <v>0</v>
      </c>
      <c r="G33" s="1">
        <v>0</v>
      </c>
      <c r="H33" s="1">
        <v>0</v>
      </c>
      <c r="I33" s="1">
        <v>1</v>
      </c>
      <c r="J33" s="7">
        <v>0</v>
      </c>
      <c r="K33" s="1">
        <v>0</v>
      </c>
      <c r="L33" s="7">
        <v>0</v>
      </c>
      <c r="M33" s="1" t="s">
        <v>78</v>
      </c>
    </row>
    <row r="34" spans="1:13" x14ac:dyDescent="0.25">
      <c r="A34" s="1" t="s">
        <v>41</v>
      </c>
      <c r="B34" s="1" t="s">
        <v>1015</v>
      </c>
      <c r="C34" s="1" t="s">
        <v>1016</v>
      </c>
      <c r="D34" s="1" t="s">
        <v>38</v>
      </c>
      <c r="E34" s="1">
        <v>1</v>
      </c>
      <c r="F34" s="1">
        <v>0</v>
      </c>
      <c r="G34" s="1">
        <v>0</v>
      </c>
      <c r="H34" s="1">
        <v>0</v>
      </c>
      <c r="I34" s="1">
        <v>0</v>
      </c>
      <c r="J34" s="7">
        <v>33</v>
      </c>
      <c r="K34" s="1">
        <v>1</v>
      </c>
      <c r="L34" s="7">
        <v>0</v>
      </c>
      <c r="M34" s="1" t="s">
        <v>83</v>
      </c>
    </row>
    <row r="35" spans="1:13" x14ac:dyDescent="0.25">
      <c r="A35" s="1" t="s">
        <v>53</v>
      </c>
      <c r="B35" s="1" t="s">
        <v>1017</v>
      </c>
      <c r="C35" s="1" t="s">
        <v>1018</v>
      </c>
      <c r="D35" s="1" t="s">
        <v>54</v>
      </c>
      <c r="E35" s="1">
        <v>1</v>
      </c>
      <c r="F35" s="1">
        <v>0</v>
      </c>
      <c r="G35" s="1">
        <v>0</v>
      </c>
      <c r="H35" s="1">
        <v>0</v>
      </c>
      <c r="I35" s="1">
        <v>0</v>
      </c>
      <c r="J35" s="7">
        <v>18</v>
      </c>
      <c r="K35" s="1">
        <v>1</v>
      </c>
      <c r="L35" s="7">
        <v>70.86</v>
      </c>
      <c r="M35" s="1" t="s">
        <v>78</v>
      </c>
    </row>
    <row r="36" spans="1:13" x14ac:dyDescent="0.25">
      <c r="A36" s="1" t="s">
        <v>45</v>
      </c>
      <c r="B36" s="1" t="s">
        <v>1019</v>
      </c>
      <c r="C36" s="1" t="s">
        <v>1020</v>
      </c>
      <c r="D36" s="1" t="s">
        <v>42</v>
      </c>
      <c r="E36" s="1">
        <v>0</v>
      </c>
      <c r="F36" s="1">
        <v>1</v>
      </c>
      <c r="G36" s="1">
        <v>0</v>
      </c>
      <c r="H36" s="1">
        <v>0</v>
      </c>
      <c r="I36" s="1">
        <v>0</v>
      </c>
      <c r="J36" s="7">
        <v>24</v>
      </c>
      <c r="K36" s="1">
        <v>1</v>
      </c>
      <c r="L36" s="7">
        <v>108.52</v>
      </c>
      <c r="M36" s="1" t="s">
        <v>78</v>
      </c>
    </row>
    <row r="37" spans="1:13" x14ac:dyDescent="0.25">
      <c r="A37" s="1" t="s">
        <v>43</v>
      </c>
      <c r="B37" s="1" t="s">
        <v>1021</v>
      </c>
      <c r="C37" s="1" t="s">
        <v>1022</v>
      </c>
      <c r="D37" s="1" t="s">
        <v>66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7">
        <v>24</v>
      </c>
      <c r="K37" s="1">
        <v>0</v>
      </c>
      <c r="L37" s="7">
        <v>90.13</v>
      </c>
      <c r="M37" s="1" t="s">
        <v>83</v>
      </c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1023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47</v>
      </c>
      <c r="B4" s="1" t="s">
        <v>1024</v>
      </c>
      <c r="C4" s="1" t="s">
        <v>1025</v>
      </c>
      <c r="D4" s="1" t="s">
        <v>67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7">
        <v>0</v>
      </c>
      <c r="K4" s="1">
        <v>0</v>
      </c>
      <c r="L4" s="7">
        <v>99.16</v>
      </c>
      <c r="M4" s="1" t="s">
        <v>78</v>
      </c>
      <c r="P4" s="1" t="str">
        <f>Setup!$A$4</f>
        <v>Expert 01</v>
      </c>
      <c r="Q4" s="1">
        <f t="shared" ref="Q4:Q15" si="0">SUMIF($A$4:$A$43,$P4,E$4:E$43)</f>
        <v>0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0</v>
      </c>
      <c r="X4" s="7">
        <f t="shared" ref="X4:X15" si="7">SUMIF($A$4:$A$43,$P4,L$4:L$43)</f>
        <v>0</v>
      </c>
    </row>
    <row r="5" spans="1:24" x14ac:dyDescent="0.25">
      <c r="A5" s="1" t="s">
        <v>55</v>
      </c>
      <c r="B5" s="1" t="s">
        <v>438</v>
      </c>
      <c r="C5" s="1" t="s">
        <v>1026</v>
      </c>
      <c r="D5" s="1" t="s">
        <v>63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33</v>
      </c>
      <c r="K5" s="1">
        <v>1</v>
      </c>
      <c r="L5" s="7">
        <v>42.54</v>
      </c>
      <c r="M5" s="1" t="s">
        <v>78</v>
      </c>
      <c r="P5" s="1" t="str">
        <f>Setup!$A$5</f>
        <v>Expert 02</v>
      </c>
      <c r="Q5" s="1">
        <f t="shared" si="0"/>
        <v>1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18</v>
      </c>
      <c r="W5" s="1">
        <f t="shared" si="6"/>
        <v>1</v>
      </c>
      <c r="X5" s="7">
        <f t="shared" si="7"/>
        <v>129.91999999999999</v>
      </c>
    </row>
    <row r="6" spans="1:24" x14ac:dyDescent="0.25">
      <c r="A6" s="1" t="s">
        <v>43</v>
      </c>
      <c r="B6" s="1" t="s">
        <v>1027</v>
      </c>
      <c r="C6" s="1" t="s">
        <v>1028</v>
      </c>
      <c r="D6" s="1" t="s">
        <v>66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7">
        <v>24</v>
      </c>
      <c r="K6" s="1">
        <v>0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1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16</v>
      </c>
      <c r="W6" s="1">
        <f t="shared" si="6"/>
        <v>2</v>
      </c>
      <c r="X6" s="7">
        <f t="shared" si="7"/>
        <v>227.46</v>
      </c>
    </row>
    <row r="7" spans="1:24" x14ac:dyDescent="0.25">
      <c r="A7" s="1" t="s">
        <v>49</v>
      </c>
      <c r="B7" s="1" t="s">
        <v>1029</v>
      </c>
      <c r="C7" s="1" t="s">
        <v>1030</v>
      </c>
      <c r="D7" s="1" t="s">
        <v>56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16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2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2</v>
      </c>
      <c r="X7" s="7">
        <f t="shared" si="7"/>
        <v>289.22000000000003</v>
      </c>
    </row>
    <row r="8" spans="1:24" x14ac:dyDescent="0.25">
      <c r="A8" s="1" t="s">
        <v>41</v>
      </c>
      <c r="B8" s="1" t="s">
        <v>84</v>
      </c>
      <c r="C8" s="1" t="s">
        <v>1031</v>
      </c>
      <c r="D8" s="1" t="s">
        <v>36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7">
        <v>0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0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0</v>
      </c>
      <c r="W8" s="1">
        <f t="shared" si="6"/>
        <v>1</v>
      </c>
      <c r="X8" s="7">
        <f t="shared" si="7"/>
        <v>0</v>
      </c>
    </row>
    <row r="9" spans="1:24" x14ac:dyDescent="0.25">
      <c r="A9" s="1" t="s">
        <v>39</v>
      </c>
      <c r="B9" s="1" t="s">
        <v>1032</v>
      </c>
      <c r="C9" s="1" t="s">
        <v>1033</v>
      </c>
      <c r="D9" s="1" t="s">
        <v>58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145.79</v>
      </c>
      <c r="M9" s="1" t="s">
        <v>78</v>
      </c>
      <c r="P9" s="1" t="str">
        <f>Setup!$A$9</f>
        <v>Expert 06</v>
      </c>
      <c r="Q9" s="1">
        <f t="shared" si="0"/>
        <v>0</v>
      </c>
      <c r="R9" s="1">
        <f t="shared" si="1"/>
        <v>2</v>
      </c>
      <c r="S9" s="1">
        <f t="shared" si="2"/>
        <v>0</v>
      </c>
      <c r="T9" s="1">
        <f t="shared" si="3"/>
        <v>0</v>
      </c>
      <c r="U9" s="1">
        <f t="shared" si="4"/>
        <v>1</v>
      </c>
      <c r="V9" s="7">
        <f t="shared" si="5"/>
        <v>24</v>
      </c>
      <c r="W9" s="1">
        <f t="shared" si="6"/>
        <v>2</v>
      </c>
      <c r="X9" s="7">
        <f t="shared" si="7"/>
        <v>11.44</v>
      </c>
    </row>
    <row r="10" spans="1:24" x14ac:dyDescent="0.25">
      <c r="A10" s="1" t="s">
        <v>53</v>
      </c>
      <c r="B10" s="1" t="s">
        <v>1034</v>
      </c>
      <c r="C10" s="1" t="s">
        <v>1035</v>
      </c>
      <c r="D10" s="1" t="s">
        <v>67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0</v>
      </c>
      <c r="L10" s="7">
        <v>128.87</v>
      </c>
      <c r="M10" s="1" t="s">
        <v>78</v>
      </c>
      <c r="P10" s="1" t="str">
        <f>Setup!$A$10</f>
        <v>Expert 07</v>
      </c>
      <c r="Q10" s="1">
        <f t="shared" si="0"/>
        <v>0</v>
      </c>
      <c r="R10" s="1">
        <f t="shared" si="1"/>
        <v>1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33</v>
      </c>
      <c r="W10" s="1">
        <f t="shared" si="6"/>
        <v>1</v>
      </c>
      <c r="X10" s="7">
        <f t="shared" si="7"/>
        <v>0</v>
      </c>
    </row>
    <row r="11" spans="1:24" x14ac:dyDescent="0.25">
      <c r="A11" s="1" t="s">
        <v>35</v>
      </c>
      <c r="B11" s="1" t="s">
        <v>1036</v>
      </c>
      <c r="C11" s="1" t="s">
        <v>1037</v>
      </c>
      <c r="D11" s="1" t="s">
        <v>44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18</v>
      </c>
      <c r="K11" s="1">
        <v>1</v>
      </c>
      <c r="L11" s="7">
        <v>129.91999999999999</v>
      </c>
      <c r="M11" s="1" t="s">
        <v>78</v>
      </c>
      <c r="P11" s="1" t="str">
        <f>Setup!$A$11</f>
        <v>Expert 08</v>
      </c>
      <c r="Q11" s="1">
        <f t="shared" si="0"/>
        <v>2</v>
      </c>
      <c r="R11" s="1">
        <f t="shared" si="1"/>
        <v>2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72</v>
      </c>
      <c r="W11" s="1">
        <f t="shared" si="6"/>
        <v>4</v>
      </c>
      <c r="X11" s="7">
        <f t="shared" si="7"/>
        <v>400.92</v>
      </c>
    </row>
    <row r="12" spans="1:24" x14ac:dyDescent="0.25">
      <c r="A12" s="1" t="s">
        <v>37</v>
      </c>
      <c r="B12" s="1" t="s">
        <v>1038</v>
      </c>
      <c r="C12" s="1" t="s">
        <v>1039</v>
      </c>
      <c r="D12" s="1" t="s">
        <v>61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99.38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0</v>
      </c>
      <c r="S12" s="1">
        <f t="shared" si="2"/>
        <v>1</v>
      </c>
      <c r="T12" s="1">
        <f t="shared" si="3"/>
        <v>0</v>
      </c>
      <c r="U12" s="1">
        <f t="shared" si="4"/>
        <v>0</v>
      </c>
      <c r="V12" s="7">
        <f t="shared" si="5"/>
        <v>16</v>
      </c>
      <c r="W12" s="1">
        <f t="shared" si="6"/>
        <v>2</v>
      </c>
      <c r="X12" s="7">
        <f t="shared" si="7"/>
        <v>61.78</v>
      </c>
    </row>
    <row r="13" spans="1:24" x14ac:dyDescent="0.25">
      <c r="A13" s="1" t="s">
        <v>43</v>
      </c>
      <c r="B13" s="1" t="s">
        <v>1040</v>
      </c>
      <c r="C13" s="1" t="s">
        <v>1041</v>
      </c>
      <c r="D13" s="1" t="s">
        <v>40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7">
        <v>0</v>
      </c>
      <c r="K13" s="1">
        <v>1</v>
      </c>
      <c r="L13" s="7">
        <v>11.44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0</v>
      </c>
      <c r="W13" s="1">
        <f t="shared" si="6"/>
        <v>1</v>
      </c>
      <c r="X13" s="7">
        <f t="shared" si="7"/>
        <v>177.75</v>
      </c>
    </row>
    <row r="14" spans="1:24" x14ac:dyDescent="0.25">
      <c r="A14" s="1" t="s">
        <v>53</v>
      </c>
      <c r="B14" s="1" t="s">
        <v>1042</v>
      </c>
      <c r="C14" s="1" t="s">
        <v>1043</v>
      </c>
      <c r="D14" s="1" t="s">
        <v>50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7">
        <v>24</v>
      </c>
      <c r="K14" s="1">
        <v>1</v>
      </c>
      <c r="L14" s="7">
        <v>120.64</v>
      </c>
      <c r="M14" s="1" t="s">
        <v>78</v>
      </c>
      <c r="P14" s="1" t="str">
        <f>Setup!$A$14</f>
        <v>Expert 11</v>
      </c>
      <c r="Q14" s="1">
        <f t="shared" si="0"/>
        <v>1</v>
      </c>
      <c r="R14" s="1">
        <f t="shared" si="1"/>
        <v>0</v>
      </c>
      <c r="S14" s="1">
        <f t="shared" si="2"/>
        <v>0</v>
      </c>
      <c r="T14" s="1">
        <f t="shared" si="3"/>
        <v>1</v>
      </c>
      <c r="U14" s="1">
        <f t="shared" si="4"/>
        <v>0</v>
      </c>
      <c r="V14" s="7">
        <f t="shared" si="5"/>
        <v>48</v>
      </c>
      <c r="W14" s="1">
        <f t="shared" si="6"/>
        <v>2</v>
      </c>
      <c r="X14" s="7">
        <f t="shared" si="7"/>
        <v>326.61</v>
      </c>
    </row>
    <row r="15" spans="1:24" x14ac:dyDescent="0.25">
      <c r="A15" s="1" t="s">
        <v>49</v>
      </c>
      <c r="B15" s="1" t="s">
        <v>1044</v>
      </c>
      <c r="C15" s="1" t="s">
        <v>1045</v>
      </c>
      <c r="D15" s="1" t="s">
        <v>63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7">
        <v>0</v>
      </c>
      <c r="K15" s="1">
        <v>1</v>
      </c>
      <c r="L15" s="7">
        <v>61.78</v>
      </c>
      <c r="M15" s="1" t="s">
        <v>78</v>
      </c>
      <c r="P15" s="1" t="str">
        <f>Setup!$A$15</f>
        <v>Expert 12</v>
      </c>
      <c r="Q15" s="1">
        <f t="shared" si="0"/>
        <v>4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81</v>
      </c>
      <c r="W15" s="1">
        <f t="shared" si="6"/>
        <v>4</v>
      </c>
      <c r="X15" s="7">
        <f t="shared" si="7"/>
        <v>44.04</v>
      </c>
    </row>
    <row r="16" spans="1:24" x14ac:dyDescent="0.25">
      <c r="A16" s="1" t="s">
        <v>55</v>
      </c>
      <c r="B16" s="1" t="s">
        <v>1046</v>
      </c>
      <c r="C16" s="1" t="s">
        <v>1047</v>
      </c>
      <c r="D16" s="1" t="s">
        <v>34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15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13</v>
      </c>
      <c r="R16" s="9">
        <f t="shared" si="8"/>
        <v>5</v>
      </c>
      <c r="S16" s="9">
        <f t="shared" si="8"/>
        <v>1</v>
      </c>
      <c r="T16" s="9">
        <f t="shared" si="8"/>
        <v>1</v>
      </c>
      <c r="U16" s="9">
        <f t="shared" si="8"/>
        <v>1</v>
      </c>
      <c r="V16" s="10">
        <f t="shared" si="8"/>
        <v>308</v>
      </c>
      <c r="W16" s="9">
        <f t="shared" si="8"/>
        <v>22</v>
      </c>
      <c r="X16" s="10">
        <f t="shared" si="8"/>
        <v>1669.1399999999999</v>
      </c>
    </row>
    <row r="17" spans="1:13" x14ac:dyDescent="0.25">
      <c r="A17" s="1" t="s">
        <v>47</v>
      </c>
      <c r="B17" s="1" t="s">
        <v>1048</v>
      </c>
      <c r="C17" s="1" t="s">
        <v>1049</v>
      </c>
      <c r="D17" s="1" t="s">
        <v>68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33</v>
      </c>
      <c r="K17" s="1">
        <v>1</v>
      </c>
      <c r="L17" s="7">
        <v>179.81</v>
      </c>
      <c r="M17" s="1" t="s">
        <v>78</v>
      </c>
    </row>
    <row r="18" spans="1:13" x14ac:dyDescent="0.25">
      <c r="A18" s="1" t="s">
        <v>51</v>
      </c>
      <c r="B18" s="1" t="s">
        <v>1050</v>
      </c>
      <c r="C18" s="1" t="s">
        <v>1051</v>
      </c>
      <c r="D18" s="1" t="s">
        <v>50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177.75</v>
      </c>
      <c r="M18" s="1" t="s">
        <v>78</v>
      </c>
    </row>
    <row r="19" spans="1:13" x14ac:dyDescent="0.25">
      <c r="A19" s="1" t="s">
        <v>55</v>
      </c>
      <c r="B19" s="1" t="s">
        <v>1052</v>
      </c>
      <c r="C19" s="1" t="s">
        <v>1053</v>
      </c>
      <c r="D19" s="1" t="s">
        <v>67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0</v>
      </c>
      <c r="L19" s="7">
        <v>1.5</v>
      </c>
      <c r="M19" s="1" t="s">
        <v>78</v>
      </c>
    </row>
    <row r="20" spans="1:13" x14ac:dyDescent="0.25">
      <c r="A20" s="1" t="s">
        <v>43</v>
      </c>
      <c r="B20" s="1" t="s">
        <v>1054</v>
      </c>
      <c r="C20" s="1" t="s">
        <v>1055</v>
      </c>
      <c r="D20" s="1" t="s">
        <v>44</v>
      </c>
      <c r="E20" s="1">
        <v>0</v>
      </c>
      <c r="F20" s="1">
        <v>1</v>
      </c>
      <c r="G20" s="1">
        <v>0</v>
      </c>
      <c r="H20" s="1">
        <v>0</v>
      </c>
      <c r="I20" s="1">
        <v>0</v>
      </c>
      <c r="J20" s="7">
        <v>0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45</v>
      </c>
      <c r="B21" s="1" t="s">
        <v>1056</v>
      </c>
      <c r="C21" s="1" t="s">
        <v>1057</v>
      </c>
      <c r="D21" s="1" t="s">
        <v>48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7">
        <v>33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55</v>
      </c>
      <c r="B22" s="1" t="s">
        <v>1058</v>
      </c>
      <c r="C22" s="1" t="s">
        <v>1059</v>
      </c>
      <c r="D22" s="1" t="s">
        <v>56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7">
        <v>33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39</v>
      </c>
      <c r="B23" s="1" t="s">
        <v>1060</v>
      </c>
      <c r="C23" s="1" t="s">
        <v>1061</v>
      </c>
      <c r="D23" s="1" t="s">
        <v>57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143.43</v>
      </c>
      <c r="M23" s="1" t="s">
        <v>78</v>
      </c>
    </row>
    <row r="24" spans="1:13" x14ac:dyDescent="0.25">
      <c r="A24" s="1" t="s">
        <v>47</v>
      </c>
      <c r="B24" s="1" t="s">
        <v>1062</v>
      </c>
      <c r="C24" s="1" t="s">
        <v>1063</v>
      </c>
      <c r="D24" s="1" t="s">
        <v>34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7">
        <v>15</v>
      </c>
      <c r="K24" s="1">
        <v>1</v>
      </c>
      <c r="L24" s="7">
        <v>68.510000000000005</v>
      </c>
      <c r="M24" s="1" t="s">
        <v>78</v>
      </c>
    </row>
    <row r="25" spans="1:13" x14ac:dyDescent="0.25">
      <c r="A25" s="1" t="s">
        <v>37</v>
      </c>
      <c r="B25" s="1" t="s">
        <v>1064</v>
      </c>
      <c r="C25" s="1" t="s">
        <v>1065</v>
      </c>
      <c r="D25" s="1" t="s">
        <v>54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7">
        <v>16</v>
      </c>
      <c r="K25" s="1">
        <v>1</v>
      </c>
      <c r="L25" s="7">
        <v>128.08000000000001</v>
      </c>
      <c r="M25" s="1" t="s">
        <v>78</v>
      </c>
    </row>
    <row r="26" spans="1:13" x14ac:dyDescent="0.25">
      <c r="A26" s="1" t="s">
        <v>53</v>
      </c>
      <c r="B26" s="1" t="s">
        <v>1066</v>
      </c>
      <c r="C26" s="1" t="s">
        <v>1067</v>
      </c>
      <c r="D26" s="1" t="s">
        <v>48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7">
        <v>24</v>
      </c>
      <c r="K26" s="1">
        <v>1</v>
      </c>
      <c r="L26" s="7">
        <v>77.099999999999994</v>
      </c>
      <c r="M26" s="1" t="s">
        <v>78</v>
      </c>
    </row>
    <row r="27" spans="1:13" x14ac:dyDescent="0.25">
      <c r="A27" s="1" t="s">
        <v>47</v>
      </c>
      <c r="B27" s="1" t="s">
        <v>1068</v>
      </c>
      <c r="C27" s="1" t="s">
        <v>1069</v>
      </c>
      <c r="D27" s="1" t="s">
        <v>64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7">
        <v>24</v>
      </c>
      <c r="K27" s="1">
        <v>1</v>
      </c>
      <c r="L27" s="7">
        <v>0</v>
      </c>
      <c r="M27" s="1" t="s">
        <v>78</v>
      </c>
    </row>
    <row r="28" spans="1:13" x14ac:dyDescent="0.25">
      <c r="A28" s="1" t="s">
        <v>47</v>
      </c>
      <c r="B28" s="1" t="s">
        <v>1070</v>
      </c>
      <c r="C28" s="1" t="s">
        <v>1071</v>
      </c>
      <c r="D28" s="1" t="s">
        <v>58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53.44</v>
      </c>
      <c r="M28" s="1" t="s">
        <v>78</v>
      </c>
    </row>
    <row r="29" spans="1:13" x14ac:dyDescent="0.25">
      <c r="A29" s="1" t="s">
        <v>55</v>
      </c>
      <c r="B29" s="1" t="s">
        <v>1072</v>
      </c>
      <c r="C29" s="1" t="s">
        <v>1073</v>
      </c>
      <c r="D29" s="1" t="s">
        <v>61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7">
        <v>0</v>
      </c>
      <c r="K29" s="1">
        <v>1</v>
      </c>
      <c r="L29" s="7">
        <v>0</v>
      </c>
      <c r="M29" s="1" t="s">
        <v>78</v>
      </c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1074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45</v>
      </c>
      <c r="B4" s="1" t="s">
        <v>1075</v>
      </c>
      <c r="C4" s="1" t="s">
        <v>1076</v>
      </c>
      <c r="D4" s="1" t="s">
        <v>63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7">
        <v>16</v>
      </c>
      <c r="K4" s="1">
        <v>1</v>
      </c>
      <c r="L4" s="7">
        <v>112.91</v>
      </c>
      <c r="M4" s="1" t="s">
        <v>83</v>
      </c>
      <c r="P4" s="1" t="str">
        <f>Setup!$A$4</f>
        <v>Expert 01</v>
      </c>
      <c r="Q4" s="1">
        <f t="shared" ref="Q4:Q15" si="0">SUMIF($A$4:$A$43,$P4,E$4:E$43)</f>
        <v>0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24</v>
      </c>
      <c r="W4" s="1">
        <f t="shared" ref="W4:W15" si="6">SUMIF($A$4:$A$43,$P4,K$4:K$43)</f>
        <v>1</v>
      </c>
      <c r="X4" s="7">
        <f t="shared" ref="X4:X15" si="7">SUMIF($A$4:$A$43,$P4,L$4:L$43)</f>
        <v>102.98</v>
      </c>
    </row>
    <row r="5" spans="1:24" x14ac:dyDescent="0.25">
      <c r="A5" s="1" t="s">
        <v>33</v>
      </c>
      <c r="B5" s="1" t="s">
        <v>1077</v>
      </c>
      <c r="C5" s="1" t="s">
        <v>1078</v>
      </c>
      <c r="D5" s="1" t="s">
        <v>63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7">
        <v>24</v>
      </c>
      <c r="K5" s="1">
        <v>1</v>
      </c>
      <c r="L5" s="7">
        <v>102.98</v>
      </c>
      <c r="M5" s="1" t="s">
        <v>78</v>
      </c>
      <c r="P5" s="1" t="str">
        <f>Setup!$A$5</f>
        <v>Expert 02</v>
      </c>
      <c r="Q5" s="1">
        <f t="shared" si="0"/>
        <v>2</v>
      </c>
      <c r="R5" s="1">
        <f t="shared" si="1"/>
        <v>2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24</v>
      </c>
      <c r="W5" s="1">
        <f t="shared" si="6"/>
        <v>4</v>
      </c>
      <c r="X5" s="7">
        <f t="shared" si="7"/>
        <v>97.56</v>
      </c>
    </row>
    <row r="6" spans="1:24" x14ac:dyDescent="0.25">
      <c r="A6" s="1" t="s">
        <v>39</v>
      </c>
      <c r="B6" s="1" t="s">
        <v>1079</v>
      </c>
      <c r="C6" s="1" t="s">
        <v>1080</v>
      </c>
      <c r="D6" s="1" t="s">
        <v>34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15</v>
      </c>
      <c r="K6" s="1">
        <v>1</v>
      </c>
      <c r="L6" s="7">
        <v>0</v>
      </c>
      <c r="M6" s="1" t="s">
        <v>83</v>
      </c>
      <c r="P6" s="1" t="str">
        <f>Setup!$A$6</f>
        <v>Expert 03</v>
      </c>
      <c r="Q6" s="1">
        <f t="shared" si="0"/>
        <v>1</v>
      </c>
      <c r="R6" s="1">
        <f t="shared" si="1"/>
        <v>1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2</v>
      </c>
      <c r="X6" s="7">
        <f t="shared" si="7"/>
        <v>0</v>
      </c>
    </row>
    <row r="7" spans="1:24" x14ac:dyDescent="0.25">
      <c r="A7" s="1" t="s">
        <v>35</v>
      </c>
      <c r="B7" s="1" t="s">
        <v>1081</v>
      </c>
      <c r="C7" s="1" t="s">
        <v>1082</v>
      </c>
      <c r="D7" s="1" t="s">
        <v>57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2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15</v>
      </c>
      <c r="W7" s="1">
        <f t="shared" si="6"/>
        <v>1</v>
      </c>
      <c r="X7" s="7">
        <f t="shared" si="7"/>
        <v>41.08</v>
      </c>
    </row>
    <row r="8" spans="1:24" x14ac:dyDescent="0.25">
      <c r="A8" s="1" t="s">
        <v>55</v>
      </c>
      <c r="B8" s="1" t="s">
        <v>750</v>
      </c>
      <c r="C8" s="1" t="s">
        <v>1083</v>
      </c>
      <c r="D8" s="1" t="s">
        <v>46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7">
        <v>24</v>
      </c>
      <c r="K8" s="1">
        <v>1</v>
      </c>
      <c r="L8" s="7">
        <v>156.66999999999999</v>
      </c>
      <c r="M8" s="1" t="s">
        <v>78</v>
      </c>
      <c r="P8" s="1" t="str">
        <f>Setup!$A$8</f>
        <v>Expert 05</v>
      </c>
      <c r="Q8" s="1">
        <f t="shared" si="0"/>
        <v>2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15</v>
      </c>
      <c r="W8" s="1">
        <f t="shared" si="6"/>
        <v>2</v>
      </c>
      <c r="X8" s="7">
        <f t="shared" si="7"/>
        <v>76.64</v>
      </c>
    </row>
    <row r="9" spans="1:24" x14ac:dyDescent="0.25">
      <c r="A9" s="1" t="s">
        <v>43</v>
      </c>
      <c r="B9" s="1" t="s">
        <v>1084</v>
      </c>
      <c r="C9" s="1" t="s">
        <v>1085</v>
      </c>
      <c r="D9" s="1" t="s">
        <v>38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7">
        <v>18</v>
      </c>
      <c r="K9" s="1">
        <v>1</v>
      </c>
      <c r="L9" s="7">
        <v>94.84</v>
      </c>
      <c r="M9" s="1" t="s">
        <v>78</v>
      </c>
      <c r="P9" s="1" t="str">
        <f>Setup!$A$9</f>
        <v>Expert 06</v>
      </c>
      <c r="Q9" s="1">
        <f t="shared" si="0"/>
        <v>2</v>
      </c>
      <c r="R9" s="1">
        <f t="shared" si="1"/>
        <v>2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60</v>
      </c>
      <c r="W9" s="1">
        <f t="shared" si="6"/>
        <v>5</v>
      </c>
      <c r="X9" s="7">
        <f t="shared" si="7"/>
        <v>406.07</v>
      </c>
    </row>
    <row r="10" spans="1:24" x14ac:dyDescent="0.25">
      <c r="A10" s="1" t="s">
        <v>39</v>
      </c>
      <c r="B10" s="1" t="s">
        <v>1086</v>
      </c>
      <c r="C10" s="1" t="s">
        <v>1087</v>
      </c>
      <c r="D10" s="1" t="s">
        <v>67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0</v>
      </c>
      <c r="L10" s="7">
        <v>41.08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34</v>
      </c>
      <c r="W10" s="1">
        <f t="shared" si="6"/>
        <v>2</v>
      </c>
      <c r="X10" s="7">
        <f t="shared" si="7"/>
        <v>119.7</v>
      </c>
    </row>
    <row r="11" spans="1:24" x14ac:dyDescent="0.25">
      <c r="A11" s="1" t="s">
        <v>41</v>
      </c>
      <c r="B11" s="1" t="s">
        <v>1088</v>
      </c>
      <c r="C11" s="1" t="s">
        <v>1089</v>
      </c>
      <c r="D11" s="1" t="s">
        <v>36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15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16</v>
      </c>
      <c r="W11" s="1">
        <f t="shared" si="6"/>
        <v>1</v>
      </c>
      <c r="X11" s="7">
        <f t="shared" si="7"/>
        <v>178.26</v>
      </c>
    </row>
    <row r="12" spans="1:24" x14ac:dyDescent="0.25">
      <c r="A12" s="1" t="s">
        <v>45</v>
      </c>
      <c r="B12" s="1" t="s">
        <v>1090</v>
      </c>
      <c r="C12" s="1" t="s">
        <v>1091</v>
      </c>
      <c r="D12" s="1" t="s">
        <v>58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18</v>
      </c>
      <c r="K12" s="1">
        <v>1</v>
      </c>
      <c r="L12" s="7">
        <v>6.79</v>
      </c>
      <c r="M12" s="1" t="s">
        <v>78</v>
      </c>
      <c r="P12" s="1" t="str">
        <f>Setup!$A$12</f>
        <v>Expert 09</v>
      </c>
      <c r="Q12" s="1">
        <f t="shared" si="0"/>
        <v>0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0</v>
      </c>
      <c r="X12" s="7">
        <f t="shared" si="7"/>
        <v>0</v>
      </c>
    </row>
    <row r="13" spans="1:24" x14ac:dyDescent="0.25">
      <c r="A13" s="1" t="s">
        <v>43</v>
      </c>
      <c r="B13" s="1" t="s">
        <v>1092</v>
      </c>
      <c r="C13" s="1" t="s">
        <v>1093</v>
      </c>
      <c r="D13" s="1" t="s">
        <v>34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24</v>
      </c>
      <c r="K13" s="1">
        <v>1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18</v>
      </c>
      <c r="W13" s="1">
        <f t="shared" si="6"/>
        <v>1</v>
      </c>
      <c r="X13" s="7">
        <f t="shared" si="7"/>
        <v>0</v>
      </c>
    </row>
    <row r="14" spans="1:24" x14ac:dyDescent="0.25">
      <c r="A14" s="1" t="s">
        <v>37</v>
      </c>
      <c r="B14" s="1" t="s">
        <v>1094</v>
      </c>
      <c r="C14" s="1" t="s">
        <v>1095</v>
      </c>
      <c r="D14" s="1" t="s">
        <v>36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1</v>
      </c>
      <c r="S14" s="1">
        <f t="shared" si="2"/>
        <v>1</v>
      </c>
      <c r="T14" s="1">
        <f t="shared" si="3"/>
        <v>0</v>
      </c>
      <c r="U14" s="1">
        <f t="shared" si="4"/>
        <v>1</v>
      </c>
      <c r="V14" s="7">
        <f t="shared" si="5"/>
        <v>18</v>
      </c>
      <c r="W14" s="1">
        <f t="shared" si="6"/>
        <v>1</v>
      </c>
      <c r="X14" s="7">
        <f t="shared" si="7"/>
        <v>216.99</v>
      </c>
    </row>
    <row r="15" spans="1:24" x14ac:dyDescent="0.25">
      <c r="A15" s="1" t="s">
        <v>35</v>
      </c>
      <c r="B15" s="1" t="s">
        <v>1096</v>
      </c>
      <c r="C15" s="1" t="s">
        <v>1097</v>
      </c>
      <c r="D15" s="1" t="s">
        <v>68</v>
      </c>
      <c r="E15" s="1">
        <v>0</v>
      </c>
      <c r="F15" s="1">
        <v>1</v>
      </c>
      <c r="G15" s="1">
        <v>0</v>
      </c>
      <c r="H15" s="1">
        <v>0</v>
      </c>
      <c r="I15" s="1">
        <v>0</v>
      </c>
      <c r="J15" s="7">
        <v>24</v>
      </c>
      <c r="K15" s="1">
        <v>1</v>
      </c>
      <c r="L15" s="7">
        <v>97.56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24</v>
      </c>
      <c r="W15" s="1">
        <f t="shared" si="6"/>
        <v>2</v>
      </c>
      <c r="X15" s="7">
        <f t="shared" si="7"/>
        <v>233.71999999999997</v>
      </c>
    </row>
    <row r="16" spans="1:24" x14ac:dyDescent="0.25">
      <c r="A16" s="1" t="s">
        <v>43</v>
      </c>
      <c r="B16" s="1" t="s">
        <v>1098</v>
      </c>
      <c r="C16" s="1" t="s">
        <v>1099</v>
      </c>
      <c r="D16" s="1" t="s">
        <v>50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137.35</v>
      </c>
      <c r="M16" s="1" t="s">
        <v>78</v>
      </c>
      <c r="P16" s="8" t="s">
        <v>103</v>
      </c>
      <c r="Q16" s="9">
        <f t="shared" ref="Q16:X16" si="8">SUM(Q4:Q15)</f>
        <v>13</v>
      </c>
      <c r="R16" s="9">
        <f t="shared" si="8"/>
        <v>6</v>
      </c>
      <c r="S16" s="9">
        <f t="shared" si="8"/>
        <v>1</v>
      </c>
      <c r="T16" s="9">
        <f t="shared" si="8"/>
        <v>0</v>
      </c>
      <c r="U16" s="9">
        <f t="shared" si="8"/>
        <v>1</v>
      </c>
      <c r="V16" s="10">
        <f t="shared" si="8"/>
        <v>248</v>
      </c>
      <c r="W16" s="9">
        <f t="shared" si="8"/>
        <v>22</v>
      </c>
      <c r="X16" s="10">
        <f t="shared" si="8"/>
        <v>1473</v>
      </c>
    </row>
    <row r="17" spans="1:13" x14ac:dyDescent="0.25">
      <c r="A17" s="1" t="s">
        <v>43</v>
      </c>
      <c r="B17" s="1" t="s">
        <v>1100</v>
      </c>
      <c r="C17" s="1" t="s">
        <v>1101</v>
      </c>
      <c r="D17" s="1" t="s">
        <v>57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18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35</v>
      </c>
      <c r="B18" s="1" t="s">
        <v>1102</v>
      </c>
      <c r="C18" s="1" t="s">
        <v>1103</v>
      </c>
      <c r="D18" s="1" t="s">
        <v>58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53</v>
      </c>
      <c r="B19" s="1" t="s">
        <v>1104</v>
      </c>
      <c r="C19" s="1" t="s">
        <v>1105</v>
      </c>
      <c r="D19" s="1" t="s">
        <v>66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7">
        <v>18</v>
      </c>
      <c r="K19" s="1">
        <v>0</v>
      </c>
      <c r="L19" s="7">
        <v>141.31</v>
      </c>
      <c r="M19" s="1" t="s">
        <v>78</v>
      </c>
    </row>
    <row r="20" spans="1:13" x14ac:dyDescent="0.25">
      <c r="A20" s="1" t="s">
        <v>37</v>
      </c>
      <c r="B20" s="1" t="s">
        <v>1106</v>
      </c>
      <c r="C20" s="1" t="s">
        <v>1107</v>
      </c>
      <c r="D20" s="1" t="s">
        <v>68</v>
      </c>
      <c r="E20" s="1">
        <v>0</v>
      </c>
      <c r="F20" s="1">
        <v>1</v>
      </c>
      <c r="G20" s="1">
        <v>0</v>
      </c>
      <c r="H20" s="1">
        <v>0</v>
      </c>
      <c r="I20" s="1">
        <v>0</v>
      </c>
      <c r="J20" s="7">
        <v>0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47</v>
      </c>
      <c r="B21" s="1" t="s">
        <v>1108</v>
      </c>
      <c r="C21" s="1" t="s">
        <v>1109</v>
      </c>
      <c r="D21" s="1" t="s">
        <v>58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16</v>
      </c>
      <c r="K21" s="1">
        <v>1</v>
      </c>
      <c r="L21" s="7">
        <v>178.26</v>
      </c>
      <c r="M21" s="1" t="s">
        <v>78</v>
      </c>
    </row>
    <row r="22" spans="1:13" x14ac:dyDescent="0.25">
      <c r="A22" s="1" t="s">
        <v>35</v>
      </c>
      <c r="B22" s="1" t="s">
        <v>1110</v>
      </c>
      <c r="C22" s="1" t="s">
        <v>1111</v>
      </c>
      <c r="D22" s="1" t="s">
        <v>64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55</v>
      </c>
      <c r="B23" s="1" t="s">
        <v>1112</v>
      </c>
      <c r="C23" s="1" t="s">
        <v>1113</v>
      </c>
      <c r="D23" s="1" t="s">
        <v>64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77.05</v>
      </c>
      <c r="M23" s="1" t="s">
        <v>83</v>
      </c>
    </row>
    <row r="24" spans="1:13" x14ac:dyDescent="0.25">
      <c r="A24" s="1" t="s">
        <v>43</v>
      </c>
      <c r="B24" s="1" t="s">
        <v>1114</v>
      </c>
      <c r="C24" s="1" t="s">
        <v>1115</v>
      </c>
      <c r="D24" s="1" t="s">
        <v>65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173.88</v>
      </c>
      <c r="M24" s="1" t="s">
        <v>78</v>
      </c>
    </row>
    <row r="25" spans="1:13" x14ac:dyDescent="0.25">
      <c r="A25" s="1" t="s">
        <v>51</v>
      </c>
      <c r="B25" s="1" t="s">
        <v>1116</v>
      </c>
      <c r="C25" s="1" t="s">
        <v>1117</v>
      </c>
      <c r="D25" s="1" t="s">
        <v>62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18</v>
      </c>
      <c r="K25" s="1">
        <v>1</v>
      </c>
      <c r="L25" s="7">
        <v>0</v>
      </c>
      <c r="M25" s="1" t="s">
        <v>78</v>
      </c>
    </row>
    <row r="26" spans="1:13" x14ac:dyDescent="0.25">
      <c r="A26" s="1" t="s">
        <v>41</v>
      </c>
      <c r="B26" s="1" t="s">
        <v>1118</v>
      </c>
      <c r="C26" s="1" t="s">
        <v>1119</v>
      </c>
      <c r="D26" s="1" t="s">
        <v>40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76.64</v>
      </c>
      <c r="M26" s="1" t="s">
        <v>78</v>
      </c>
    </row>
    <row r="27" spans="1:13" x14ac:dyDescent="0.25">
      <c r="A27" s="1" t="s">
        <v>53</v>
      </c>
      <c r="B27" s="1" t="s">
        <v>1120</v>
      </c>
      <c r="C27" s="1" t="s">
        <v>1121</v>
      </c>
      <c r="D27" s="1" t="s">
        <v>38</v>
      </c>
      <c r="E27" s="1">
        <v>0</v>
      </c>
      <c r="F27" s="1">
        <v>1</v>
      </c>
      <c r="G27" s="1">
        <v>0</v>
      </c>
      <c r="H27" s="1">
        <v>0</v>
      </c>
      <c r="I27" s="1">
        <v>0</v>
      </c>
      <c r="J27" s="7">
        <v>0</v>
      </c>
      <c r="K27" s="1">
        <v>1</v>
      </c>
      <c r="L27" s="7">
        <v>75.680000000000007</v>
      </c>
      <c r="M27" s="1" t="s">
        <v>78</v>
      </c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1122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37</v>
      </c>
      <c r="B4" s="1" t="s">
        <v>1123</v>
      </c>
      <c r="C4" s="1" t="s">
        <v>1124</v>
      </c>
      <c r="D4" s="1" t="s">
        <v>63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0</v>
      </c>
      <c r="K4" s="1">
        <v>1</v>
      </c>
      <c r="L4" s="7">
        <v>153.43</v>
      </c>
      <c r="M4" s="1" t="s">
        <v>78</v>
      </c>
      <c r="P4" s="1" t="str">
        <f>Setup!$A$4</f>
        <v>Expert 01</v>
      </c>
      <c r="Q4" s="1">
        <f t="shared" ref="Q4:Q15" si="0">SUMIF($A$4:$A$43,$P4,E$4:E$43)</f>
        <v>1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33</v>
      </c>
      <c r="W4" s="1">
        <f t="shared" ref="W4:W15" si="6">SUMIF($A$4:$A$43,$P4,K$4:K$43)</f>
        <v>2</v>
      </c>
      <c r="X4" s="7">
        <f t="shared" ref="X4:X15" si="7">SUMIF($A$4:$A$43,$P4,L$4:L$43)</f>
        <v>0</v>
      </c>
    </row>
    <row r="5" spans="1:24" x14ac:dyDescent="0.25">
      <c r="A5" s="1" t="s">
        <v>55</v>
      </c>
      <c r="B5" s="1" t="s">
        <v>1125</v>
      </c>
      <c r="C5" s="1" t="s">
        <v>1126</v>
      </c>
      <c r="D5" s="1" t="s">
        <v>40</v>
      </c>
      <c r="E5" s="1">
        <v>0</v>
      </c>
      <c r="F5" s="1">
        <v>1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1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24</v>
      </c>
      <c r="W5" s="1">
        <f t="shared" si="6"/>
        <v>1</v>
      </c>
      <c r="X5" s="7">
        <f t="shared" si="7"/>
        <v>93.39</v>
      </c>
    </row>
    <row r="6" spans="1:24" x14ac:dyDescent="0.25">
      <c r="A6" s="1" t="s">
        <v>41</v>
      </c>
      <c r="B6" s="1" t="s">
        <v>1127</v>
      </c>
      <c r="C6" s="1" t="s">
        <v>1128</v>
      </c>
      <c r="D6" s="1" t="s">
        <v>69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7">
        <v>15</v>
      </c>
      <c r="K6" s="1">
        <v>0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1</v>
      </c>
      <c r="R6" s="1">
        <f t="shared" si="1"/>
        <v>0</v>
      </c>
      <c r="S6" s="1">
        <f t="shared" si="2"/>
        <v>1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2</v>
      </c>
      <c r="X6" s="7">
        <f t="shared" si="7"/>
        <v>226.09</v>
      </c>
    </row>
    <row r="7" spans="1:24" x14ac:dyDescent="0.25">
      <c r="A7" s="1" t="s">
        <v>33</v>
      </c>
      <c r="B7" s="1" t="s">
        <v>1129</v>
      </c>
      <c r="C7" s="1" t="s">
        <v>1130</v>
      </c>
      <c r="D7" s="1" t="s">
        <v>60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7">
        <v>33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0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33</v>
      </c>
      <c r="W7" s="1">
        <f t="shared" si="6"/>
        <v>2</v>
      </c>
      <c r="X7" s="7">
        <f t="shared" si="7"/>
        <v>217.66</v>
      </c>
    </row>
    <row r="8" spans="1:24" x14ac:dyDescent="0.25">
      <c r="A8" s="1" t="s">
        <v>53</v>
      </c>
      <c r="B8" s="1" t="s">
        <v>1131</v>
      </c>
      <c r="C8" s="1" t="s">
        <v>1132</v>
      </c>
      <c r="D8" s="1" t="s">
        <v>38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16</v>
      </c>
      <c r="K8" s="1">
        <v>1</v>
      </c>
      <c r="L8" s="7">
        <v>12.15</v>
      </c>
      <c r="M8" s="1" t="s">
        <v>78</v>
      </c>
      <c r="P8" s="1" t="str">
        <f>Setup!$A$8</f>
        <v>Expert 05</v>
      </c>
      <c r="Q8" s="1">
        <f t="shared" si="0"/>
        <v>0</v>
      </c>
      <c r="R8" s="1">
        <f t="shared" si="1"/>
        <v>1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15</v>
      </c>
      <c r="W8" s="1">
        <f t="shared" si="6"/>
        <v>1</v>
      </c>
      <c r="X8" s="7">
        <f t="shared" si="7"/>
        <v>4.75</v>
      </c>
    </row>
    <row r="9" spans="1:24" x14ac:dyDescent="0.25">
      <c r="A9" s="1" t="s">
        <v>51</v>
      </c>
      <c r="B9" s="1" t="s">
        <v>1133</v>
      </c>
      <c r="C9" s="1" t="s">
        <v>1134</v>
      </c>
      <c r="D9" s="1" t="s">
        <v>40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7">
        <v>33</v>
      </c>
      <c r="K9" s="1">
        <v>1</v>
      </c>
      <c r="L9" s="7">
        <v>150.22</v>
      </c>
      <c r="M9" s="1" t="s">
        <v>78</v>
      </c>
      <c r="P9" s="1" t="str">
        <f>Setup!$A$9</f>
        <v>Expert 06</v>
      </c>
      <c r="Q9" s="1">
        <f t="shared" si="0"/>
        <v>0</v>
      </c>
      <c r="R9" s="1">
        <f t="shared" si="1"/>
        <v>2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18</v>
      </c>
      <c r="W9" s="1">
        <f t="shared" si="6"/>
        <v>2</v>
      </c>
      <c r="X9" s="7">
        <f t="shared" si="7"/>
        <v>55.35</v>
      </c>
    </row>
    <row r="10" spans="1:24" x14ac:dyDescent="0.25">
      <c r="A10" s="1" t="s">
        <v>47</v>
      </c>
      <c r="B10" s="1" t="s">
        <v>1135</v>
      </c>
      <c r="C10" s="1" t="s">
        <v>1136</v>
      </c>
      <c r="D10" s="1" t="s">
        <v>58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24</v>
      </c>
      <c r="K10" s="1">
        <v>1</v>
      </c>
      <c r="L10" s="7">
        <v>137.49</v>
      </c>
      <c r="M10" s="1" t="s">
        <v>78</v>
      </c>
      <c r="P10" s="1" t="str">
        <f>Setup!$A$10</f>
        <v>Expert 07</v>
      </c>
      <c r="Q10" s="1">
        <f t="shared" si="0"/>
        <v>2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15</v>
      </c>
      <c r="W10" s="1">
        <f t="shared" si="6"/>
        <v>3</v>
      </c>
      <c r="X10" s="7">
        <f t="shared" si="7"/>
        <v>388.51</v>
      </c>
    </row>
    <row r="11" spans="1:24" x14ac:dyDescent="0.25">
      <c r="A11" s="1" t="s">
        <v>45</v>
      </c>
      <c r="B11" s="1" t="s">
        <v>1137</v>
      </c>
      <c r="C11" s="1" t="s">
        <v>1138</v>
      </c>
      <c r="D11" s="1" t="s">
        <v>64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1</v>
      </c>
      <c r="L11" s="7">
        <v>173.44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1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24</v>
      </c>
      <c r="W11" s="1">
        <f t="shared" si="6"/>
        <v>2</v>
      </c>
      <c r="X11" s="7">
        <f t="shared" si="7"/>
        <v>258.13</v>
      </c>
    </row>
    <row r="12" spans="1:24" x14ac:dyDescent="0.25">
      <c r="A12" s="1" t="s">
        <v>51</v>
      </c>
      <c r="B12" s="1" t="s">
        <v>1139</v>
      </c>
      <c r="C12" s="1" t="s">
        <v>1140</v>
      </c>
      <c r="D12" s="1" t="s">
        <v>64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2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16</v>
      </c>
      <c r="W12" s="1">
        <f t="shared" si="6"/>
        <v>2</v>
      </c>
      <c r="X12" s="7">
        <f t="shared" si="7"/>
        <v>152.6</v>
      </c>
    </row>
    <row r="13" spans="1:24" x14ac:dyDescent="0.25">
      <c r="A13" s="1" t="s">
        <v>47</v>
      </c>
      <c r="B13" s="1" t="s">
        <v>1141</v>
      </c>
      <c r="C13" s="1" t="s">
        <v>1142</v>
      </c>
      <c r="D13" s="1" t="s">
        <v>44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7">
        <v>0</v>
      </c>
      <c r="K13" s="1">
        <v>1</v>
      </c>
      <c r="L13" s="7">
        <v>120.64</v>
      </c>
      <c r="M13" s="1" t="s">
        <v>78</v>
      </c>
      <c r="P13" s="1" t="str">
        <f>Setup!$A$13</f>
        <v>Expert 10</v>
      </c>
      <c r="Q13" s="1">
        <f t="shared" si="0"/>
        <v>2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48</v>
      </c>
      <c r="W13" s="1">
        <f t="shared" si="6"/>
        <v>4</v>
      </c>
      <c r="X13" s="7">
        <f t="shared" si="7"/>
        <v>199.67000000000002</v>
      </c>
    </row>
    <row r="14" spans="1:24" x14ac:dyDescent="0.25">
      <c r="A14" s="1" t="s">
        <v>49</v>
      </c>
      <c r="B14" s="1" t="s">
        <v>1143</v>
      </c>
      <c r="C14" s="1" t="s">
        <v>1144</v>
      </c>
      <c r="D14" s="1" t="s">
        <v>63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152.6</v>
      </c>
      <c r="M14" s="1" t="s">
        <v>78</v>
      </c>
      <c r="P14" s="1" t="str">
        <f>Setup!$A$14</f>
        <v>Expert 11</v>
      </c>
      <c r="Q14" s="1">
        <f t="shared" si="0"/>
        <v>5</v>
      </c>
      <c r="R14" s="1">
        <f t="shared" si="1"/>
        <v>0</v>
      </c>
      <c r="S14" s="1">
        <f t="shared" si="2"/>
        <v>1</v>
      </c>
      <c r="T14" s="1">
        <f t="shared" si="3"/>
        <v>1</v>
      </c>
      <c r="U14" s="1">
        <f t="shared" si="4"/>
        <v>0</v>
      </c>
      <c r="V14" s="7">
        <f t="shared" si="5"/>
        <v>16</v>
      </c>
      <c r="W14" s="1">
        <f t="shared" si="6"/>
        <v>4</v>
      </c>
      <c r="X14" s="7">
        <f t="shared" si="7"/>
        <v>182.4</v>
      </c>
    </row>
    <row r="15" spans="1:24" x14ac:dyDescent="0.25">
      <c r="A15" s="1" t="s">
        <v>35</v>
      </c>
      <c r="B15" s="1" t="s">
        <v>1145</v>
      </c>
      <c r="C15" s="1" t="s">
        <v>1146</v>
      </c>
      <c r="D15" s="1" t="s">
        <v>34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24</v>
      </c>
      <c r="K15" s="1">
        <v>1</v>
      </c>
      <c r="L15" s="7">
        <v>93.39</v>
      </c>
      <c r="M15" s="1" t="s">
        <v>78</v>
      </c>
      <c r="P15" s="1" t="str">
        <f>Setup!$A$15</f>
        <v>Expert 12</v>
      </c>
      <c r="Q15" s="1">
        <f t="shared" si="0"/>
        <v>0</v>
      </c>
      <c r="R15" s="1">
        <f t="shared" si="1"/>
        <v>2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33</v>
      </c>
      <c r="W15" s="1">
        <f t="shared" si="6"/>
        <v>3</v>
      </c>
      <c r="X15" s="7">
        <f t="shared" si="7"/>
        <v>28.84</v>
      </c>
    </row>
    <row r="16" spans="1:24" x14ac:dyDescent="0.25">
      <c r="A16" s="1" t="s">
        <v>39</v>
      </c>
      <c r="B16" s="1" t="s">
        <v>1147</v>
      </c>
      <c r="C16" s="1" t="s">
        <v>1148</v>
      </c>
      <c r="D16" s="1" t="s">
        <v>46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7">
        <v>33</v>
      </c>
      <c r="K16" s="1">
        <v>1</v>
      </c>
      <c r="L16" s="7">
        <v>72.349999999999994</v>
      </c>
      <c r="M16" s="1" t="s">
        <v>78</v>
      </c>
      <c r="P16" s="8" t="s">
        <v>103</v>
      </c>
      <c r="Q16" s="9">
        <f t="shared" ref="Q16:X16" si="8">SUM(Q4:Q15)</f>
        <v>15</v>
      </c>
      <c r="R16" s="9">
        <f t="shared" si="8"/>
        <v>6</v>
      </c>
      <c r="S16" s="9">
        <f t="shared" si="8"/>
        <v>2</v>
      </c>
      <c r="T16" s="9">
        <f t="shared" si="8"/>
        <v>1</v>
      </c>
      <c r="U16" s="9">
        <f t="shared" si="8"/>
        <v>0</v>
      </c>
      <c r="V16" s="10">
        <f t="shared" si="8"/>
        <v>275</v>
      </c>
      <c r="W16" s="9">
        <f t="shared" si="8"/>
        <v>28</v>
      </c>
      <c r="X16" s="10">
        <f t="shared" si="8"/>
        <v>1807.39</v>
      </c>
    </row>
    <row r="17" spans="1:13" x14ac:dyDescent="0.25">
      <c r="A17" s="1" t="s">
        <v>41</v>
      </c>
      <c r="B17" s="1" t="s">
        <v>1149</v>
      </c>
      <c r="C17" s="1" t="s">
        <v>1150</v>
      </c>
      <c r="D17" s="1" t="s">
        <v>68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4.75</v>
      </c>
      <c r="M17" s="1" t="s">
        <v>78</v>
      </c>
    </row>
    <row r="18" spans="1:13" x14ac:dyDescent="0.25">
      <c r="A18" s="1" t="s">
        <v>49</v>
      </c>
      <c r="B18" s="1" t="s">
        <v>1151</v>
      </c>
      <c r="C18" s="1" t="s">
        <v>1152</v>
      </c>
      <c r="D18" s="1" t="s">
        <v>52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16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45</v>
      </c>
      <c r="B19" s="1" t="s">
        <v>1153</v>
      </c>
      <c r="C19" s="1" t="s">
        <v>1154</v>
      </c>
      <c r="D19" s="1" t="s">
        <v>56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137.38999999999999</v>
      </c>
      <c r="M19" s="1" t="s">
        <v>78</v>
      </c>
    </row>
    <row r="20" spans="1:13" x14ac:dyDescent="0.25">
      <c r="A20" s="1" t="s">
        <v>33</v>
      </c>
      <c r="B20" s="1" t="s">
        <v>1155</v>
      </c>
      <c r="C20" s="1" t="s">
        <v>1156</v>
      </c>
      <c r="D20" s="1" t="s">
        <v>63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0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37</v>
      </c>
      <c r="B21" s="1" t="s">
        <v>1157</v>
      </c>
      <c r="C21" s="1" t="s">
        <v>1158</v>
      </c>
      <c r="D21" s="1" t="s">
        <v>42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7">
        <v>0</v>
      </c>
      <c r="K21" s="1">
        <v>1</v>
      </c>
      <c r="L21" s="7">
        <v>72.66</v>
      </c>
      <c r="M21" s="1" t="s">
        <v>78</v>
      </c>
    </row>
    <row r="22" spans="1:13" x14ac:dyDescent="0.25">
      <c r="A22" s="1" t="s">
        <v>43</v>
      </c>
      <c r="B22" s="1" t="s">
        <v>1159</v>
      </c>
      <c r="C22" s="1" t="s">
        <v>1160</v>
      </c>
      <c r="D22" s="1" t="s">
        <v>58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55.35</v>
      </c>
      <c r="M22" s="1" t="s">
        <v>78</v>
      </c>
    </row>
    <row r="23" spans="1:13" x14ac:dyDescent="0.25">
      <c r="A23" s="1" t="s">
        <v>53</v>
      </c>
      <c r="B23" s="1" t="s">
        <v>1161</v>
      </c>
      <c r="C23" s="1" t="s">
        <v>1162</v>
      </c>
      <c r="D23" s="1" t="s">
        <v>67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0</v>
      </c>
      <c r="L23" s="7">
        <v>0</v>
      </c>
      <c r="M23" s="1" t="s">
        <v>78</v>
      </c>
    </row>
    <row r="24" spans="1:13" x14ac:dyDescent="0.25">
      <c r="A24" s="1" t="s">
        <v>45</v>
      </c>
      <c r="B24" s="1" t="s">
        <v>1163</v>
      </c>
      <c r="C24" s="1" t="s">
        <v>1164</v>
      </c>
      <c r="D24" s="1" t="s">
        <v>48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7">
        <v>15</v>
      </c>
      <c r="K24" s="1">
        <v>1</v>
      </c>
      <c r="L24" s="7">
        <v>77.680000000000007</v>
      </c>
      <c r="M24" s="1" t="s">
        <v>78</v>
      </c>
    </row>
    <row r="25" spans="1:13" x14ac:dyDescent="0.25">
      <c r="A25" s="1" t="s">
        <v>53</v>
      </c>
      <c r="B25" s="1" t="s">
        <v>1165</v>
      </c>
      <c r="C25" s="1" t="s">
        <v>1166</v>
      </c>
      <c r="D25" s="1" t="s">
        <v>54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7">
        <v>0</v>
      </c>
      <c r="K25" s="1">
        <v>1</v>
      </c>
      <c r="L25" s="7">
        <v>0</v>
      </c>
      <c r="M25" s="1" t="s">
        <v>78</v>
      </c>
    </row>
    <row r="26" spans="1:13" x14ac:dyDescent="0.25">
      <c r="A26" s="1" t="s">
        <v>39</v>
      </c>
      <c r="B26" s="1" t="s">
        <v>1167</v>
      </c>
      <c r="C26" s="1" t="s">
        <v>1168</v>
      </c>
      <c r="D26" s="1" t="s">
        <v>50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145.31</v>
      </c>
      <c r="M26" s="1" t="s">
        <v>78</v>
      </c>
    </row>
    <row r="27" spans="1:13" x14ac:dyDescent="0.25">
      <c r="A27" s="1" t="s">
        <v>43</v>
      </c>
      <c r="B27" s="1" t="s">
        <v>241</v>
      </c>
      <c r="C27" s="1" t="s">
        <v>1169</v>
      </c>
      <c r="D27" s="1" t="s">
        <v>36</v>
      </c>
      <c r="E27" s="1">
        <v>0</v>
      </c>
      <c r="F27" s="1">
        <v>1</v>
      </c>
      <c r="G27" s="1">
        <v>0</v>
      </c>
      <c r="H27" s="1">
        <v>0</v>
      </c>
      <c r="I27" s="1">
        <v>0</v>
      </c>
      <c r="J27" s="7">
        <v>18</v>
      </c>
      <c r="K27" s="1">
        <v>1</v>
      </c>
      <c r="L27" s="7">
        <v>0</v>
      </c>
      <c r="M27" s="1" t="s">
        <v>78</v>
      </c>
    </row>
    <row r="28" spans="1:13" x14ac:dyDescent="0.25">
      <c r="A28" s="1" t="s">
        <v>53</v>
      </c>
      <c r="B28" s="1" t="s">
        <v>1170</v>
      </c>
      <c r="C28" s="1" t="s">
        <v>1171</v>
      </c>
      <c r="D28" s="1" t="s">
        <v>58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79.569999999999993</v>
      </c>
      <c r="M28" s="1" t="s">
        <v>78</v>
      </c>
    </row>
    <row r="29" spans="1:13" x14ac:dyDescent="0.25">
      <c r="A29" s="1" t="s">
        <v>51</v>
      </c>
      <c r="B29" s="1" t="s">
        <v>1172</v>
      </c>
      <c r="C29" s="1" t="s">
        <v>1173</v>
      </c>
      <c r="D29" s="1" t="s">
        <v>68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7">
        <v>0</v>
      </c>
      <c r="K29" s="1">
        <v>1</v>
      </c>
      <c r="L29" s="7">
        <v>49.45</v>
      </c>
      <c r="M29" s="1" t="s">
        <v>78</v>
      </c>
    </row>
    <row r="30" spans="1:13" x14ac:dyDescent="0.25">
      <c r="A30" s="1" t="s">
        <v>53</v>
      </c>
      <c r="B30" s="1" t="s">
        <v>1174</v>
      </c>
      <c r="C30" s="1" t="s">
        <v>1175</v>
      </c>
      <c r="D30" s="1" t="s">
        <v>57</v>
      </c>
      <c r="E30" s="1">
        <v>1</v>
      </c>
      <c r="F30" s="1">
        <v>0</v>
      </c>
      <c r="G30" s="1">
        <v>1</v>
      </c>
      <c r="H30" s="1">
        <v>0</v>
      </c>
      <c r="I30" s="1">
        <v>0</v>
      </c>
      <c r="J30" s="7">
        <v>0</v>
      </c>
      <c r="K30" s="1">
        <v>1</v>
      </c>
      <c r="L30" s="7">
        <v>90.68</v>
      </c>
      <c r="M30" s="1" t="s">
        <v>78</v>
      </c>
    </row>
    <row r="31" spans="1:13" x14ac:dyDescent="0.25">
      <c r="A31" s="1" t="s">
        <v>51</v>
      </c>
      <c r="B31" s="1" t="s">
        <v>1176</v>
      </c>
      <c r="C31" s="1" t="s">
        <v>1177</v>
      </c>
      <c r="D31" s="1" t="s">
        <v>60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7">
        <v>15</v>
      </c>
      <c r="K31" s="1">
        <v>1</v>
      </c>
      <c r="L31" s="7">
        <v>0</v>
      </c>
      <c r="M31" s="1" t="s">
        <v>78</v>
      </c>
    </row>
    <row r="32" spans="1:13" x14ac:dyDescent="0.25">
      <c r="A32" s="1" t="s">
        <v>55</v>
      </c>
      <c r="B32" s="1" t="s">
        <v>1178</v>
      </c>
      <c r="C32" s="1" t="s">
        <v>1179</v>
      </c>
      <c r="D32" s="1" t="s">
        <v>50</v>
      </c>
      <c r="E32" s="1">
        <v>0</v>
      </c>
      <c r="F32" s="1">
        <v>1</v>
      </c>
      <c r="G32" s="1">
        <v>0</v>
      </c>
      <c r="H32" s="1">
        <v>0</v>
      </c>
      <c r="I32" s="1">
        <v>0</v>
      </c>
      <c r="J32" s="7">
        <v>33</v>
      </c>
      <c r="K32" s="1">
        <v>1</v>
      </c>
      <c r="L32" s="7">
        <v>0</v>
      </c>
      <c r="M32" s="1" t="s">
        <v>78</v>
      </c>
    </row>
    <row r="33" spans="1:13" x14ac:dyDescent="0.25">
      <c r="A33" s="1" t="s">
        <v>55</v>
      </c>
      <c r="B33" s="1" t="s">
        <v>1180</v>
      </c>
      <c r="C33" s="1" t="s">
        <v>1181</v>
      </c>
      <c r="D33" s="1" t="s">
        <v>40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7">
        <v>0</v>
      </c>
      <c r="K33" s="1">
        <v>1</v>
      </c>
      <c r="L33" s="7">
        <v>28.84</v>
      </c>
      <c r="M33" s="1" t="s">
        <v>78</v>
      </c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1182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47</v>
      </c>
      <c r="B4" s="1" t="s">
        <v>1183</v>
      </c>
      <c r="C4" s="1" t="s">
        <v>1184</v>
      </c>
      <c r="D4" s="1" t="s">
        <v>60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33</v>
      </c>
      <c r="K4" s="1">
        <v>1</v>
      </c>
      <c r="L4" s="7">
        <v>168.02</v>
      </c>
      <c r="M4" s="1" t="s">
        <v>78</v>
      </c>
      <c r="P4" s="1" t="str">
        <f>Setup!$A$4</f>
        <v>Expert 01</v>
      </c>
      <c r="Q4" s="1">
        <f t="shared" ref="Q4:Q15" si="0">SUMIF($A$4:$A$43,$P4,E$4:E$43)</f>
        <v>0</v>
      </c>
      <c r="R4" s="1">
        <f t="shared" ref="R4:R15" si="1">SUMIF($A$4:$A$43,$P4,F$4:F$43)</f>
        <v>1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18</v>
      </c>
      <c r="W4" s="1">
        <f t="shared" ref="W4:W15" si="6">SUMIF($A$4:$A$43,$P4,K$4:K$43)</f>
        <v>1</v>
      </c>
      <c r="X4" s="7">
        <f t="shared" ref="X4:X15" si="7">SUMIF($A$4:$A$43,$P4,L$4:L$43)</f>
        <v>0</v>
      </c>
    </row>
    <row r="5" spans="1:24" x14ac:dyDescent="0.25">
      <c r="A5" s="1" t="s">
        <v>51</v>
      </c>
      <c r="B5" s="1" t="s">
        <v>1185</v>
      </c>
      <c r="C5" s="1" t="s">
        <v>1186</v>
      </c>
      <c r="D5" s="1" t="s">
        <v>34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7">
        <v>16</v>
      </c>
      <c r="K5" s="1">
        <v>1</v>
      </c>
      <c r="L5" s="7">
        <v>171.19</v>
      </c>
      <c r="M5" s="1" t="s">
        <v>78</v>
      </c>
      <c r="P5" s="1" t="str">
        <f>Setup!$A$5</f>
        <v>Expert 02</v>
      </c>
      <c r="Q5" s="1">
        <f t="shared" si="0"/>
        <v>1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33</v>
      </c>
      <c r="W5" s="1">
        <f t="shared" si="6"/>
        <v>0</v>
      </c>
      <c r="X5" s="7">
        <f t="shared" si="7"/>
        <v>170.89</v>
      </c>
    </row>
    <row r="6" spans="1:24" x14ac:dyDescent="0.25">
      <c r="A6" s="1" t="s">
        <v>37</v>
      </c>
      <c r="B6" s="1" t="s">
        <v>1187</v>
      </c>
      <c r="C6" s="1" t="s">
        <v>1188</v>
      </c>
      <c r="D6" s="1" t="s">
        <v>36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7">
        <v>24</v>
      </c>
      <c r="K6" s="1">
        <v>1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2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24</v>
      </c>
      <c r="W6" s="1">
        <f t="shared" si="6"/>
        <v>4</v>
      </c>
      <c r="X6" s="7">
        <f t="shared" si="7"/>
        <v>331.81</v>
      </c>
    </row>
    <row r="7" spans="1:24" x14ac:dyDescent="0.25">
      <c r="A7" s="1" t="s">
        <v>55</v>
      </c>
      <c r="B7" s="1" t="s">
        <v>1189</v>
      </c>
      <c r="C7" s="1" t="s">
        <v>1190</v>
      </c>
      <c r="D7" s="1" t="s">
        <v>62</v>
      </c>
      <c r="E7" s="1">
        <v>1</v>
      </c>
      <c r="F7" s="1">
        <v>0</v>
      </c>
      <c r="G7" s="1">
        <v>0</v>
      </c>
      <c r="H7" s="1">
        <v>1</v>
      </c>
      <c r="I7" s="1">
        <v>0</v>
      </c>
      <c r="J7" s="7">
        <v>16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1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24</v>
      </c>
      <c r="W7" s="1">
        <f t="shared" si="6"/>
        <v>2</v>
      </c>
      <c r="X7" s="7">
        <f t="shared" si="7"/>
        <v>0</v>
      </c>
    </row>
    <row r="8" spans="1:24" x14ac:dyDescent="0.25">
      <c r="A8" s="1" t="s">
        <v>49</v>
      </c>
      <c r="B8" s="1" t="s">
        <v>1191</v>
      </c>
      <c r="C8" s="1" t="s">
        <v>1192</v>
      </c>
      <c r="D8" s="1" t="s">
        <v>64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0</v>
      </c>
      <c r="K8" s="1">
        <v>1</v>
      </c>
      <c r="L8" s="7">
        <v>94.7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24</v>
      </c>
      <c r="W8" s="1">
        <f t="shared" si="6"/>
        <v>2</v>
      </c>
      <c r="X8" s="7">
        <f t="shared" si="7"/>
        <v>33.1</v>
      </c>
    </row>
    <row r="9" spans="1:24" x14ac:dyDescent="0.25">
      <c r="A9" s="1" t="s">
        <v>49</v>
      </c>
      <c r="B9" s="1" t="s">
        <v>1193</v>
      </c>
      <c r="C9" s="1" t="s">
        <v>1194</v>
      </c>
      <c r="D9" s="1" t="s">
        <v>67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0</v>
      </c>
      <c r="L9" s="7">
        <v>0</v>
      </c>
      <c r="M9" s="1" t="s">
        <v>78</v>
      </c>
      <c r="P9" s="1" t="str">
        <f>Setup!$A$9</f>
        <v>Expert 06</v>
      </c>
      <c r="Q9" s="1">
        <f t="shared" si="0"/>
        <v>1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1</v>
      </c>
      <c r="V9" s="7">
        <f t="shared" si="5"/>
        <v>33</v>
      </c>
      <c r="W9" s="1">
        <f t="shared" si="6"/>
        <v>1</v>
      </c>
      <c r="X9" s="7">
        <f t="shared" si="7"/>
        <v>63.11</v>
      </c>
    </row>
    <row r="10" spans="1:24" x14ac:dyDescent="0.25">
      <c r="A10" s="1" t="s">
        <v>33</v>
      </c>
      <c r="B10" s="1" t="s">
        <v>1195</v>
      </c>
      <c r="C10" s="1" t="s">
        <v>1196</v>
      </c>
      <c r="D10" s="1" t="s">
        <v>54</v>
      </c>
      <c r="E10" s="1">
        <v>0</v>
      </c>
      <c r="F10" s="1">
        <v>1</v>
      </c>
      <c r="G10" s="1">
        <v>0</v>
      </c>
      <c r="H10" s="1">
        <v>0</v>
      </c>
      <c r="I10" s="1">
        <v>0</v>
      </c>
      <c r="J10" s="7">
        <v>18</v>
      </c>
      <c r="K10" s="1">
        <v>1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2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18</v>
      </c>
      <c r="W10" s="1">
        <f t="shared" si="6"/>
        <v>2</v>
      </c>
      <c r="X10" s="7">
        <f t="shared" si="7"/>
        <v>152.19999999999999</v>
      </c>
    </row>
    <row r="11" spans="1:24" x14ac:dyDescent="0.25">
      <c r="A11" s="1" t="s">
        <v>47</v>
      </c>
      <c r="B11" s="1" t="s">
        <v>1197</v>
      </c>
      <c r="C11" s="1" t="s">
        <v>1198</v>
      </c>
      <c r="D11" s="1" t="s">
        <v>56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33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4</v>
      </c>
      <c r="R11" s="1">
        <f t="shared" si="1"/>
        <v>1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115</v>
      </c>
      <c r="W11" s="1">
        <f t="shared" si="6"/>
        <v>6</v>
      </c>
      <c r="X11" s="7">
        <f t="shared" si="7"/>
        <v>350.88</v>
      </c>
    </row>
    <row r="12" spans="1:24" x14ac:dyDescent="0.25">
      <c r="A12" s="1" t="s">
        <v>49</v>
      </c>
      <c r="B12" s="1" t="s">
        <v>1199</v>
      </c>
      <c r="C12" s="1" t="s">
        <v>1200</v>
      </c>
      <c r="D12" s="1" t="s">
        <v>56</v>
      </c>
      <c r="E12" s="1">
        <v>1</v>
      </c>
      <c r="F12" s="1">
        <v>0</v>
      </c>
      <c r="G12" s="1">
        <v>1</v>
      </c>
      <c r="H12" s="1">
        <v>0</v>
      </c>
      <c r="I12" s="1">
        <v>0</v>
      </c>
      <c r="J12" s="7">
        <v>0</v>
      </c>
      <c r="K12" s="1">
        <v>1</v>
      </c>
      <c r="L12" s="7">
        <v>0.06</v>
      </c>
      <c r="M12" s="1" t="s">
        <v>78</v>
      </c>
      <c r="P12" s="1" t="str">
        <f>Setup!$A$12</f>
        <v>Expert 09</v>
      </c>
      <c r="Q12" s="1">
        <f t="shared" si="0"/>
        <v>3</v>
      </c>
      <c r="R12" s="1">
        <f t="shared" si="1"/>
        <v>0</v>
      </c>
      <c r="S12" s="1">
        <f t="shared" si="2"/>
        <v>1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3</v>
      </c>
      <c r="X12" s="7">
        <f t="shared" si="7"/>
        <v>192.96</v>
      </c>
    </row>
    <row r="13" spans="1:24" x14ac:dyDescent="0.25">
      <c r="A13" s="1" t="s">
        <v>53</v>
      </c>
      <c r="B13" s="1" t="s">
        <v>1201</v>
      </c>
      <c r="C13" s="1" t="s">
        <v>1202</v>
      </c>
      <c r="D13" s="1" t="s">
        <v>66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7">
        <v>0</v>
      </c>
      <c r="K13" s="1">
        <v>0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1</v>
      </c>
      <c r="T13" s="1">
        <f t="shared" si="3"/>
        <v>0</v>
      </c>
      <c r="U13" s="1">
        <f t="shared" si="4"/>
        <v>0</v>
      </c>
      <c r="V13" s="7">
        <f t="shared" si="5"/>
        <v>32</v>
      </c>
      <c r="W13" s="1">
        <f t="shared" si="6"/>
        <v>2</v>
      </c>
      <c r="X13" s="7">
        <f t="shared" si="7"/>
        <v>171.19</v>
      </c>
    </row>
    <row r="14" spans="1:24" x14ac:dyDescent="0.25">
      <c r="A14" s="1" t="s">
        <v>35</v>
      </c>
      <c r="B14" s="1" t="s">
        <v>1203</v>
      </c>
      <c r="C14" s="1" t="s">
        <v>1204</v>
      </c>
      <c r="D14" s="1" t="s">
        <v>67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33</v>
      </c>
      <c r="K14" s="1">
        <v>0</v>
      </c>
      <c r="L14" s="7">
        <v>170.89</v>
      </c>
      <c r="M14" s="1" t="s">
        <v>78</v>
      </c>
      <c r="P14" s="1" t="str">
        <f>Setup!$A$14</f>
        <v>Expert 11</v>
      </c>
      <c r="Q14" s="1">
        <f t="shared" si="0"/>
        <v>2</v>
      </c>
      <c r="R14" s="1">
        <f t="shared" si="1"/>
        <v>1</v>
      </c>
      <c r="S14" s="1">
        <f t="shared" si="2"/>
        <v>0</v>
      </c>
      <c r="T14" s="1">
        <f t="shared" si="3"/>
        <v>0</v>
      </c>
      <c r="U14" s="1">
        <f t="shared" si="4"/>
        <v>1</v>
      </c>
      <c r="V14" s="7">
        <f t="shared" si="5"/>
        <v>42</v>
      </c>
      <c r="W14" s="1">
        <f t="shared" si="6"/>
        <v>2</v>
      </c>
      <c r="X14" s="7">
        <f t="shared" si="7"/>
        <v>261.10000000000002</v>
      </c>
    </row>
    <row r="15" spans="1:24" x14ac:dyDescent="0.25">
      <c r="A15" s="1" t="s">
        <v>53</v>
      </c>
      <c r="B15" s="1" t="s">
        <v>1205</v>
      </c>
      <c r="C15" s="1" t="s">
        <v>1206</v>
      </c>
      <c r="D15" s="1" t="s">
        <v>34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24</v>
      </c>
      <c r="K15" s="1">
        <v>1</v>
      </c>
      <c r="L15" s="7">
        <v>169.46</v>
      </c>
      <c r="M15" s="1" t="s">
        <v>78</v>
      </c>
      <c r="P15" s="1" t="str">
        <f>Setup!$A$15</f>
        <v>Expert 12</v>
      </c>
      <c r="Q15" s="1">
        <f t="shared" si="0"/>
        <v>2</v>
      </c>
      <c r="R15" s="1">
        <f t="shared" si="1"/>
        <v>0</v>
      </c>
      <c r="S15" s="1">
        <f t="shared" si="2"/>
        <v>0</v>
      </c>
      <c r="T15" s="1">
        <f t="shared" si="3"/>
        <v>1</v>
      </c>
      <c r="U15" s="1">
        <f t="shared" si="4"/>
        <v>0</v>
      </c>
      <c r="V15" s="7">
        <f t="shared" si="5"/>
        <v>16</v>
      </c>
      <c r="W15" s="1">
        <f t="shared" si="6"/>
        <v>2</v>
      </c>
      <c r="X15" s="7">
        <f t="shared" si="7"/>
        <v>0</v>
      </c>
    </row>
    <row r="16" spans="1:24" x14ac:dyDescent="0.25">
      <c r="A16" s="1" t="s">
        <v>43</v>
      </c>
      <c r="B16" s="1" t="s">
        <v>1207</v>
      </c>
      <c r="C16" s="1" t="s">
        <v>1208</v>
      </c>
      <c r="D16" s="1" t="s">
        <v>65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18</v>
      </c>
      <c r="K16" s="1">
        <v>1</v>
      </c>
      <c r="L16" s="7">
        <v>63.11</v>
      </c>
      <c r="M16" s="1" t="s">
        <v>78</v>
      </c>
      <c r="P16" s="8" t="s">
        <v>103</v>
      </c>
      <c r="Q16" s="9">
        <f t="shared" ref="Q16:X16" si="8">SUM(Q4:Q15)</f>
        <v>20</v>
      </c>
      <c r="R16" s="9">
        <f t="shared" si="8"/>
        <v>4</v>
      </c>
      <c r="S16" s="9">
        <f t="shared" si="8"/>
        <v>2</v>
      </c>
      <c r="T16" s="9">
        <f t="shared" si="8"/>
        <v>1</v>
      </c>
      <c r="U16" s="9">
        <f t="shared" si="8"/>
        <v>2</v>
      </c>
      <c r="V16" s="10">
        <f t="shared" si="8"/>
        <v>379</v>
      </c>
      <c r="W16" s="9">
        <f t="shared" si="8"/>
        <v>27</v>
      </c>
      <c r="X16" s="10">
        <f t="shared" si="8"/>
        <v>1727.2399999999998</v>
      </c>
    </row>
    <row r="17" spans="1:13" x14ac:dyDescent="0.25">
      <c r="A17" s="1" t="s">
        <v>51</v>
      </c>
      <c r="B17" s="1" t="s">
        <v>1209</v>
      </c>
      <c r="C17" s="1" t="s">
        <v>1210</v>
      </c>
      <c r="D17" s="1" t="s">
        <v>54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7">
        <v>16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55</v>
      </c>
      <c r="B18" s="1" t="s">
        <v>1211</v>
      </c>
      <c r="C18" s="1" t="s">
        <v>1212</v>
      </c>
      <c r="D18" s="1" t="s">
        <v>68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47</v>
      </c>
      <c r="B19" s="1" t="s">
        <v>1213</v>
      </c>
      <c r="C19" s="1" t="s">
        <v>1214</v>
      </c>
      <c r="D19" s="1" t="s">
        <v>64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7">
        <v>16</v>
      </c>
      <c r="K19" s="1">
        <v>1</v>
      </c>
      <c r="L19" s="7">
        <v>0</v>
      </c>
      <c r="M19" s="1" t="s">
        <v>78</v>
      </c>
    </row>
    <row r="20" spans="1:13" x14ac:dyDescent="0.25">
      <c r="A20" s="1" t="s">
        <v>39</v>
      </c>
      <c r="B20" s="1" t="s">
        <v>1215</v>
      </c>
      <c r="C20" s="1" t="s">
        <v>1216</v>
      </c>
      <c r="D20" s="1" t="s">
        <v>60</v>
      </c>
      <c r="E20" s="1">
        <v>0</v>
      </c>
      <c r="F20" s="1">
        <v>1</v>
      </c>
      <c r="G20" s="1">
        <v>0</v>
      </c>
      <c r="H20" s="1">
        <v>0</v>
      </c>
      <c r="I20" s="1">
        <v>0</v>
      </c>
      <c r="J20" s="7">
        <v>24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45</v>
      </c>
      <c r="B21" s="1" t="s">
        <v>1217</v>
      </c>
      <c r="C21" s="1" t="s">
        <v>1218</v>
      </c>
      <c r="D21" s="1" t="s">
        <v>48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41</v>
      </c>
      <c r="B22" s="1" t="s">
        <v>1219</v>
      </c>
      <c r="C22" s="1" t="s">
        <v>1220</v>
      </c>
      <c r="D22" s="1" t="s">
        <v>44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37</v>
      </c>
      <c r="B23" s="1" t="s">
        <v>1221</v>
      </c>
      <c r="C23" s="1" t="s">
        <v>1222</v>
      </c>
      <c r="D23" s="1" t="s">
        <v>42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165.54</v>
      </c>
      <c r="M23" s="1" t="s">
        <v>78</v>
      </c>
    </row>
    <row r="24" spans="1:13" x14ac:dyDescent="0.25">
      <c r="A24" s="1" t="s">
        <v>45</v>
      </c>
      <c r="B24" s="1" t="s">
        <v>1223</v>
      </c>
      <c r="C24" s="1" t="s">
        <v>1224</v>
      </c>
      <c r="D24" s="1" t="s">
        <v>61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18</v>
      </c>
      <c r="K24" s="1">
        <v>1</v>
      </c>
      <c r="L24" s="7">
        <v>152.19999999999999</v>
      </c>
      <c r="M24" s="1" t="s">
        <v>78</v>
      </c>
    </row>
    <row r="25" spans="1:13" x14ac:dyDescent="0.25">
      <c r="A25" s="1" t="s">
        <v>53</v>
      </c>
      <c r="B25" s="1" t="s">
        <v>422</v>
      </c>
      <c r="C25" s="1" t="s">
        <v>1225</v>
      </c>
      <c r="D25" s="1" t="s">
        <v>50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18</v>
      </c>
      <c r="K25" s="1">
        <v>1</v>
      </c>
      <c r="L25" s="7">
        <v>91.64</v>
      </c>
      <c r="M25" s="1" t="s">
        <v>78</v>
      </c>
    </row>
    <row r="26" spans="1:13" x14ac:dyDescent="0.25">
      <c r="A26" s="1" t="s">
        <v>49</v>
      </c>
      <c r="B26" s="1" t="s">
        <v>1226</v>
      </c>
      <c r="C26" s="1" t="s">
        <v>1227</v>
      </c>
      <c r="D26" s="1" t="s">
        <v>52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98.2</v>
      </c>
      <c r="M26" s="1" t="s">
        <v>78</v>
      </c>
    </row>
    <row r="27" spans="1:13" x14ac:dyDescent="0.25">
      <c r="A27" s="1" t="s">
        <v>47</v>
      </c>
      <c r="B27" s="1" t="s">
        <v>1228</v>
      </c>
      <c r="C27" s="1" t="s">
        <v>1229</v>
      </c>
      <c r="D27" s="1" t="s">
        <v>62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7">
        <v>33</v>
      </c>
      <c r="K27" s="1">
        <v>1</v>
      </c>
      <c r="L27" s="7">
        <v>114.85</v>
      </c>
      <c r="M27" s="1" t="s">
        <v>78</v>
      </c>
    </row>
    <row r="28" spans="1:13" x14ac:dyDescent="0.25">
      <c r="A28" s="1" t="s">
        <v>47</v>
      </c>
      <c r="B28" s="1" t="s">
        <v>792</v>
      </c>
      <c r="C28" s="1" t="s">
        <v>1230</v>
      </c>
      <c r="D28" s="1" t="s">
        <v>63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68.010000000000005</v>
      </c>
      <c r="M28" s="1" t="s">
        <v>78</v>
      </c>
    </row>
    <row r="29" spans="1:13" x14ac:dyDescent="0.25">
      <c r="A29" s="1" t="s">
        <v>39</v>
      </c>
      <c r="B29" s="1" t="s">
        <v>1231</v>
      </c>
      <c r="C29" s="1" t="s">
        <v>1232</v>
      </c>
      <c r="D29" s="1" t="s">
        <v>54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7">
        <v>0</v>
      </c>
      <c r="K29" s="1">
        <v>1</v>
      </c>
      <c r="L29" s="7">
        <v>0</v>
      </c>
      <c r="M29" s="1" t="s">
        <v>78</v>
      </c>
    </row>
    <row r="30" spans="1:13" x14ac:dyDescent="0.25">
      <c r="A30" s="1" t="s">
        <v>37</v>
      </c>
      <c r="B30" s="1" t="s">
        <v>1233</v>
      </c>
      <c r="C30" s="1" t="s">
        <v>1234</v>
      </c>
      <c r="D30" s="1" t="s">
        <v>42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7">
        <v>0</v>
      </c>
      <c r="K30" s="1">
        <v>1</v>
      </c>
      <c r="L30" s="7">
        <v>166.27</v>
      </c>
      <c r="M30" s="1" t="s">
        <v>78</v>
      </c>
    </row>
    <row r="31" spans="1:13" x14ac:dyDescent="0.25">
      <c r="A31" s="1" t="s">
        <v>37</v>
      </c>
      <c r="B31" s="1" t="s">
        <v>1235</v>
      </c>
      <c r="C31" s="1" t="s">
        <v>1236</v>
      </c>
      <c r="D31" s="1" t="s">
        <v>58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7">
        <v>0</v>
      </c>
      <c r="K31" s="1">
        <v>1</v>
      </c>
      <c r="L31" s="7">
        <v>0</v>
      </c>
      <c r="M31" s="1" t="s">
        <v>78</v>
      </c>
    </row>
    <row r="32" spans="1:13" x14ac:dyDescent="0.25">
      <c r="A32" s="1" t="s">
        <v>47</v>
      </c>
      <c r="B32" s="1" t="s">
        <v>1237</v>
      </c>
      <c r="C32" s="1" t="s">
        <v>1238</v>
      </c>
      <c r="D32" s="1" t="s">
        <v>64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7">
        <v>0</v>
      </c>
      <c r="K32" s="1">
        <v>1</v>
      </c>
      <c r="L32" s="7">
        <v>0</v>
      </c>
      <c r="M32" s="1" t="s">
        <v>78</v>
      </c>
    </row>
    <row r="33" spans="1:13" x14ac:dyDescent="0.25">
      <c r="A33" s="1" t="s">
        <v>43</v>
      </c>
      <c r="B33" s="1" t="s">
        <v>1239</v>
      </c>
      <c r="C33" s="1" t="s">
        <v>1240</v>
      </c>
      <c r="D33" s="1" t="s">
        <v>66</v>
      </c>
      <c r="E33" s="1">
        <v>0</v>
      </c>
      <c r="F33" s="1">
        <v>0</v>
      </c>
      <c r="G33" s="1">
        <v>0</v>
      </c>
      <c r="H33" s="1">
        <v>0</v>
      </c>
      <c r="I33" s="1">
        <v>1</v>
      </c>
      <c r="J33" s="7">
        <v>15</v>
      </c>
      <c r="K33" s="1">
        <v>0</v>
      </c>
      <c r="L33" s="7">
        <v>0</v>
      </c>
      <c r="M33" s="1" t="s">
        <v>78</v>
      </c>
    </row>
    <row r="34" spans="1:13" x14ac:dyDescent="0.25">
      <c r="A34" s="1" t="s">
        <v>41</v>
      </c>
      <c r="B34" s="1" t="s">
        <v>1241</v>
      </c>
      <c r="C34" s="1" t="s">
        <v>1242</v>
      </c>
      <c r="D34" s="1" t="s">
        <v>44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7">
        <v>24</v>
      </c>
      <c r="K34" s="1">
        <v>1</v>
      </c>
      <c r="L34" s="7">
        <v>33.1</v>
      </c>
      <c r="M34" s="1" t="s">
        <v>78</v>
      </c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1243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49</v>
      </c>
      <c r="B4" s="1" t="s">
        <v>1244</v>
      </c>
      <c r="C4" s="1" t="s">
        <v>1245</v>
      </c>
      <c r="D4" s="1" t="s">
        <v>64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33</v>
      </c>
      <c r="K4" s="1">
        <v>1</v>
      </c>
      <c r="L4" s="7">
        <v>90.58</v>
      </c>
      <c r="M4" s="1" t="s">
        <v>78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15</v>
      </c>
      <c r="W4" s="1">
        <f t="shared" ref="W4:W15" si="6">SUMIF($A$4:$A$43,$P4,K$4:K$43)</f>
        <v>2</v>
      </c>
      <c r="X4" s="7">
        <f t="shared" ref="X4:X15" si="7">SUMIF($A$4:$A$43,$P4,L$4:L$43)</f>
        <v>16.329999999999998</v>
      </c>
    </row>
    <row r="5" spans="1:24" x14ac:dyDescent="0.25">
      <c r="A5" s="1" t="s">
        <v>41</v>
      </c>
      <c r="B5" s="1" t="s">
        <v>1246</v>
      </c>
      <c r="C5" s="1" t="s">
        <v>1247</v>
      </c>
      <c r="D5" s="1" t="s">
        <v>50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7">
        <v>24</v>
      </c>
      <c r="K5" s="1">
        <v>1</v>
      </c>
      <c r="L5" s="7">
        <v>0</v>
      </c>
      <c r="M5" s="1" t="s">
        <v>83</v>
      </c>
      <c r="P5" s="1" t="str">
        <f>Setup!$A$5</f>
        <v>Expert 02</v>
      </c>
      <c r="Q5" s="1">
        <f t="shared" si="0"/>
        <v>0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24</v>
      </c>
      <c r="W5" s="1">
        <f t="shared" si="6"/>
        <v>0</v>
      </c>
      <c r="X5" s="7">
        <f t="shared" si="7"/>
        <v>0</v>
      </c>
    </row>
    <row r="6" spans="1:24" x14ac:dyDescent="0.25">
      <c r="A6" s="1" t="s">
        <v>55</v>
      </c>
      <c r="B6" s="1" t="s">
        <v>1248</v>
      </c>
      <c r="C6" s="1" t="s">
        <v>1249</v>
      </c>
      <c r="D6" s="1" t="s">
        <v>65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116.05</v>
      </c>
      <c r="M6" s="1" t="s">
        <v>78</v>
      </c>
      <c r="P6" s="1" t="str">
        <f>Setup!$A$6</f>
        <v>Expert 03</v>
      </c>
      <c r="Q6" s="1">
        <f t="shared" si="0"/>
        <v>0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0</v>
      </c>
      <c r="X6" s="7">
        <f t="shared" si="7"/>
        <v>0</v>
      </c>
    </row>
    <row r="7" spans="1:24" x14ac:dyDescent="0.25">
      <c r="A7" s="1" t="s">
        <v>39</v>
      </c>
      <c r="B7" s="1" t="s">
        <v>1250</v>
      </c>
      <c r="C7" s="1" t="s">
        <v>1251</v>
      </c>
      <c r="D7" s="1" t="s">
        <v>54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1</v>
      </c>
      <c r="X7" s="7">
        <f t="shared" si="7"/>
        <v>0</v>
      </c>
    </row>
    <row r="8" spans="1:24" x14ac:dyDescent="0.25">
      <c r="A8" s="1" t="s">
        <v>41</v>
      </c>
      <c r="B8" s="1" t="s">
        <v>1252</v>
      </c>
      <c r="C8" s="1" t="s">
        <v>1253</v>
      </c>
      <c r="D8" s="1" t="s">
        <v>54</v>
      </c>
      <c r="E8" s="1">
        <v>0</v>
      </c>
      <c r="F8" s="1">
        <v>1</v>
      </c>
      <c r="G8" s="1">
        <v>0</v>
      </c>
      <c r="H8" s="1">
        <v>1</v>
      </c>
      <c r="I8" s="1">
        <v>0</v>
      </c>
      <c r="J8" s="7">
        <v>0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1</v>
      </c>
      <c r="S8" s="1">
        <f t="shared" si="2"/>
        <v>0</v>
      </c>
      <c r="T8" s="1">
        <f t="shared" si="3"/>
        <v>1</v>
      </c>
      <c r="U8" s="1">
        <f t="shared" si="4"/>
        <v>0</v>
      </c>
      <c r="V8" s="7">
        <f t="shared" si="5"/>
        <v>42</v>
      </c>
      <c r="W8" s="1">
        <f t="shared" si="6"/>
        <v>5</v>
      </c>
      <c r="X8" s="7">
        <f t="shared" si="7"/>
        <v>168.99</v>
      </c>
    </row>
    <row r="9" spans="1:24" x14ac:dyDescent="0.25">
      <c r="A9" s="1" t="s">
        <v>53</v>
      </c>
      <c r="B9" s="1" t="s">
        <v>1254</v>
      </c>
      <c r="C9" s="1" t="s">
        <v>1255</v>
      </c>
      <c r="D9" s="1" t="s">
        <v>61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0</v>
      </c>
      <c r="M9" s="1" t="s">
        <v>78</v>
      </c>
      <c r="P9" s="1" t="str">
        <f>Setup!$A$9</f>
        <v>Expert 06</v>
      </c>
      <c r="Q9" s="1">
        <f t="shared" si="0"/>
        <v>0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0</v>
      </c>
      <c r="W9" s="1">
        <f t="shared" si="6"/>
        <v>0</v>
      </c>
      <c r="X9" s="7">
        <f t="shared" si="7"/>
        <v>0</v>
      </c>
    </row>
    <row r="10" spans="1:24" x14ac:dyDescent="0.25">
      <c r="A10" s="1" t="s">
        <v>51</v>
      </c>
      <c r="B10" s="1" t="s">
        <v>1256</v>
      </c>
      <c r="C10" s="1" t="s">
        <v>1257</v>
      </c>
      <c r="D10" s="1" t="s">
        <v>34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71.59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1</v>
      </c>
      <c r="T10" s="1">
        <f t="shared" si="3"/>
        <v>0</v>
      </c>
      <c r="U10" s="1">
        <f t="shared" si="4"/>
        <v>0</v>
      </c>
      <c r="V10" s="7">
        <f t="shared" si="5"/>
        <v>0</v>
      </c>
      <c r="W10" s="1">
        <f t="shared" si="6"/>
        <v>1</v>
      </c>
      <c r="X10" s="7">
        <f t="shared" si="7"/>
        <v>0</v>
      </c>
    </row>
    <row r="11" spans="1:24" x14ac:dyDescent="0.25">
      <c r="A11" s="1" t="s">
        <v>41</v>
      </c>
      <c r="B11" s="1" t="s">
        <v>1258</v>
      </c>
      <c r="C11" s="1" t="s">
        <v>1259</v>
      </c>
      <c r="D11" s="1" t="s">
        <v>56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1</v>
      </c>
      <c r="L11" s="7">
        <v>47.15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0</v>
      </c>
      <c r="W11" s="1">
        <f t="shared" si="6"/>
        <v>1</v>
      </c>
      <c r="X11" s="7">
        <f t="shared" si="7"/>
        <v>47.4</v>
      </c>
    </row>
    <row r="12" spans="1:24" x14ac:dyDescent="0.25">
      <c r="A12" s="1" t="s">
        <v>53</v>
      </c>
      <c r="B12" s="1" t="s">
        <v>1260</v>
      </c>
      <c r="C12" s="1" t="s">
        <v>1261</v>
      </c>
      <c r="D12" s="1" t="s">
        <v>42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7">
        <v>33</v>
      </c>
      <c r="K12" s="1">
        <v>1</v>
      </c>
      <c r="L12" s="7">
        <v>175.4</v>
      </c>
      <c r="M12" s="1" t="s">
        <v>78</v>
      </c>
      <c r="P12" s="1" t="str">
        <f>Setup!$A$12</f>
        <v>Expert 09</v>
      </c>
      <c r="Q12" s="1">
        <f t="shared" si="0"/>
        <v>2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33</v>
      </c>
      <c r="W12" s="1">
        <f t="shared" si="6"/>
        <v>2</v>
      </c>
      <c r="X12" s="7">
        <f t="shared" si="7"/>
        <v>90.58</v>
      </c>
    </row>
    <row r="13" spans="1:24" x14ac:dyDescent="0.25">
      <c r="A13" s="1" t="s">
        <v>49</v>
      </c>
      <c r="B13" s="1" t="s">
        <v>1262</v>
      </c>
      <c r="C13" s="1" t="s">
        <v>1263</v>
      </c>
      <c r="D13" s="1" t="s">
        <v>58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0</v>
      </c>
      <c r="K13" s="1">
        <v>1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1</v>
      </c>
      <c r="V13" s="7">
        <f t="shared" si="5"/>
        <v>0</v>
      </c>
      <c r="W13" s="1">
        <f t="shared" si="6"/>
        <v>1</v>
      </c>
      <c r="X13" s="7">
        <f t="shared" si="7"/>
        <v>111.12</v>
      </c>
    </row>
    <row r="14" spans="1:24" x14ac:dyDescent="0.25">
      <c r="A14" s="1" t="s">
        <v>41</v>
      </c>
      <c r="B14" s="1" t="s">
        <v>1264</v>
      </c>
      <c r="C14" s="1" t="s">
        <v>1265</v>
      </c>
      <c r="D14" s="1" t="s">
        <v>61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7">
        <v>18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1</v>
      </c>
      <c r="R14" s="1">
        <f t="shared" si="1"/>
        <v>2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51</v>
      </c>
      <c r="W14" s="1">
        <f t="shared" si="6"/>
        <v>2</v>
      </c>
      <c r="X14" s="7">
        <f t="shared" si="7"/>
        <v>175.4</v>
      </c>
    </row>
    <row r="15" spans="1:24" x14ac:dyDescent="0.25">
      <c r="A15" s="1" t="s">
        <v>55</v>
      </c>
      <c r="B15" s="1" t="s">
        <v>1266</v>
      </c>
      <c r="C15" s="1" t="s">
        <v>1267</v>
      </c>
      <c r="D15" s="1" t="s">
        <v>61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7">
        <v>18</v>
      </c>
      <c r="K15" s="1">
        <v>1</v>
      </c>
      <c r="L15" s="7">
        <v>129.4</v>
      </c>
      <c r="M15" s="1" t="s">
        <v>83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18</v>
      </c>
      <c r="W15" s="1">
        <f t="shared" si="6"/>
        <v>2</v>
      </c>
      <c r="X15" s="7">
        <f t="shared" si="7"/>
        <v>245.45</v>
      </c>
    </row>
    <row r="16" spans="1:24" x14ac:dyDescent="0.25">
      <c r="A16" s="1" t="s">
        <v>51</v>
      </c>
      <c r="B16" s="1" t="s">
        <v>1268</v>
      </c>
      <c r="C16" s="1" t="s">
        <v>1269</v>
      </c>
      <c r="D16" s="1" t="s">
        <v>66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7">
        <v>0</v>
      </c>
      <c r="K16" s="1">
        <v>0</v>
      </c>
      <c r="L16" s="7">
        <v>39.53</v>
      </c>
      <c r="M16" s="1" t="s">
        <v>83</v>
      </c>
      <c r="P16" s="8" t="s">
        <v>103</v>
      </c>
      <c r="Q16" s="9">
        <f t="shared" ref="Q16:X16" si="8">SUM(Q4:Q15)</f>
        <v>11</v>
      </c>
      <c r="R16" s="9">
        <f t="shared" si="8"/>
        <v>3</v>
      </c>
      <c r="S16" s="9">
        <f t="shared" si="8"/>
        <v>1</v>
      </c>
      <c r="T16" s="9">
        <f t="shared" si="8"/>
        <v>1</v>
      </c>
      <c r="U16" s="9">
        <f t="shared" si="8"/>
        <v>1</v>
      </c>
      <c r="V16" s="10">
        <f t="shared" si="8"/>
        <v>183</v>
      </c>
      <c r="W16" s="9">
        <f t="shared" si="8"/>
        <v>17</v>
      </c>
      <c r="X16" s="10">
        <f t="shared" si="8"/>
        <v>855.27</v>
      </c>
    </row>
    <row r="17" spans="1:13" x14ac:dyDescent="0.25">
      <c r="A17" s="1" t="s">
        <v>41</v>
      </c>
      <c r="B17" s="1" t="s">
        <v>1270</v>
      </c>
      <c r="C17" s="1" t="s">
        <v>1271</v>
      </c>
      <c r="D17" s="1" t="s">
        <v>64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121.84</v>
      </c>
      <c r="M17" s="1" t="s">
        <v>78</v>
      </c>
    </row>
    <row r="18" spans="1:13" x14ac:dyDescent="0.25">
      <c r="A18" s="1" t="s">
        <v>35</v>
      </c>
      <c r="B18" s="1" t="s">
        <v>1272</v>
      </c>
      <c r="C18" s="1" t="s">
        <v>1273</v>
      </c>
      <c r="D18" s="1" t="s">
        <v>69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7">
        <v>24</v>
      </c>
      <c r="K18" s="1">
        <v>0</v>
      </c>
      <c r="L18" s="7">
        <v>0</v>
      </c>
      <c r="M18" s="1" t="s">
        <v>78</v>
      </c>
    </row>
    <row r="19" spans="1:13" x14ac:dyDescent="0.25">
      <c r="A19" s="1" t="s">
        <v>33</v>
      </c>
      <c r="B19" s="1" t="s">
        <v>1274</v>
      </c>
      <c r="C19" s="1" t="s">
        <v>1275</v>
      </c>
      <c r="D19" s="1" t="s">
        <v>68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16.329999999999998</v>
      </c>
      <c r="M19" s="1" t="s">
        <v>78</v>
      </c>
    </row>
    <row r="20" spans="1:13" x14ac:dyDescent="0.25">
      <c r="A20" s="1" t="s">
        <v>45</v>
      </c>
      <c r="B20" s="1" t="s">
        <v>1276</v>
      </c>
      <c r="C20" s="1" t="s">
        <v>1277</v>
      </c>
      <c r="D20" s="1" t="s">
        <v>60</v>
      </c>
      <c r="E20" s="1">
        <v>1</v>
      </c>
      <c r="F20" s="1">
        <v>0</v>
      </c>
      <c r="G20" s="1">
        <v>1</v>
      </c>
      <c r="H20" s="1">
        <v>0</v>
      </c>
      <c r="I20" s="1">
        <v>0</v>
      </c>
      <c r="J20" s="7">
        <v>0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53</v>
      </c>
      <c r="B21" s="1" t="s">
        <v>249</v>
      </c>
      <c r="C21" s="1" t="s">
        <v>1278</v>
      </c>
      <c r="D21" s="1" t="s">
        <v>67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18</v>
      </c>
      <c r="K21" s="1">
        <v>0</v>
      </c>
      <c r="L21" s="7">
        <v>0</v>
      </c>
      <c r="M21" s="1" t="s">
        <v>78</v>
      </c>
    </row>
    <row r="22" spans="1:13" x14ac:dyDescent="0.25">
      <c r="A22" s="1" t="s">
        <v>47</v>
      </c>
      <c r="B22" s="1" t="s">
        <v>1279</v>
      </c>
      <c r="C22" s="1" t="s">
        <v>1280</v>
      </c>
      <c r="D22" s="1" t="s">
        <v>54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47.4</v>
      </c>
      <c r="M22" s="1" t="s">
        <v>78</v>
      </c>
    </row>
    <row r="23" spans="1:13" x14ac:dyDescent="0.25">
      <c r="A23" s="1" t="s">
        <v>33</v>
      </c>
      <c r="B23" s="1" t="s">
        <v>1281</v>
      </c>
      <c r="C23" s="1" t="s">
        <v>1282</v>
      </c>
      <c r="D23" s="1" t="s">
        <v>65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15</v>
      </c>
      <c r="K23" s="1">
        <v>1</v>
      </c>
      <c r="L23" s="7">
        <v>0</v>
      </c>
      <c r="M23" s="1" t="s">
        <v>78</v>
      </c>
    </row>
    <row r="24" spans="1:13" x14ac:dyDescent="0.25">
      <c r="A24" s="1"/>
      <c r="B24" s="1"/>
      <c r="C24" s="1"/>
      <c r="D24" s="1"/>
      <c r="E24" s="1"/>
      <c r="F24" s="1"/>
      <c r="G24" s="1"/>
      <c r="H24" s="1"/>
      <c r="I24" s="1"/>
      <c r="J24" s="7"/>
      <c r="K24" s="1"/>
      <c r="L24" s="7"/>
      <c r="M24" s="1"/>
    </row>
    <row r="25" spans="1:13" x14ac:dyDescent="0.25">
      <c r="A25" s="1"/>
      <c r="B25" s="1"/>
      <c r="C25" s="1"/>
      <c r="D25" s="1"/>
      <c r="E25" s="1"/>
      <c r="F25" s="1"/>
      <c r="G25" s="1"/>
      <c r="H25" s="1"/>
      <c r="I25" s="1"/>
      <c r="J25" s="7"/>
      <c r="K25" s="1"/>
      <c r="L25" s="7"/>
      <c r="M25" s="1"/>
    </row>
    <row r="26" spans="1:13" x14ac:dyDescent="0.25">
      <c r="A26" s="1"/>
      <c r="B26" s="1"/>
      <c r="C26" s="1"/>
      <c r="D26" s="1"/>
      <c r="E26" s="1"/>
      <c r="F26" s="1"/>
      <c r="G26" s="1"/>
      <c r="H26" s="1"/>
      <c r="I26" s="1"/>
      <c r="J26" s="7"/>
      <c r="K26" s="1"/>
      <c r="L26" s="7"/>
      <c r="M26" s="1"/>
    </row>
    <row r="27" spans="1:13" x14ac:dyDescent="0.25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  <c r="L27" s="7"/>
      <c r="M27" s="1"/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1283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41</v>
      </c>
      <c r="B4" s="1" t="s">
        <v>1284</v>
      </c>
      <c r="C4" s="1" t="s">
        <v>1285</v>
      </c>
      <c r="D4" s="1" t="s">
        <v>44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0</v>
      </c>
      <c r="K4" s="1">
        <v>1</v>
      </c>
      <c r="L4" s="7">
        <v>0</v>
      </c>
      <c r="M4" s="1" t="s">
        <v>78</v>
      </c>
      <c r="P4" s="1" t="str">
        <f>Setup!$A$4</f>
        <v>Expert 01</v>
      </c>
      <c r="Q4" s="1">
        <f t="shared" ref="Q4:Q15" si="0">SUMIF($A$4:$A$43,$P4,E$4:E$43)</f>
        <v>5</v>
      </c>
      <c r="R4" s="1">
        <f t="shared" ref="R4:R15" si="1">SUMIF($A$4:$A$43,$P4,F$4:F$43)</f>
        <v>1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7</v>
      </c>
      <c r="X4" s="7">
        <f t="shared" ref="X4:X15" si="7">SUMIF($A$4:$A$43,$P4,L$4:L$43)</f>
        <v>688.6099999999999</v>
      </c>
    </row>
    <row r="5" spans="1:24" x14ac:dyDescent="0.25">
      <c r="A5" s="1" t="s">
        <v>35</v>
      </c>
      <c r="B5" s="1" t="s">
        <v>1286</v>
      </c>
      <c r="C5" s="1" t="s">
        <v>1287</v>
      </c>
      <c r="D5" s="1" t="s">
        <v>61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1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0</v>
      </c>
      <c r="W5" s="1">
        <f t="shared" si="6"/>
        <v>2</v>
      </c>
      <c r="X5" s="7">
        <f t="shared" si="7"/>
        <v>0</v>
      </c>
    </row>
    <row r="6" spans="1:24" x14ac:dyDescent="0.25">
      <c r="A6" s="1" t="s">
        <v>49</v>
      </c>
      <c r="B6" s="1" t="s">
        <v>1288</v>
      </c>
      <c r="C6" s="1" t="s">
        <v>1289</v>
      </c>
      <c r="D6" s="1" t="s">
        <v>67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24</v>
      </c>
      <c r="K6" s="1">
        <v>0</v>
      </c>
      <c r="L6" s="7">
        <v>120.5</v>
      </c>
      <c r="M6" s="1" t="s">
        <v>78</v>
      </c>
      <c r="P6" s="1" t="str">
        <f>Setup!$A$6</f>
        <v>Expert 03</v>
      </c>
      <c r="Q6" s="1">
        <f t="shared" si="0"/>
        <v>3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48</v>
      </c>
      <c r="W6" s="1">
        <f t="shared" si="6"/>
        <v>3</v>
      </c>
      <c r="X6" s="7">
        <f t="shared" si="7"/>
        <v>154.05000000000001</v>
      </c>
    </row>
    <row r="7" spans="1:24" x14ac:dyDescent="0.25">
      <c r="A7" s="1" t="s">
        <v>37</v>
      </c>
      <c r="B7" s="1" t="s">
        <v>1290</v>
      </c>
      <c r="C7" s="1" t="s">
        <v>1291</v>
      </c>
      <c r="D7" s="1" t="s">
        <v>36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15</v>
      </c>
      <c r="K7" s="1">
        <v>1</v>
      </c>
      <c r="L7" s="7">
        <v>154.05000000000001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0</v>
      </c>
      <c r="S7" s="1">
        <f t="shared" si="2"/>
        <v>0</v>
      </c>
      <c r="T7" s="1">
        <f t="shared" si="3"/>
        <v>1</v>
      </c>
      <c r="U7" s="1">
        <f t="shared" si="4"/>
        <v>0</v>
      </c>
      <c r="V7" s="7">
        <f t="shared" si="5"/>
        <v>24</v>
      </c>
      <c r="W7" s="1">
        <f t="shared" si="6"/>
        <v>1</v>
      </c>
      <c r="X7" s="7">
        <f t="shared" si="7"/>
        <v>0</v>
      </c>
    </row>
    <row r="8" spans="1:24" x14ac:dyDescent="0.25">
      <c r="A8" s="1" t="s">
        <v>43</v>
      </c>
      <c r="B8" s="1" t="s">
        <v>1292</v>
      </c>
      <c r="C8" s="1" t="s">
        <v>1293</v>
      </c>
      <c r="D8" s="1" t="s">
        <v>44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7">
        <v>15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1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15</v>
      </c>
      <c r="W8" s="1">
        <f t="shared" si="6"/>
        <v>3</v>
      </c>
      <c r="X8" s="7">
        <f t="shared" si="7"/>
        <v>14.46</v>
      </c>
    </row>
    <row r="9" spans="1:24" x14ac:dyDescent="0.25">
      <c r="A9" s="1" t="s">
        <v>55</v>
      </c>
      <c r="B9" s="1" t="s">
        <v>1294</v>
      </c>
      <c r="C9" s="1" t="s">
        <v>1295</v>
      </c>
      <c r="D9" s="1" t="s">
        <v>64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33</v>
      </c>
      <c r="K9" s="1">
        <v>1</v>
      </c>
      <c r="L9" s="7">
        <v>172.02</v>
      </c>
      <c r="M9" s="1" t="s">
        <v>78</v>
      </c>
      <c r="P9" s="1" t="str">
        <f>Setup!$A$9</f>
        <v>Expert 06</v>
      </c>
      <c r="Q9" s="1">
        <f t="shared" si="0"/>
        <v>2</v>
      </c>
      <c r="R9" s="1">
        <f t="shared" si="1"/>
        <v>1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15</v>
      </c>
      <c r="W9" s="1">
        <f t="shared" si="6"/>
        <v>3</v>
      </c>
      <c r="X9" s="7">
        <f t="shared" si="7"/>
        <v>0</v>
      </c>
    </row>
    <row r="10" spans="1:24" x14ac:dyDescent="0.25">
      <c r="A10" s="1" t="s">
        <v>35</v>
      </c>
      <c r="B10" s="1" t="s">
        <v>1296</v>
      </c>
      <c r="C10" s="1" t="s">
        <v>1297</v>
      </c>
      <c r="D10" s="1" t="s">
        <v>34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0</v>
      </c>
      <c r="M10" s="1" t="s">
        <v>78</v>
      </c>
      <c r="P10" s="1" t="str">
        <f>Setup!$A$10</f>
        <v>Expert 07</v>
      </c>
      <c r="Q10" s="1">
        <f t="shared" si="0"/>
        <v>0</v>
      </c>
      <c r="R10" s="1">
        <f t="shared" si="1"/>
        <v>0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0</v>
      </c>
      <c r="W10" s="1">
        <f t="shared" si="6"/>
        <v>0</v>
      </c>
      <c r="X10" s="7">
        <f t="shared" si="7"/>
        <v>0</v>
      </c>
    </row>
    <row r="11" spans="1:24" x14ac:dyDescent="0.25">
      <c r="A11" s="1" t="s">
        <v>41</v>
      </c>
      <c r="B11" s="1" t="s">
        <v>1298</v>
      </c>
      <c r="C11" s="1" t="s">
        <v>1299</v>
      </c>
      <c r="D11" s="1" t="s">
        <v>42</v>
      </c>
      <c r="E11" s="1">
        <v>0</v>
      </c>
      <c r="F11" s="1">
        <v>1</v>
      </c>
      <c r="G11" s="1">
        <v>0</v>
      </c>
      <c r="H11" s="1">
        <v>0</v>
      </c>
      <c r="I11" s="1">
        <v>0</v>
      </c>
      <c r="J11" s="7">
        <v>15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0</v>
      </c>
      <c r="W11" s="1">
        <f t="shared" si="6"/>
        <v>1</v>
      </c>
      <c r="X11" s="7">
        <f t="shared" si="7"/>
        <v>77.349999999999994</v>
      </c>
    </row>
    <row r="12" spans="1:24" x14ac:dyDescent="0.25">
      <c r="A12" s="1" t="s">
        <v>33</v>
      </c>
      <c r="B12" s="1" t="s">
        <v>231</v>
      </c>
      <c r="C12" s="1" t="s">
        <v>1300</v>
      </c>
      <c r="D12" s="1" t="s">
        <v>63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105.51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2</v>
      </c>
      <c r="S12" s="1">
        <f t="shared" si="2"/>
        <v>0</v>
      </c>
      <c r="T12" s="1">
        <f t="shared" si="3"/>
        <v>0</v>
      </c>
      <c r="U12" s="1">
        <f t="shared" si="4"/>
        <v>1</v>
      </c>
      <c r="V12" s="7">
        <f t="shared" si="5"/>
        <v>39</v>
      </c>
      <c r="W12" s="1">
        <f t="shared" si="6"/>
        <v>0</v>
      </c>
      <c r="X12" s="7">
        <f t="shared" si="7"/>
        <v>125.44</v>
      </c>
    </row>
    <row r="13" spans="1:24" x14ac:dyDescent="0.25">
      <c r="A13" s="1" t="s">
        <v>49</v>
      </c>
      <c r="B13" s="1" t="s">
        <v>1301</v>
      </c>
      <c r="C13" s="1" t="s">
        <v>1302</v>
      </c>
      <c r="D13" s="1" t="s">
        <v>69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7">
        <v>0</v>
      </c>
      <c r="K13" s="1">
        <v>0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18</v>
      </c>
      <c r="W13" s="1">
        <f t="shared" si="6"/>
        <v>1</v>
      </c>
      <c r="X13" s="7">
        <f t="shared" si="7"/>
        <v>161.5</v>
      </c>
    </row>
    <row r="14" spans="1:24" x14ac:dyDescent="0.25">
      <c r="A14" s="1" t="s">
        <v>33</v>
      </c>
      <c r="B14" s="1" t="s">
        <v>1303</v>
      </c>
      <c r="C14" s="1" t="s">
        <v>1304</v>
      </c>
      <c r="D14" s="1" t="s">
        <v>50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177.22</v>
      </c>
      <c r="M14" s="1" t="s">
        <v>78</v>
      </c>
      <c r="P14" s="1" t="str">
        <f>Setup!$A$14</f>
        <v>Expert 11</v>
      </c>
      <c r="Q14" s="1">
        <f t="shared" si="0"/>
        <v>1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15</v>
      </c>
      <c r="W14" s="1">
        <f t="shared" si="6"/>
        <v>1</v>
      </c>
      <c r="X14" s="7">
        <f t="shared" si="7"/>
        <v>131.71</v>
      </c>
    </row>
    <row r="15" spans="1:24" x14ac:dyDescent="0.25">
      <c r="A15" s="1" t="s">
        <v>49</v>
      </c>
      <c r="B15" s="1" t="s">
        <v>1305</v>
      </c>
      <c r="C15" s="1" t="s">
        <v>1306</v>
      </c>
      <c r="D15" s="1" t="s">
        <v>66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7">
        <v>15</v>
      </c>
      <c r="K15" s="1">
        <v>0</v>
      </c>
      <c r="L15" s="7">
        <v>4.9400000000000004</v>
      </c>
      <c r="M15" s="1" t="s">
        <v>78</v>
      </c>
      <c r="P15" s="1" t="str">
        <f>Setup!$A$15</f>
        <v>Expert 12</v>
      </c>
      <c r="Q15" s="1">
        <f t="shared" si="0"/>
        <v>2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33</v>
      </c>
      <c r="W15" s="1">
        <f t="shared" si="6"/>
        <v>2</v>
      </c>
      <c r="X15" s="7">
        <f t="shared" si="7"/>
        <v>332.33000000000004</v>
      </c>
    </row>
    <row r="16" spans="1:24" x14ac:dyDescent="0.25">
      <c r="A16" s="1" t="s">
        <v>33</v>
      </c>
      <c r="B16" s="1" t="s">
        <v>1307</v>
      </c>
      <c r="C16" s="1" t="s">
        <v>1308</v>
      </c>
      <c r="D16" s="1" t="s">
        <v>34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19</v>
      </c>
      <c r="R16" s="9">
        <f t="shared" si="8"/>
        <v>5</v>
      </c>
      <c r="S16" s="9">
        <f t="shared" si="8"/>
        <v>0</v>
      </c>
      <c r="T16" s="9">
        <f t="shared" si="8"/>
        <v>1</v>
      </c>
      <c r="U16" s="9">
        <f t="shared" si="8"/>
        <v>1</v>
      </c>
      <c r="V16" s="10">
        <f t="shared" si="8"/>
        <v>207</v>
      </c>
      <c r="W16" s="9">
        <f t="shared" si="8"/>
        <v>24</v>
      </c>
      <c r="X16" s="10">
        <f t="shared" si="8"/>
        <v>1685.4499999999998</v>
      </c>
    </row>
    <row r="17" spans="1:13" x14ac:dyDescent="0.25">
      <c r="A17" s="1" t="s">
        <v>53</v>
      </c>
      <c r="B17" s="1" t="s">
        <v>1309</v>
      </c>
      <c r="C17" s="1" t="s">
        <v>1310</v>
      </c>
      <c r="D17" s="1" t="s">
        <v>52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15</v>
      </c>
      <c r="K17" s="1">
        <v>1</v>
      </c>
      <c r="L17" s="7">
        <v>131.71</v>
      </c>
      <c r="M17" s="1" t="s">
        <v>78</v>
      </c>
    </row>
    <row r="18" spans="1:13" x14ac:dyDescent="0.25">
      <c r="A18" s="1" t="s">
        <v>33</v>
      </c>
      <c r="B18" s="1" t="s">
        <v>1311</v>
      </c>
      <c r="C18" s="1" t="s">
        <v>1312</v>
      </c>
      <c r="D18" s="1" t="s">
        <v>60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33</v>
      </c>
      <c r="B19" s="1" t="s">
        <v>750</v>
      </c>
      <c r="C19" s="1" t="s">
        <v>1313</v>
      </c>
      <c r="D19" s="1" t="s">
        <v>54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125.27</v>
      </c>
      <c r="M19" s="1" t="s">
        <v>83</v>
      </c>
    </row>
    <row r="20" spans="1:13" x14ac:dyDescent="0.25">
      <c r="A20" s="1" t="s">
        <v>55</v>
      </c>
      <c r="B20" s="1" t="s">
        <v>1314</v>
      </c>
      <c r="C20" s="1" t="s">
        <v>1315</v>
      </c>
      <c r="D20" s="1" t="s">
        <v>63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0</v>
      </c>
      <c r="K20" s="1">
        <v>1</v>
      </c>
      <c r="L20" s="7">
        <v>160.31</v>
      </c>
      <c r="M20" s="1" t="s">
        <v>78</v>
      </c>
    </row>
    <row r="21" spans="1:13" x14ac:dyDescent="0.25">
      <c r="A21" s="1" t="s">
        <v>47</v>
      </c>
      <c r="B21" s="1" t="s">
        <v>1316</v>
      </c>
      <c r="C21" s="1" t="s">
        <v>1317</v>
      </c>
      <c r="D21" s="1" t="s">
        <v>38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77.349999999999994</v>
      </c>
      <c r="M21" s="1" t="s">
        <v>78</v>
      </c>
    </row>
    <row r="22" spans="1:13" x14ac:dyDescent="0.25">
      <c r="A22" s="1" t="s">
        <v>41</v>
      </c>
      <c r="B22" s="1" t="s">
        <v>1318</v>
      </c>
      <c r="C22" s="1" t="s">
        <v>1319</v>
      </c>
      <c r="D22" s="1" t="s">
        <v>60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14.46</v>
      </c>
      <c r="M22" s="1" t="s">
        <v>83</v>
      </c>
    </row>
    <row r="23" spans="1:13" x14ac:dyDescent="0.25">
      <c r="A23" s="1" t="s">
        <v>37</v>
      </c>
      <c r="B23" s="1" t="s">
        <v>1320</v>
      </c>
      <c r="C23" s="1" t="s">
        <v>1321</v>
      </c>
      <c r="D23" s="1" t="s">
        <v>56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18</v>
      </c>
      <c r="K23" s="1">
        <v>1</v>
      </c>
      <c r="L23" s="7">
        <v>0</v>
      </c>
      <c r="M23" s="1" t="s">
        <v>78</v>
      </c>
    </row>
    <row r="24" spans="1:13" x14ac:dyDescent="0.25">
      <c r="A24" s="1" t="s">
        <v>43</v>
      </c>
      <c r="B24" s="1" t="s">
        <v>609</v>
      </c>
      <c r="C24" s="1" t="s">
        <v>1322</v>
      </c>
      <c r="D24" s="1" t="s">
        <v>62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0</v>
      </c>
      <c r="M24" s="1" t="s">
        <v>78</v>
      </c>
    </row>
    <row r="25" spans="1:13" x14ac:dyDescent="0.25">
      <c r="A25" s="1" t="s">
        <v>37</v>
      </c>
      <c r="B25" s="1" t="s">
        <v>578</v>
      </c>
      <c r="C25" s="1" t="s">
        <v>1323</v>
      </c>
      <c r="D25" s="1" t="s">
        <v>44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15</v>
      </c>
      <c r="K25" s="1">
        <v>1</v>
      </c>
      <c r="L25" s="7">
        <v>0</v>
      </c>
      <c r="M25" s="1" t="s">
        <v>78</v>
      </c>
    </row>
    <row r="26" spans="1:13" x14ac:dyDescent="0.25">
      <c r="A26" s="1" t="s">
        <v>33</v>
      </c>
      <c r="B26" s="1" t="s">
        <v>1324</v>
      </c>
      <c r="C26" s="1" t="s">
        <v>1325</v>
      </c>
      <c r="D26" s="1" t="s">
        <v>46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145.54</v>
      </c>
      <c r="M26" s="1" t="s">
        <v>78</v>
      </c>
    </row>
    <row r="27" spans="1:13" x14ac:dyDescent="0.25">
      <c r="A27" s="1" t="s">
        <v>39</v>
      </c>
      <c r="B27" s="1" t="s">
        <v>1326</v>
      </c>
      <c r="C27" s="1" t="s">
        <v>1327</v>
      </c>
      <c r="D27" s="1" t="s">
        <v>65</v>
      </c>
      <c r="E27" s="1">
        <v>1</v>
      </c>
      <c r="F27" s="1">
        <v>0</v>
      </c>
      <c r="G27" s="1">
        <v>0</v>
      </c>
      <c r="H27" s="1">
        <v>1</v>
      </c>
      <c r="I27" s="1">
        <v>0</v>
      </c>
      <c r="J27" s="7">
        <v>24</v>
      </c>
      <c r="K27" s="1">
        <v>1</v>
      </c>
      <c r="L27" s="7">
        <v>0</v>
      </c>
      <c r="M27" s="1" t="s">
        <v>78</v>
      </c>
    </row>
    <row r="28" spans="1:13" x14ac:dyDescent="0.25">
      <c r="A28" s="1" t="s">
        <v>51</v>
      </c>
      <c r="B28" s="1" t="s">
        <v>1328</v>
      </c>
      <c r="C28" s="1" t="s">
        <v>1329</v>
      </c>
      <c r="D28" s="1" t="s">
        <v>34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18</v>
      </c>
      <c r="K28" s="1">
        <v>1</v>
      </c>
      <c r="L28" s="7">
        <v>161.5</v>
      </c>
      <c r="M28" s="1" t="s">
        <v>78</v>
      </c>
    </row>
    <row r="29" spans="1:13" x14ac:dyDescent="0.25">
      <c r="A29" s="1" t="s">
        <v>33</v>
      </c>
      <c r="B29" s="1" t="s">
        <v>1330</v>
      </c>
      <c r="C29" s="1" t="s">
        <v>1331</v>
      </c>
      <c r="D29" s="1" t="s">
        <v>63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7">
        <v>0</v>
      </c>
      <c r="K29" s="1">
        <v>1</v>
      </c>
      <c r="L29" s="7">
        <v>135.07</v>
      </c>
      <c r="M29" s="1" t="s">
        <v>78</v>
      </c>
    </row>
    <row r="30" spans="1:13" x14ac:dyDescent="0.25">
      <c r="A30" s="1" t="s">
        <v>43</v>
      </c>
      <c r="B30" s="1" t="s">
        <v>1332</v>
      </c>
      <c r="C30" s="1" t="s">
        <v>1333</v>
      </c>
      <c r="D30" s="1" t="s">
        <v>40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7">
        <v>0</v>
      </c>
      <c r="K30" s="1">
        <v>1</v>
      </c>
      <c r="L30" s="7">
        <v>0</v>
      </c>
      <c r="M30" s="1" t="s">
        <v>78</v>
      </c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1334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47</v>
      </c>
      <c r="B4" s="1" t="s">
        <v>1335</v>
      </c>
      <c r="C4" s="1" t="s">
        <v>1336</v>
      </c>
      <c r="D4" s="1" t="s">
        <v>42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7">
        <v>33</v>
      </c>
      <c r="K4" s="1">
        <v>1</v>
      </c>
      <c r="L4" s="7">
        <v>0</v>
      </c>
      <c r="M4" s="1" t="s">
        <v>83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2</v>
      </c>
      <c r="X4" s="7">
        <f t="shared" ref="X4:X15" si="7">SUMIF($A$4:$A$43,$P4,L$4:L$43)</f>
        <v>201.90000000000003</v>
      </c>
    </row>
    <row r="5" spans="1:24" x14ac:dyDescent="0.25">
      <c r="A5" s="1" t="s">
        <v>53</v>
      </c>
      <c r="B5" s="1" t="s">
        <v>1337</v>
      </c>
      <c r="C5" s="1" t="s">
        <v>1338</v>
      </c>
      <c r="D5" s="1" t="s">
        <v>64</v>
      </c>
      <c r="E5" s="1">
        <v>1</v>
      </c>
      <c r="F5" s="1">
        <v>0</v>
      </c>
      <c r="G5" s="1">
        <v>0</v>
      </c>
      <c r="H5" s="1">
        <v>1</v>
      </c>
      <c r="I5" s="1">
        <v>0</v>
      </c>
      <c r="J5" s="7">
        <v>33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2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18</v>
      </c>
      <c r="W5" s="1">
        <f t="shared" si="6"/>
        <v>3</v>
      </c>
      <c r="X5" s="7">
        <f t="shared" si="7"/>
        <v>5.03</v>
      </c>
    </row>
    <row r="6" spans="1:24" x14ac:dyDescent="0.25">
      <c r="A6" s="1" t="s">
        <v>41</v>
      </c>
      <c r="B6" s="1" t="s">
        <v>1339</v>
      </c>
      <c r="C6" s="1" t="s">
        <v>1340</v>
      </c>
      <c r="D6" s="1" t="s">
        <v>68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115.96</v>
      </c>
      <c r="M6" s="1" t="s">
        <v>78</v>
      </c>
      <c r="P6" s="1" t="str">
        <f>Setup!$A$6</f>
        <v>Expert 03</v>
      </c>
      <c r="Q6" s="1">
        <f t="shared" si="0"/>
        <v>0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1</v>
      </c>
      <c r="V6" s="7">
        <f t="shared" si="5"/>
        <v>15</v>
      </c>
      <c r="W6" s="1">
        <f t="shared" si="6"/>
        <v>0</v>
      </c>
      <c r="X6" s="7">
        <f t="shared" si="7"/>
        <v>75.63</v>
      </c>
    </row>
    <row r="7" spans="1:24" x14ac:dyDescent="0.25">
      <c r="A7" s="1" t="s">
        <v>45</v>
      </c>
      <c r="B7" s="1" t="s">
        <v>1341</v>
      </c>
      <c r="C7" s="1" t="s">
        <v>1342</v>
      </c>
      <c r="D7" s="1" t="s">
        <v>48</v>
      </c>
      <c r="E7" s="1">
        <v>0</v>
      </c>
      <c r="F7" s="1">
        <v>1</v>
      </c>
      <c r="G7" s="1">
        <v>0</v>
      </c>
      <c r="H7" s="1">
        <v>1</v>
      </c>
      <c r="I7" s="1">
        <v>0</v>
      </c>
      <c r="J7" s="7">
        <v>16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0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33</v>
      </c>
      <c r="W7" s="1">
        <f t="shared" si="6"/>
        <v>1</v>
      </c>
      <c r="X7" s="7">
        <f t="shared" si="7"/>
        <v>101.74</v>
      </c>
    </row>
    <row r="8" spans="1:24" x14ac:dyDescent="0.25">
      <c r="A8" s="1" t="s">
        <v>35</v>
      </c>
      <c r="B8" s="1" t="s">
        <v>1343</v>
      </c>
      <c r="C8" s="1" t="s">
        <v>1344</v>
      </c>
      <c r="D8" s="1" t="s">
        <v>50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7">
        <v>18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1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0</v>
      </c>
      <c r="W8" s="1">
        <f t="shared" si="6"/>
        <v>3</v>
      </c>
      <c r="X8" s="7">
        <f t="shared" si="7"/>
        <v>378</v>
      </c>
    </row>
    <row r="9" spans="1:24" x14ac:dyDescent="0.25">
      <c r="A9" s="1" t="s">
        <v>39</v>
      </c>
      <c r="B9" s="1" t="s">
        <v>1345</v>
      </c>
      <c r="C9" s="1" t="s">
        <v>1346</v>
      </c>
      <c r="D9" s="1" t="s">
        <v>56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7">
        <v>33</v>
      </c>
      <c r="K9" s="1">
        <v>1</v>
      </c>
      <c r="L9" s="7">
        <v>101.74</v>
      </c>
      <c r="M9" s="1" t="s">
        <v>78</v>
      </c>
      <c r="P9" s="1" t="str">
        <f>Setup!$A$9</f>
        <v>Expert 06</v>
      </c>
      <c r="Q9" s="1">
        <f t="shared" si="0"/>
        <v>0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1</v>
      </c>
      <c r="V9" s="7">
        <f t="shared" si="5"/>
        <v>24</v>
      </c>
      <c r="W9" s="1">
        <f t="shared" si="6"/>
        <v>0</v>
      </c>
      <c r="X9" s="7">
        <f t="shared" si="7"/>
        <v>55</v>
      </c>
    </row>
    <row r="10" spans="1:24" x14ac:dyDescent="0.25">
      <c r="A10" s="1" t="s">
        <v>33</v>
      </c>
      <c r="B10" s="1" t="s">
        <v>1347</v>
      </c>
      <c r="C10" s="1" t="s">
        <v>1348</v>
      </c>
      <c r="D10" s="1" t="s">
        <v>50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151.08000000000001</v>
      </c>
      <c r="M10" s="1" t="s">
        <v>78</v>
      </c>
      <c r="P10" s="1" t="str">
        <f>Setup!$A$10</f>
        <v>Expert 07</v>
      </c>
      <c r="Q10" s="1">
        <f t="shared" si="0"/>
        <v>0</v>
      </c>
      <c r="R10" s="1">
        <f t="shared" si="1"/>
        <v>1</v>
      </c>
      <c r="S10" s="1">
        <f t="shared" si="2"/>
        <v>0</v>
      </c>
      <c r="T10" s="1">
        <f t="shared" si="3"/>
        <v>1</v>
      </c>
      <c r="U10" s="1">
        <f t="shared" si="4"/>
        <v>0</v>
      </c>
      <c r="V10" s="7">
        <f t="shared" si="5"/>
        <v>16</v>
      </c>
      <c r="W10" s="1">
        <f t="shared" si="6"/>
        <v>1</v>
      </c>
      <c r="X10" s="7">
        <f t="shared" si="7"/>
        <v>0</v>
      </c>
    </row>
    <row r="11" spans="1:24" x14ac:dyDescent="0.25">
      <c r="A11" s="1" t="s">
        <v>41</v>
      </c>
      <c r="B11" s="1" t="s">
        <v>1349</v>
      </c>
      <c r="C11" s="1" t="s">
        <v>1350</v>
      </c>
      <c r="D11" s="1" t="s">
        <v>58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1</v>
      </c>
      <c r="L11" s="7">
        <v>111.51</v>
      </c>
      <c r="M11" s="1" t="s">
        <v>78</v>
      </c>
      <c r="P11" s="1" t="str">
        <f>Setup!$A$11</f>
        <v>Expert 08</v>
      </c>
      <c r="Q11" s="1">
        <f t="shared" si="0"/>
        <v>1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33</v>
      </c>
      <c r="W11" s="1">
        <f t="shared" si="6"/>
        <v>2</v>
      </c>
      <c r="X11" s="7">
        <f t="shared" si="7"/>
        <v>0</v>
      </c>
    </row>
    <row r="12" spans="1:24" x14ac:dyDescent="0.25">
      <c r="A12" s="1" t="s">
        <v>47</v>
      </c>
      <c r="B12" s="1" t="s">
        <v>1351</v>
      </c>
      <c r="C12" s="1" t="s">
        <v>1352</v>
      </c>
      <c r="D12" s="1" t="s">
        <v>38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0</v>
      </c>
      <c r="M12" s="1" t="s">
        <v>83</v>
      </c>
      <c r="P12" s="1" t="str">
        <f>Setup!$A$12</f>
        <v>Expert 09</v>
      </c>
      <c r="Q12" s="1">
        <f t="shared" si="0"/>
        <v>2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24</v>
      </c>
      <c r="W12" s="1">
        <f t="shared" si="6"/>
        <v>3</v>
      </c>
      <c r="X12" s="7">
        <f t="shared" si="7"/>
        <v>180.26</v>
      </c>
    </row>
    <row r="13" spans="1:24" x14ac:dyDescent="0.25">
      <c r="A13" s="1" t="s">
        <v>35</v>
      </c>
      <c r="B13" s="1" t="s">
        <v>1353</v>
      </c>
      <c r="C13" s="1" t="s">
        <v>1354</v>
      </c>
      <c r="D13" s="1" t="s">
        <v>36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0</v>
      </c>
      <c r="K13" s="1">
        <v>1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0</v>
      </c>
      <c r="R13" s="1">
        <f t="shared" si="1"/>
        <v>1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0</v>
      </c>
      <c r="W13" s="1">
        <f t="shared" si="6"/>
        <v>1</v>
      </c>
      <c r="X13" s="7">
        <f t="shared" si="7"/>
        <v>139.09</v>
      </c>
    </row>
    <row r="14" spans="1:24" x14ac:dyDescent="0.25">
      <c r="A14" s="1" t="s">
        <v>43</v>
      </c>
      <c r="B14" s="1" t="s">
        <v>1355</v>
      </c>
      <c r="C14" s="1" t="s">
        <v>1356</v>
      </c>
      <c r="D14" s="1" t="s">
        <v>66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7">
        <v>24</v>
      </c>
      <c r="K14" s="1">
        <v>0</v>
      </c>
      <c r="L14" s="7">
        <v>55</v>
      </c>
      <c r="M14" s="1" t="s">
        <v>78</v>
      </c>
      <c r="P14" s="1" t="str">
        <f>Setup!$A$14</f>
        <v>Expert 11</v>
      </c>
      <c r="Q14" s="1">
        <f t="shared" si="0"/>
        <v>2</v>
      </c>
      <c r="R14" s="1">
        <f t="shared" si="1"/>
        <v>0</v>
      </c>
      <c r="S14" s="1">
        <f t="shared" si="2"/>
        <v>0</v>
      </c>
      <c r="T14" s="1">
        <f t="shared" si="3"/>
        <v>2</v>
      </c>
      <c r="U14" s="1">
        <f t="shared" si="4"/>
        <v>0</v>
      </c>
      <c r="V14" s="7">
        <f t="shared" si="5"/>
        <v>33</v>
      </c>
      <c r="W14" s="1">
        <f t="shared" si="6"/>
        <v>3</v>
      </c>
      <c r="X14" s="7">
        <f t="shared" si="7"/>
        <v>0</v>
      </c>
    </row>
    <row r="15" spans="1:24" x14ac:dyDescent="0.25">
      <c r="A15" s="1" t="s">
        <v>37</v>
      </c>
      <c r="B15" s="1" t="s">
        <v>1357</v>
      </c>
      <c r="C15" s="1" t="s">
        <v>1358</v>
      </c>
      <c r="D15" s="1" t="s">
        <v>66</v>
      </c>
      <c r="E15" s="1">
        <v>0</v>
      </c>
      <c r="F15" s="1">
        <v>0</v>
      </c>
      <c r="G15" s="1">
        <v>0</v>
      </c>
      <c r="H15" s="1">
        <v>0</v>
      </c>
      <c r="I15" s="1">
        <v>1</v>
      </c>
      <c r="J15" s="7">
        <v>15</v>
      </c>
      <c r="K15" s="1">
        <v>0</v>
      </c>
      <c r="L15" s="7">
        <v>75.63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18</v>
      </c>
      <c r="W15" s="1">
        <f t="shared" si="6"/>
        <v>1</v>
      </c>
      <c r="X15" s="7">
        <f t="shared" si="7"/>
        <v>0</v>
      </c>
    </row>
    <row r="16" spans="1:24" x14ac:dyDescent="0.25">
      <c r="A16" s="1" t="s">
        <v>35</v>
      </c>
      <c r="B16" s="1" t="s">
        <v>1359</v>
      </c>
      <c r="C16" s="1" t="s">
        <v>1360</v>
      </c>
      <c r="D16" s="1" t="s">
        <v>63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5.03</v>
      </c>
      <c r="M16" s="1" t="s">
        <v>78</v>
      </c>
      <c r="P16" s="8" t="s">
        <v>103</v>
      </c>
      <c r="Q16" s="9">
        <f t="shared" ref="Q16:X16" si="8">SUM(Q4:Q15)</f>
        <v>11</v>
      </c>
      <c r="R16" s="9">
        <f t="shared" si="8"/>
        <v>3</v>
      </c>
      <c r="S16" s="9">
        <f t="shared" si="8"/>
        <v>0</v>
      </c>
      <c r="T16" s="9">
        <f t="shared" si="8"/>
        <v>3</v>
      </c>
      <c r="U16" s="9">
        <f t="shared" si="8"/>
        <v>2</v>
      </c>
      <c r="V16" s="10">
        <f t="shared" si="8"/>
        <v>214</v>
      </c>
      <c r="W16" s="9">
        <f t="shared" si="8"/>
        <v>20</v>
      </c>
      <c r="X16" s="10">
        <f t="shared" si="8"/>
        <v>1136.6500000000001</v>
      </c>
    </row>
    <row r="17" spans="1:13" x14ac:dyDescent="0.25">
      <c r="A17" s="1" t="s">
        <v>53</v>
      </c>
      <c r="B17" s="1" t="s">
        <v>1361</v>
      </c>
      <c r="C17" s="1" t="s">
        <v>1362</v>
      </c>
      <c r="D17" s="1" t="s">
        <v>44</v>
      </c>
      <c r="E17" s="1">
        <v>1</v>
      </c>
      <c r="F17" s="1">
        <v>0</v>
      </c>
      <c r="G17" s="1">
        <v>0</v>
      </c>
      <c r="H17" s="1">
        <v>1</v>
      </c>
      <c r="I17" s="1">
        <v>0</v>
      </c>
      <c r="J17" s="7">
        <v>0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51</v>
      </c>
      <c r="B18" s="1" t="s">
        <v>1363</v>
      </c>
      <c r="C18" s="1" t="s">
        <v>1364</v>
      </c>
      <c r="D18" s="1" t="s">
        <v>57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139.09</v>
      </c>
      <c r="M18" s="1" t="s">
        <v>78</v>
      </c>
    </row>
    <row r="19" spans="1:13" x14ac:dyDescent="0.25">
      <c r="A19" s="1" t="s">
        <v>33</v>
      </c>
      <c r="B19" s="1" t="s">
        <v>1365</v>
      </c>
      <c r="C19" s="1" t="s">
        <v>1366</v>
      </c>
      <c r="D19" s="1" t="s">
        <v>36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10.55</v>
      </c>
      <c r="M19" s="1" t="s">
        <v>78</v>
      </c>
    </row>
    <row r="20" spans="1:13" x14ac:dyDescent="0.25">
      <c r="A20" s="1" t="s">
        <v>55</v>
      </c>
      <c r="B20" s="1" t="s">
        <v>1367</v>
      </c>
      <c r="C20" s="1" t="s">
        <v>1368</v>
      </c>
      <c r="D20" s="1" t="s">
        <v>38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18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53</v>
      </c>
      <c r="B21" s="1" t="s">
        <v>1369</v>
      </c>
      <c r="C21" s="1" t="s">
        <v>1370</v>
      </c>
      <c r="D21" s="1" t="s">
        <v>38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33</v>
      </c>
      <c r="B22" s="1" t="s">
        <v>255</v>
      </c>
      <c r="C22" s="1" t="s">
        <v>1371</v>
      </c>
      <c r="D22" s="1" t="s">
        <v>67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0</v>
      </c>
      <c r="L22" s="7">
        <v>40.270000000000003</v>
      </c>
      <c r="M22" s="1" t="s">
        <v>78</v>
      </c>
    </row>
    <row r="23" spans="1:13" x14ac:dyDescent="0.25">
      <c r="A23" s="1" t="s">
        <v>49</v>
      </c>
      <c r="B23" s="1" t="s">
        <v>1372</v>
      </c>
      <c r="C23" s="1" t="s">
        <v>1373</v>
      </c>
      <c r="D23" s="1" t="s">
        <v>60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0</v>
      </c>
      <c r="M23" s="1" t="s">
        <v>78</v>
      </c>
    </row>
    <row r="24" spans="1:13" x14ac:dyDescent="0.25">
      <c r="A24" s="1" t="s">
        <v>49</v>
      </c>
      <c r="B24" s="1" t="s">
        <v>1374</v>
      </c>
      <c r="C24" s="1" t="s">
        <v>1375</v>
      </c>
      <c r="D24" s="1" t="s">
        <v>68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24.63</v>
      </c>
      <c r="M24" s="1" t="s">
        <v>78</v>
      </c>
    </row>
    <row r="25" spans="1:13" x14ac:dyDescent="0.25">
      <c r="A25" s="1" t="s">
        <v>49</v>
      </c>
      <c r="B25" s="1" t="s">
        <v>1376</v>
      </c>
      <c r="C25" s="1" t="s">
        <v>1377</v>
      </c>
      <c r="D25" s="1" t="s">
        <v>48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24</v>
      </c>
      <c r="K25" s="1">
        <v>1</v>
      </c>
      <c r="L25" s="7">
        <v>155.63</v>
      </c>
      <c r="M25" s="1" t="s">
        <v>78</v>
      </c>
    </row>
    <row r="26" spans="1:13" x14ac:dyDescent="0.25">
      <c r="A26" s="1" t="s">
        <v>41</v>
      </c>
      <c r="B26" s="1" t="s">
        <v>548</v>
      </c>
      <c r="C26" s="1" t="s">
        <v>1378</v>
      </c>
      <c r="D26" s="1" t="s">
        <v>42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150.53</v>
      </c>
      <c r="M26" s="1" t="s">
        <v>78</v>
      </c>
    </row>
    <row r="27" spans="1:13" x14ac:dyDescent="0.25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  <c r="L27" s="7"/>
      <c r="M27" s="1"/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1379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43</v>
      </c>
      <c r="B4" s="1" t="s">
        <v>1380</v>
      </c>
      <c r="C4" s="1" t="s">
        <v>1381</v>
      </c>
      <c r="D4" s="1" t="s">
        <v>50</v>
      </c>
      <c r="E4" s="1">
        <v>0</v>
      </c>
      <c r="F4" s="1">
        <v>1</v>
      </c>
      <c r="G4" s="1">
        <v>1</v>
      </c>
      <c r="H4" s="1">
        <v>0</v>
      </c>
      <c r="I4" s="1">
        <v>0</v>
      </c>
      <c r="J4" s="7">
        <v>15</v>
      </c>
      <c r="K4" s="1">
        <v>1</v>
      </c>
      <c r="L4" s="7">
        <v>13.37</v>
      </c>
      <c r="M4" s="1" t="s">
        <v>78</v>
      </c>
      <c r="P4" s="1" t="str">
        <f>Setup!$A$4</f>
        <v>Expert 01</v>
      </c>
      <c r="Q4" s="1">
        <f t="shared" ref="Q4:Q15" si="0">SUMIF($A$4:$A$43,$P4,E$4:E$43)</f>
        <v>1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15</v>
      </c>
      <c r="W4" s="1">
        <f t="shared" ref="W4:W15" si="6">SUMIF($A$4:$A$43,$P4,K$4:K$43)</f>
        <v>1</v>
      </c>
      <c r="X4" s="7">
        <f t="shared" ref="X4:X15" si="7">SUMIF($A$4:$A$43,$P4,L$4:L$43)</f>
        <v>0</v>
      </c>
    </row>
    <row r="5" spans="1:24" x14ac:dyDescent="0.25">
      <c r="A5" s="1" t="s">
        <v>49</v>
      </c>
      <c r="B5" s="1" t="s">
        <v>1382</v>
      </c>
      <c r="C5" s="1" t="s">
        <v>1383</v>
      </c>
      <c r="D5" s="1" t="s">
        <v>54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0</v>
      </c>
      <c r="K5" s="1">
        <v>1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0</v>
      </c>
      <c r="R5" s="1">
        <f t="shared" si="1"/>
        <v>1</v>
      </c>
      <c r="S5" s="1">
        <f t="shared" si="2"/>
        <v>1</v>
      </c>
      <c r="T5" s="1">
        <f t="shared" si="3"/>
        <v>1</v>
      </c>
      <c r="U5" s="1">
        <f t="shared" si="4"/>
        <v>0</v>
      </c>
      <c r="V5" s="7">
        <f t="shared" si="5"/>
        <v>32</v>
      </c>
      <c r="W5" s="1">
        <f t="shared" si="6"/>
        <v>2</v>
      </c>
      <c r="X5" s="7">
        <f t="shared" si="7"/>
        <v>121.59</v>
      </c>
    </row>
    <row r="6" spans="1:24" x14ac:dyDescent="0.25">
      <c r="A6" s="1" t="s">
        <v>49</v>
      </c>
      <c r="B6" s="1" t="s">
        <v>800</v>
      </c>
      <c r="C6" s="1" t="s">
        <v>1384</v>
      </c>
      <c r="D6" s="1" t="s">
        <v>62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72.680000000000007</v>
      </c>
      <c r="M6" s="1" t="s">
        <v>78</v>
      </c>
      <c r="P6" s="1" t="str">
        <f>Setup!$A$6</f>
        <v>Expert 03</v>
      </c>
      <c r="Q6" s="1">
        <f t="shared" si="0"/>
        <v>2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33</v>
      </c>
      <c r="W6" s="1">
        <f t="shared" si="6"/>
        <v>2</v>
      </c>
      <c r="X6" s="7">
        <f t="shared" si="7"/>
        <v>86.960000000000008</v>
      </c>
    </row>
    <row r="7" spans="1:24" x14ac:dyDescent="0.25">
      <c r="A7" s="1" t="s">
        <v>41</v>
      </c>
      <c r="B7" s="1" t="s">
        <v>1385</v>
      </c>
      <c r="C7" s="1" t="s">
        <v>1386</v>
      </c>
      <c r="D7" s="1" t="s">
        <v>40</v>
      </c>
      <c r="E7" s="1">
        <v>0</v>
      </c>
      <c r="F7" s="1">
        <v>1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0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1</v>
      </c>
      <c r="X7" s="7">
        <f t="shared" si="7"/>
        <v>53.01</v>
      </c>
    </row>
    <row r="8" spans="1:24" x14ac:dyDescent="0.25">
      <c r="A8" s="1" t="s">
        <v>43</v>
      </c>
      <c r="B8" s="1" t="s">
        <v>1387</v>
      </c>
      <c r="C8" s="1" t="s">
        <v>1388</v>
      </c>
      <c r="D8" s="1" t="s">
        <v>69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7">
        <v>24</v>
      </c>
      <c r="K8" s="1">
        <v>0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0</v>
      </c>
      <c r="R8" s="1">
        <f t="shared" si="1"/>
        <v>2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18</v>
      </c>
      <c r="W8" s="1">
        <f t="shared" si="6"/>
        <v>2</v>
      </c>
      <c r="X8" s="7">
        <f t="shared" si="7"/>
        <v>0</v>
      </c>
    </row>
    <row r="9" spans="1:24" x14ac:dyDescent="0.25">
      <c r="A9" s="1" t="s">
        <v>39</v>
      </c>
      <c r="B9" s="1" t="s">
        <v>1389</v>
      </c>
      <c r="C9" s="1" t="s">
        <v>1390</v>
      </c>
      <c r="D9" s="1" t="s">
        <v>40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53.01</v>
      </c>
      <c r="M9" s="1" t="s">
        <v>78</v>
      </c>
      <c r="P9" s="1" t="str">
        <f>Setup!$A$9</f>
        <v>Expert 06</v>
      </c>
      <c r="Q9" s="1">
        <f t="shared" si="0"/>
        <v>0</v>
      </c>
      <c r="R9" s="1">
        <f t="shared" si="1"/>
        <v>1</v>
      </c>
      <c r="S9" s="1">
        <f t="shared" si="2"/>
        <v>1</v>
      </c>
      <c r="T9" s="1">
        <f t="shared" si="3"/>
        <v>0</v>
      </c>
      <c r="U9" s="1">
        <f t="shared" si="4"/>
        <v>0</v>
      </c>
      <c r="V9" s="7">
        <f t="shared" si="5"/>
        <v>39</v>
      </c>
      <c r="W9" s="1">
        <f t="shared" si="6"/>
        <v>1</v>
      </c>
      <c r="X9" s="7">
        <f t="shared" si="7"/>
        <v>13.37</v>
      </c>
    </row>
    <row r="10" spans="1:24" x14ac:dyDescent="0.25">
      <c r="A10" s="1" t="s">
        <v>55</v>
      </c>
      <c r="B10" s="1" t="s">
        <v>1391</v>
      </c>
      <c r="C10" s="1" t="s">
        <v>1392</v>
      </c>
      <c r="D10" s="1" t="s">
        <v>52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7">
        <v>18</v>
      </c>
      <c r="K10" s="1">
        <v>1</v>
      </c>
      <c r="L10" s="7">
        <v>112.49</v>
      </c>
      <c r="M10" s="1" t="s">
        <v>78</v>
      </c>
      <c r="P10" s="1" t="str">
        <f>Setup!$A$10</f>
        <v>Expert 07</v>
      </c>
      <c r="Q10" s="1">
        <f t="shared" si="0"/>
        <v>2</v>
      </c>
      <c r="R10" s="1">
        <f t="shared" si="1"/>
        <v>1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15</v>
      </c>
      <c r="W10" s="1">
        <f t="shared" si="6"/>
        <v>3</v>
      </c>
      <c r="X10" s="7">
        <f t="shared" si="7"/>
        <v>53.18</v>
      </c>
    </row>
    <row r="11" spans="1:24" x14ac:dyDescent="0.25">
      <c r="A11" s="1" t="s">
        <v>49</v>
      </c>
      <c r="B11" s="1" t="s">
        <v>1393</v>
      </c>
      <c r="C11" s="1" t="s">
        <v>1394</v>
      </c>
      <c r="D11" s="1" t="s">
        <v>62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1</v>
      </c>
      <c r="L11" s="7">
        <v>134.24</v>
      </c>
      <c r="M11" s="1" t="s">
        <v>78</v>
      </c>
      <c r="P11" s="1" t="str">
        <f>Setup!$A$11</f>
        <v>Expert 08</v>
      </c>
      <c r="Q11" s="1">
        <f t="shared" si="0"/>
        <v>0</v>
      </c>
      <c r="R11" s="1">
        <f t="shared" si="1"/>
        <v>1</v>
      </c>
      <c r="S11" s="1">
        <f t="shared" si="2"/>
        <v>0</v>
      </c>
      <c r="T11" s="1">
        <f t="shared" si="3"/>
        <v>0</v>
      </c>
      <c r="U11" s="1">
        <f t="shared" si="4"/>
        <v>1</v>
      </c>
      <c r="V11" s="7">
        <f t="shared" si="5"/>
        <v>15</v>
      </c>
      <c r="W11" s="1">
        <f t="shared" si="6"/>
        <v>2</v>
      </c>
      <c r="X11" s="7">
        <f t="shared" si="7"/>
        <v>219.97</v>
      </c>
    </row>
    <row r="12" spans="1:24" x14ac:dyDescent="0.25">
      <c r="A12" s="1" t="s">
        <v>53</v>
      </c>
      <c r="B12" s="1" t="s">
        <v>1395</v>
      </c>
      <c r="C12" s="1" t="s">
        <v>1396</v>
      </c>
      <c r="D12" s="1" t="s">
        <v>57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16</v>
      </c>
      <c r="K12" s="1">
        <v>1</v>
      </c>
      <c r="L12" s="7">
        <v>137.88999999999999</v>
      </c>
      <c r="M12" s="1" t="s">
        <v>78</v>
      </c>
      <c r="P12" s="1" t="str">
        <f>Setup!$A$12</f>
        <v>Expert 09</v>
      </c>
      <c r="Q12" s="1">
        <f t="shared" si="0"/>
        <v>2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33</v>
      </c>
      <c r="W12" s="1">
        <f t="shared" si="6"/>
        <v>4</v>
      </c>
      <c r="X12" s="7">
        <f t="shared" si="7"/>
        <v>238.16000000000003</v>
      </c>
    </row>
    <row r="13" spans="1:24" x14ac:dyDescent="0.25">
      <c r="A13" s="1" t="s">
        <v>37</v>
      </c>
      <c r="B13" s="1" t="s">
        <v>1397</v>
      </c>
      <c r="C13" s="1" t="s">
        <v>1398</v>
      </c>
      <c r="D13" s="1" t="s">
        <v>60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33</v>
      </c>
      <c r="K13" s="1">
        <v>1</v>
      </c>
      <c r="L13" s="7">
        <v>34.68</v>
      </c>
      <c r="M13" s="1" t="s">
        <v>83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33</v>
      </c>
      <c r="W13" s="1">
        <f t="shared" si="6"/>
        <v>2</v>
      </c>
      <c r="X13" s="7">
        <f t="shared" si="7"/>
        <v>0</v>
      </c>
    </row>
    <row r="14" spans="1:24" x14ac:dyDescent="0.25">
      <c r="A14" s="1" t="s">
        <v>53</v>
      </c>
      <c r="B14" s="1" t="s">
        <v>1399</v>
      </c>
      <c r="C14" s="1" t="s">
        <v>1400</v>
      </c>
      <c r="D14" s="1" t="s">
        <v>63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7">
        <v>15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1</v>
      </c>
      <c r="R14" s="1">
        <f t="shared" si="1"/>
        <v>1</v>
      </c>
      <c r="S14" s="1">
        <f t="shared" si="2"/>
        <v>1</v>
      </c>
      <c r="T14" s="1">
        <f t="shared" si="3"/>
        <v>0</v>
      </c>
      <c r="U14" s="1">
        <f t="shared" si="4"/>
        <v>0</v>
      </c>
      <c r="V14" s="7">
        <f t="shared" si="5"/>
        <v>31</v>
      </c>
      <c r="W14" s="1">
        <f t="shared" si="6"/>
        <v>3</v>
      </c>
      <c r="X14" s="7">
        <f t="shared" si="7"/>
        <v>137.88999999999999</v>
      </c>
    </row>
    <row r="15" spans="1:24" x14ac:dyDescent="0.25">
      <c r="A15" s="1" t="s">
        <v>51</v>
      </c>
      <c r="B15" s="1" t="s">
        <v>1401</v>
      </c>
      <c r="C15" s="1" t="s">
        <v>1402</v>
      </c>
      <c r="D15" s="1" t="s">
        <v>64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7">
        <v>0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1</v>
      </c>
      <c r="V15" s="7">
        <f t="shared" si="5"/>
        <v>18</v>
      </c>
      <c r="W15" s="1">
        <f t="shared" si="6"/>
        <v>2</v>
      </c>
      <c r="X15" s="7">
        <f t="shared" si="7"/>
        <v>112.49</v>
      </c>
    </row>
    <row r="16" spans="1:24" x14ac:dyDescent="0.25">
      <c r="A16" s="1" t="s">
        <v>45</v>
      </c>
      <c r="B16" s="1" t="s">
        <v>1403</v>
      </c>
      <c r="C16" s="1" t="s">
        <v>1404</v>
      </c>
      <c r="D16" s="1" t="s">
        <v>69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7">
        <v>0</v>
      </c>
      <c r="K16" s="1">
        <v>0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11</v>
      </c>
      <c r="R16" s="9">
        <f t="shared" si="8"/>
        <v>7</v>
      </c>
      <c r="S16" s="9">
        <f t="shared" si="8"/>
        <v>3</v>
      </c>
      <c r="T16" s="9">
        <f t="shared" si="8"/>
        <v>1</v>
      </c>
      <c r="U16" s="9">
        <f t="shared" si="8"/>
        <v>2</v>
      </c>
      <c r="V16" s="10">
        <f t="shared" si="8"/>
        <v>282</v>
      </c>
      <c r="W16" s="9">
        <f t="shared" si="8"/>
        <v>25</v>
      </c>
      <c r="X16" s="10">
        <f t="shared" si="8"/>
        <v>1036.6199999999999</v>
      </c>
    </row>
    <row r="17" spans="1:13" x14ac:dyDescent="0.25">
      <c r="A17" s="1" t="s">
        <v>45</v>
      </c>
      <c r="B17" s="1" t="s">
        <v>1405</v>
      </c>
      <c r="C17" s="1" t="s">
        <v>1406</v>
      </c>
      <c r="D17" s="1" t="s">
        <v>48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0</v>
      </c>
      <c r="M17" s="1" t="s">
        <v>78</v>
      </c>
    </row>
    <row r="18" spans="1:13" x14ac:dyDescent="0.25">
      <c r="A18" s="1" t="s">
        <v>37</v>
      </c>
      <c r="B18" s="1" t="s">
        <v>1407</v>
      </c>
      <c r="C18" s="1" t="s">
        <v>1408</v>
      </c>
      <c r="D18" s="1" t="s">
        <v>62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52.28</v>
      </c>
      <c r="M18" s="1" t="s">
        <v>78</v>
      </c>
    </row>
    <row r="19" spans="1:13" x14ac:dyDescent="0.25">
      <c r="A19" s="1" t="s">
        <v>53</v>
      </c>
      <c r="B19" s="1" t="s">
        <v>1409</v>
      </c>
      <c r="C19" s="1" t="s">
        <v>1410</v>
      </c>
      <c r="D19" s="1" t="s">
        <v>56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0</v>
      </c>
      <c r="M19" s="1" t="s">
        <v>78</v>
      </c>
    </row>
    <row r="20" spans="1:13" x14ac:dyDescent="0.25">
      <c r="A20" s="1" t="s">
        <v>45</v>
      </c>
      <c r="B20" s="1" t="s">
        <v>1411</v>
      </c>
      <c r="C20" s="1" t="s">
        <v>1412</v>
      </c>
      <c r="D20" s="1" t="s">
        <v>38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0</v>
      </c>
      <c r="K20" s="1">
        <v>1</v>
      </c>
      <c r="L20" s="7">
        <v>53.18</v>
      </c>
      <c r="M20" s="1" t="s">
        <v>78</v>
      </c>
    </row>
    <row r="21" spans="1:13" x14ac:dyDescent="0.25">
      <c r="A21" s="1" t="s">
        <v>45</v>
      </c>
      <c r="B21" s="1" t="s">
        <v>1413</v>
      </c>
      <c r="C21" s="1" t="s">
        <v>1414</v>
      </c>
      <c r="D21" s="1" t="s">
        <v>38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7">
        <v>15</v>
      </c>
      <c r="K21" s="1">
        <v>1</v>
      </c>
      <c r="L21" s="7">
        <v>0</v>
      </c>
      <c r="M21" s="1" t="s">
        <v>83</v>
      </c>
    </row>
    <row r="22" spans="1:13" x14ac:dyDescent="0.25">
      <c r="A22" s="1" t="s">
        <v>41</v>
      </c>
      <c r="B22" s="1" t="s">
        <v>1415</v>
      </c>
      <c r="C22" s="1" t="s">
        <v>1416</v>
      </c>
      <c r="D22" s="1" t="s">
        <v>63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7">
        <v>18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47</v>
      </c>
      <c r="B23" s="1" t="s">
        <v>231</v>
      </c>
      <c r="C23" s="1" t="s">
        <v>1417</v>
      </c>
      <c r="D23" s="1" t="s">
        <v>46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7">
        <v>0</v>
      </c>
      <c r="K23" s="1">
        <v>1</v>
      </c>
      <c r="L23" s="7">
        <v>173.25</v>
      </c>
      <c r="M23" s="1" t="s">
        <v>78</v>
      </c>
    </row>
    <row r="24" spans="1:13" x14ac:dyDescent="0.25">
      <c r="A24" s="1" t="s">
        <v>47</v>
      </c>
      <c r="B24" s="1" t="s">
        <v>1418</v>
      </c>
      <c r="C24" s="1" t="s">
        <v>1419</v>
      </c>
      <c r="D24" s="1" t="s">
        <v>48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7">
        <v>15</v>
      </c>
      <c r="K24" s="1">
        <v>1</v>
      </c>
      <c r="L24" s="7">
        <v>0</v>
      </c>
      <c r="M24" s="1" t="s">
        <v>78</v>
      </c>
    </row>
    <row r="25" spans="1:13" x14ac:dyDescent="0.25">
      <c r="A25" s="1" t="s">
        <v>55</v>
      </c>
      <c r="B25" s="1" t="s">
        <v>1420</v>
      </c>
      <c r="C25" s="1" t="s">
        <v>1421</v>
      </c>
      <c r="D25" s="1" t="s">
        <v>66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7">
        <v>0</v>
      </c>
      <c r="K25" s="1">
        <v>0</v>
      </c>
      <c r="L25" s="7">
        <v>0</v>
      </c>
      <c r="M25" s="1" t="s">
        <v>78</v>
      </c>
    </row>
    <row r="26" spans="1:13" x14ac:dyDescent="0.25">
      <c r="A26" s="1" t="s">
        <v>51</v>
      </c>
      <c r="B26" s="1" t="s">
        <v>1422</v>
      </c>
      <c r="C26" s="1" t="s">
        <v>1423</v>
      </c>
      <c r="D26" s="1" t="s">
        <v>46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33</v>
      </c>
      <c r="K26" s="1">
        <v>1</v>
      </c>
      <c r="L26" s="7">
        <v>0</v>
      </c>
      <c r="M26" s="1" t="s">
        <v>78</v>
      </c>
    </row>
    <row r="27" spans="1:13" x14ac:dyDescent="0.25">
      <c r="A27" s="1" t="s">
        <v>35</v>
      </c>
      <c r="B27" s="1" t="s">
        <v>1424</v>
      </c>
      <c r="C27" s="1" t="s">
        <v>1425</v>
      </c>
      <c r="D27" s="1" t="s">
        <v>60</v>
      </c>
      <c r="E27" s="1">
        <v>0</v>
      </c>
      <c r="F27" s="1">
        <v>1</v>
      </c>
      <c r="G27" s="1">
        <v>0</v>
      </c>
      <c r="H27" s="1">
        <v>1</v>
      </c>
      <c r="I27" s="1">
        <v>0</v>
      </c>
      <c r="J27" s="7">
        <v>16</v>
      </c>
      <c r="K27" s="1">
        <v>1</v>
      </c>
      <c r="L27" s="7">
        <v>0</v>
      </c>
      <c r="M27" s="1" t="s">
        <v>78</v>
      </c>
    </row>
    <row r="28" spans="1:13" x14ac:dyDescent="0.25">
      <c r="A28" s="1" t="s">
        <v>33</v>
      </c>
      <c r="B28" s="1" t="s">
        <v>1426</v>
      </c>
      <c r="C28" s="1" t="s">
        <v>1427</v>
      </c>
      <c r="D28" s="1" t="s">
        <v>46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15</v>
      </c>
      <c r="K28" s="1">
        <v>1</v>
      </c>
      <c r="L28" s="7">
        <v>0</v>
      </c>
      <c r="M28" s="1" t="s">
        <v>78</v>
      </c>
    </row>
    <row r="29" spans="1:13" x14ac:dyDescent="0.25">
      <c r="A29" s="1" t="s">
        <v>35</v>
      </c>
      <c r="B29" s="1" t="s">
        <v>1428</v>
      </c>
      <c r="C29" s="1" t="s">
        <v>1429</v>
      </c>
      <c r="D29" s="1" t="s">
        <v>56</v>
      </c>
      <c r="E29" s="1">
        <v>0</v>
      </c>
      <c r="F29" s="1">
        <v>0</v>
      </c>
      <c r="G29" s="1">
        <v>1</v>
      </c>
      <c r="H29" s="1">
        <v>0</v>
      </c>
      <c r="I29" s="1">
        <v>0</v>
      </c>
      <c r="J29" s="7">
        <v>16</v>
      </c>
      <c r="K29" s="1">
        <v>1</v>
      </c>
      <c r="L29" s="7">
        <v>121.59</v>
      </c>
      <c r="M29" s="1" t="s">
        <v>78</v>
      </c>
    </row>
    <row r="30" spans="1:13" x14ac:dyDescent="0.25">
      <c r="A30" s="1" t="s">
        <v>55</v>
      </c>
      <c r="B30" s="1" t="s">
        <v>1430</v>
      </c>
      <c r="C30" s="1" t="s">
        <v>1431</v>
      </c>
      <c r="D30" s="1" t="s">
        <v>38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7">
        <v>0</v>
      </c>
      <c r="K30" s="1">
        <v>1</v>
      </c>
      <c r="L30" s="7">
        <v>0</v>
      </c>
      <c r="M30" s="1" t="s">
        <v>78</v>
      </c>
    </row>
    <row r="31" spans="1:13" x14ac:dyDescent="0.25">
      <c r="A31" s="1" t="s">
        <v>47</v>
      </c>
      <c r="B31" s="1" t="s">
        <v>1432</v>
      </c>
      <c r="C31" s="1" t="s">
        <v>1433</v>
      </c>
      <c r="D31" s="1" t="s">
        <v>66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7">
        <v>0</v>
      </c>
      <c r="K31" s="1">
        <v>0</v>
      </c>
      <c r="L31" s="7">
        <v>46.72</v>
      </c>
      <c r="M31" s="1" t="s">
        <v>78</v>
      </c>
    </row>
    <row r="32" spans="1:13" x14ac:dyDescent="0.25">
      <c r="A32" s="1" t="s">
        <v>49</v>
      </c>
      <c r="B32" s="1" t="s">
        <v>1434</v>
      </c>
      <c r="C32" s="1" t="s">
        <v>1435</v>
      </c>
      <c r="D32" s="1" t="s">
        <v>68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7">
        <v>33</v>
      </c>
      <c r="K32" s="1">
        <v>1</v>
      </c>
      <c r="L32" s="7">
        <v>31.24</v>
      </c>
      <c r="M32" s="1" t="s">
        <v>78</v>
      </c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1436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51</v>
      </c>
      <c r="B4" s="1" t="s">
        <v>229</v>
      </c>
      <c r="C4" s="1" t="s">
        <v>1437</v>
      </c>
      <c r="D4" s="1" t="s">
        <v>52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0</v>
      </c>
      <c r="K4" s="1">
        <v>1</v>
      </c>
      <c r="L4" s="7">
        <v>62.6</v>
      </c>
      <c r="M4" s="1" t="s">
        <v>78</v>
      </c>
      <c r="P4" s="1" t="str">
        <f>Setup!$A$4</f>
        <v>Expert 01</v>
      </c>
      <c r="Q4" s="1">
        <f t="shared" ref="Q4:Q15" si="0">SUMIF($A$4:$A$43,$P4,E$4:E$43)</f>
        <v>1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33</v>
      </c>
      <c r="W4" s="1">
        <f t="shared" ref="W4:W15" si="6">SUMIF($A$4:$A$43,$P4,K$4:K$43)</f>
        <v>1</v>
      </c>
      <c r="X4" s="7">
        <f t="shared" ref="X4:X15" si="7">SUMIF($A$4:$A$43,$P4,L$4:L$43)</f>
        <v>0</v>
      </c>
    </row>
    <row r="5" spans="1:24" x14ac:dyDescent="0.25">
      <c r="A5" s="1" t="s">
        <v>47</v>
      </c>
      <c r="B5" s="1" t="s">
        <v>1438</v>
      </c>
      <c r="C5" s="1" t="s">
        <v>1439</v>
      </c>
      <c r="D5" s="1" t="s">
        <v>54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33</v>
      </c>
      <c r="K5" s="1">
        <v>1</v>
      </c>
      <c r="L5" s="7">
        <v>144.96</v>
      </c>
      <c r="M5" s="1" t="s">
        <v>78</v>
      </c>
      <c r="P5" s="1" t="str">
        <f>Setup!$A$5</f>
        <v>Expert 02</v>
      </c>
      <c r="Q5" s="1">
        <f t="shared" si="0"/>
        <v>1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0</v>
      </c>
      <c r="W5" s="1">
        <f t="shared" si="6"/>
        <v>1</v>
      </c>
      <c r="X5" s="7">
        <f t="shared" si="7"/>
        <v>0</v>
      </c>
    </row>
    <row r="6" spans="1:24" x14ac:dyDescent="0.25">
      <c r="A6" s="1" t="s">
        <v>55</v>
      </c>
      <c r="B6" s="1" t="s">
        <v>1440</v>
      </c>
      <c r="C6" s="1" t="s">
        <v>1441</v>
      </c>
      <c r="D6" s="1" t="s">
        <v>64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24</v>
      </c>
      <c r="K6" s="1">
        <v>1</v>
      </c>
      <c r="L6" s="7">
        <v>50.54</v>
      </c>
      <c r="M6" s="1" t="s">
        <v>78</v>
      </c>
      <c r="P6" s="1" t="str">
        <f>Setup!$A$6</f>
        <v>Expert 03</v>
      </c>
      <c r="Q6" s="1">
        <f t="shared" si="0"/>
        <v>0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0</v>
      </c>
      <c r="X6" s="7">
        <f t="shared" si="7"/>
        <v>0</v>
      </c>
    </row>
    <row r="7" spans="1:24" x14ac:dyDescent="0.25">
      <c r="A7" s="1" t="s">
        <v>53</v>
      </c>
      <c r="B7" s="1" t="s">
        <v>1442</v>
      </c>
      <c r="C7" s="1" t="s">
        <v>1443</v>
      </c>
      <c r="D7" s="1" t="s">
        <v>63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7">
        <v>0</v>
      </c>
      <c r="K7" s="1">
        <v>1</v>
      </c>
      <c r="L7" s="7">
        <v>56.34</v>
      </c>
      <c r="M7" s="1" t="s">
        <v>78</v>
      </c>
      <c r="P7" s="1" t="str">
        <f>Setup!$A$7</f>
        <v>Expert 04</v>
      </c>
      <c r="Q7" s="1">
        <f t="shared" si="0"/>
        <v>0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18</v>
      </c>
      <c r="W7" s="1">
        <f t="shared" si="6"/>
        <v>0</v>
      </c>
      <c r="X7" s="7">
        <f t="shared" si="7"/>
        <v>0</v>
      </c>
    </row>
    <row r="8" spans="1:24" x14ac:dyDescent="0.25">
      <c r="A8" s="1" t="s">
        <v>51</v>
      </c>
      <c r="B8" s="1" t="s">
        <v>1444</v>
      </c>
      <c r="C8" s="1" t="s">
        <v>1445</v>
      </c>
      <c r="D8" s="1" t="s">
        <v>64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0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24</v>
      </c>
      <c r="W8" s="1">
        <f t="shared" si="6"/>
        <v>1</v>
      </c>
      <c r="X8" s="7">
        <f t="shared" si="7"/>
        <v>0</v>
      </c>
    </row>
    <row r="9" spans="1:24" x14ac:dyDescent="0.25">
      <c r="A9" s="1" t="s">
        <v>39</v>
      </c>
      <c r="B9" s="1" t="s">
        <v>540</v>
      </c>
      <c r="C9" s="1" t="s">
        <v>1446</v>
      </c>
      <c r="D9" s="1" t="s">
        <v>69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7">
        <v>18</v>
      </c>
      <c r="K9" s="1">
        <v>0</v>
      </c>
      <c r="L9" s="7">
        <v>0</v>
      </c>
      <c r="M9" s="1" t="s">
        <v>78</v>
      </c>
      <c r="P9" s="1" t="str">
        <f>Setup!$A$9</f>
        <v>Expert 06</v>
      </c>
      <c r="Q9" s="1">
        <f t="shared" si="0"/>
        <v>1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16</v>
      </c>
      <c r="W9" s="1">
        <f t="shared" si="6"/>
        <v>2</v>
      </c>
      <c r="X9" s="7">
        <f t="shared" si="7"/>
        <v>91.04</v>
      </c>
    </row>
    <row r="10" spans="1:24" x14ac:dyDescent="0.25">
      <c r="A10" s="1" t="s">
        <v>47</v>
      </c>
      <c r="B10" s="1" t="s">
        <v>1447</v>
      </c>
      <c r="C10" s="1" t="s">
        <v>1448</v>
      </c>
      <c r="D10" s="1" t="s">
        <v>54</v>
      </c>
      <c r="E10" s="1">
        <v>0</v>
      </c>
      <c r="F10" s="1">
        <v>1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20</v>
      </c>
      <c r="M10" s="1" t="s">
        <v>83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0</v>
      </c>
      <c r="T10" s="1">
        <f t="shared" si="3"/>
        <v>1</v>
      </c>
      <c r="U10" s="1">
        <f t="shared" si="4"/>
        <v>0</v>
      </c>
      <c r="V10" s="7">
        <f t="shared" si="5"/>
        <v>0</v>
      </c>
      <c r="W10" s="1">
        <f t="shared" si="6"/>
        <v>1</v>
      </c>
      <c r="X10" s="7">
        <f t="shared" si="7"/>
        <v>134.44999999999999</v>
      </c>
    </row>
    <row r="11" spans="1:24" x14ac:dyDescent="0.25">
      <c r="A11" s="1" t="s">
        <v>41</v>
      </c>
      <c r="B11" s="1" t="s">
        <v>1233</v>
      </c>
      <c r="C11" s="1" t="s">
        <v>1449</v>
      </c>
      <c r="D11" s="1" t="s">
        <v>38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24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2</v>
      </c>
      <c r="R11" s="1">
        <f t="shared" si="1"/>
        <v>1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48</v>
      </c>
      <c r="W11" s="1">
        <f t="shared" si="6"/>
        <v>2</v>
      </c>
      <c r="X11" s="7">
        <f t="shared" si="7"/>
        <v>251.8</v>
      </c>
    </row>
    <row r="12" spans="1:24" x14ac:dyDescent="0.25">
      <c r="A12" s="1" t="s">
        <v>51</v>
      </c>
      <c r="B12" s="1" t="s">
        <v>1450</v>
      </c>
      <c r="C12" s="1" t="s">
        <v>1451</v>
      </c>
      <c r="D12" s="1" t="s">
        <v>68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7">
        <v>24</v>
      </c>
      <c r="K12" s="1">
        <v>1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0</v>
      </c>
      <c r="R12" s="1">
        <f t="shared" si="1"/>
        <v>1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24</v>
      </c>
      <c r="W12" s="1">
        <f t="shared" si="6"/>
        <v>2</v>
      </c>
      <c r="X12" s="7">
        <f t="shared" si="7"/>
        <v>138.87</v>
      </c>
    </row>
    <row r="13" spans="1:24" x14ac:dyDescent="0.25">
      <c r="A13" s="1" t="s">
        <v>43</v>
      </c>
      <c r="B13" s="1" t="s">
        <v>1389</v>
      </c>
      <c r="C13" s="1" t="s">
        <v>1452</v>
      </c>
      <c r="D13" s="1" t="s">
        <v>57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16</v>
      </c>
      <c r="K13" s="1">
        <v>1</v>
      </c>
      <c r="L13" s="7">
        <v>0</v>
      </c>
      <c r="M13" s="1" t="s">
        <v>78</v>
      </c>
      <c r="P13" s="1" t="str">
        <f>Setup!$A$13</f>
        <v>Expert 10</v>
      </c>
      <c r="Q13" s="1">
        <f t="shared" si="0"/>
        <v>2</v>
      </c>
      <c r="R13" s="1">
        <f t="shared" si="1"/>
        <v>1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40</v>
      </c>
      <c r="W13" s="1">
        <f t="shared" si="6"/>
        <v>4</v>
      </c>
      <c r="X13" s="7">
        <f t="shared" si="7"/>
        <v>197.60999999999999</v>
      </c>
    </row>
    <row r="14" spans="1:24" x14ac:dyDescent="0.25">
      <c r="A14" s="1" t="s">
        <v>49</v>
      </c>
      <c r="B14" s="1" t="s">
        <v>1453</v>
      </c>
      <c r="C14" s="1" t="s">
        <v>1454</v>
      </c>
      <c r="D14" s="1" t="s">
        <v>68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119.6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0</v>
      </c>
      <c r="S14" s="1">
        <f t="shared" si="2"/>
        <v>0</v>
      </c>
      <c r="T14" s="1">
        <f t="shared" si="3"/>
        <v>1</v>
      </c>
      <c r="U14" s="1">
        <f t="shared" si="4"/>
        <v>0</v>
      </c>
      <c r="V14" s="7">
        <f t="shared" si="5"/>
        <v>0</v>
      </c>
      <c r="W14" s="1">
        <f t="shared" si="6"/>
        <v>1</v>
      </c>
      <c r="X14" s="7">
        <f t="shared" si="7"/>
        <v>56.34</v>
      </c>
    </row>
    <row r="15" spans="1:24" x14ac:dyDescent="0.25">
      <c r="A15" s="1" t="s">
        <v>55</v>
      </c>
      <c r="B15" s="1" t="s">
        <v>1455</v>
      </c>
      <c r="C15" s="1" t="s">
        <v>1456</v>
      </c>
      <c r="D15" s="1" t="s">
        <v>36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18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3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58</v>
      </c>
      <c r="W15" s="1">
        <f t="shared" si="6"/>
        <v>3</v>
      </c>
      <c r="X15" s="7">
        <f t="shared" si="7"/>
        <v>115.6</v>
      </c>
    </row>
    <row r="16" spans="1:24" x14ac:dyDescent="0.25">
      <c r="A16" s="1" t="s">
        <v>47</v>
      </c>
      <c r="B16" s="1" t="s">
        <v>1457</v>
      </c>
      <c r="C16" s="1" t="s">
        <v>1458</v>
      </c>
      <c r="D16" s="1" t="s">
        <v>67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15</v>
      </c>
      <c r="K16" s="1">
        <v>0</v>
      </c>
      <c r="L16" s="7">
        <v>86.84</v>
      </c>
      <c r="M16" s="1" t="s">
        <v>78</v>
      </c>
      <c r="P16" s="8" t="s">
        <v>103</v>
      </c>
      <c r="Q16" s="9">
        <f t="shared" ref="Q16:X16" si="8">SUM(Q4:Q15)</f>
        <v>12</v>
      </c>
      <c r="R16" s="9">
        <f t="shared" si="8"/>
        <v>3</v>
      </c>
      <c r="S16" s="9">
        <f t="shared" si="8"/>
        <v>0</v>
      </c>
      <c r="T16" s="9">
        <f t="shared" si="8"/>
        <v>2</v>
      </c>
      <c r="U16" s="9">
        <f t="shared" si="8"/>
        <v>0</v>
      </c>
      <c r="V16" s="10">
        <f t="shared" si="8"/>
        <v>261</v>
      </c>
      <c r="W16" s="9">
        <f t="shared" si="8"/>
        <v>18</v>
      </c>
      <c r="X16" s="10">
        <f t="shared" si="8"/>
        <v>985.71000000000015</v>
      </c>
    </row>
    <row r="17" spans="1:13" x14ac:dyDescent="0.25">
      <c r="A17" s="1" t="s">
        <v>43</v>
      </c>
      <c r="B17" s="1" t="s">
        <v>1459</v>
      </c>
      <c r="C17" s="1" t="s">
        <v>1460</v>
      </c>
      <c r="D17" s="1" t="s">
        <v>48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91.04</v>
      </c>
      <c r="M17" s="1" t="s">
        <v>83</v>
      </c>
    </row>
    <row r="18" spans="1:13" x14ac:dyDescent="0.25">
      <c r="A18" s="1" t="s">
        <v>55</v>
      </c>
      <c r="B18" s="1" t="s">
        <v>1461</v>
      </c>
      <c r="C18" s="1" t="s">
        <v>1462</v>
      </c>
      <c r="D18" s="1" t="s">
        <v>62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16</v>
      </c>
      <c r="K18" s="1">
        <v>1</v>
      </c>
      <c r="L18" s="7">
        <v>65.06</v>
      </c>
      <c r="M18" s="1" t="s">
        <v>78</v>
      </c>
    </row>
    <row r="19" spans="1:13" x14ac:dyDescent="0.25">
      <c r="A19" s="1" t="s">
        <v>45</v>
      </c>
      <c r="B19" s="1" t="s">
        <v>473</v>
      </c>
      <c r="C19" s="1" t="s">
        <v>1463</v>
      </c>
      <c r="D19" s="1" t="s">
        <v>68</v>
      </c>
      <c r="E19" s="1">
        <v>1</v>
      </c>
      <c r="F19" s="1">
        <v>0</v>
      </c>
      <c r="G19" s="1">
        <v>0</v>
      </c>
      <c r="H19" s="1">
        <v>1</v>
      </c>
      <c r="I19" s="1">
        <v>0</v>
      </c>
      <c r="J19" s="7">
        <v>0</v>
      </c>
      <c r="K19" s="1">
        <v>1</v>
      </c>
      <c r="L19" s="7">
        <v>134.44999999999999</v>
      </c>
      <c r="M19" s="1" t="s">
        <v>78</v>
      </c>
    </row>
    <row r="20" spans="1:13" x14ac:dyDescent="0.25">
      <c r="A20" s="1" t="s">
        <v>49</v>
      </c>
      <c r="B20" s="1" t="s">
        <v>1464</v>
      </c>
      <c r="C20" s="1" t="s">
        <v>1465</v>
      </c>
      <c r="D20" s="1" t="s">
        <v>56</v>
      </c>
      <c r="E20" s="1">
        <v>0</v>
      </c>
      <c r="F20" s="1">
        <v>1</v>
      </c>
      <c r="G20" s="1">
        <v>0</v>
      </c>
      <c r="H20" s="1">
        <v>0</v>
      </c>
      <c r="I20" s="1">
        <v>0</v>
      </c>
      <c r="J20" s="7">
        <v>24</v>
      </c>
      <c r="K20" s="1">
        <v>1</v>
      </c>
      <c r="L20" s="7">
        <v>19.27</v>
      </c>
      <c r="M20" s="1" t="s">
        <v>78</v>
      </c>
    </row>
    <row r="21" spans="1:13" x14ac:dyDescent="0.25">
      <c r="A21" s="1" t="s">
        <v>33</v>
      </c>
      <c r="B21" s="1" t="s">
        <v>1466</v>
      </c>
      <c r="C21" s="1" t="s">
        <v>1467</v>
      </c>
      <c r="D21" s="1" t="s">
        <v>38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33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35</v>
      </c>
      <c r="B22" s="1" t="s">
        <v>1118</v>
      </c>
      <c r="C22" s="1" t="s">
        <v>1468</v>
      </c>
      <c r="D22" s="1" t="s">
        <v>60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0</v>
      </c>
      <c r="K22" s="1">
        <v>1</v>
      </c>
      <c r="L22" s="7">
        <v>0</v>
      </c>
      <c r="M22" s="1" t="s">
        <v>83</v>
      </c>
    </row>
    <row r="23" spans="1:13" x14ac:dyDescent="0.25">
      <c r="A23" s="1" t="s">
        <v>51</v>
      </c>
      <c r="B23" s="1" t="s">
        <v>1469</v>
      </c>
      <c r="C23" s="1" t="s">
        <v>1470</v>
      </c>
      <c r="D23" s="1" t="s">
        <v>54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7">
        <v>16</v>
      </c>
      <c r="K23" s="1">
        <v>1</v>
      </c>
      <c r="L23" s="7">
        <v>135.01</v>
      </c>
      <c r="M23" s="1" t="s">
        <v>83</v>
      </c>
    </row>
    <row r="24" spans="1:13" x14ac:dyDescent="0.25">
      <c r="A24" s="1"/>
      <c r="B24" s="1"/>
      <c r="C24" s="1"/>
      <c r="D24" s="1"/>
      <c r="E24" s="1"/>
      <c r="F24" s="1"/>
      <c r="G24" s="1"/>
      <c r="H24" s="1"/>
      <c r="I24" s="1"/>
      <c r="J24" s="7"/>
      <c r="K24" s="1"/>
      <c r="L24" s="7"/>
      <c r="M24" s="1"/>
    </row>
    <row r="25" spans="1:13" x14ac:dyDescent="0.25">
      <c r="A25" s="1"/>
      <c r="B25" s="1"/>
      <c r="C25" s="1"/>
      <c r="D25" s="1"/>
      <c r="E25" s="1"/>
      <c r="F25" s="1"/>
      <c r="G25" s="1"/>
      <c r="H25" s="1"/>
      <c r="I25" s="1"/>
      <c r="J25" s="7"/>
      <c r="K25" s="1"/>
      <c r="L25" s="7"/>
      <c r="M25" s="1"/>
    </row>
    <row r="26" spans="1:13" x14ac:dyDescent="0.25">
      <c r="A26" s="1"/>
      <c r="B26" s="1"/>
      <c r="C26" s="1"/>
      <c r="D26" s="1"/>
      <c r="E26" s="1"/>
      <c r="F26" s="1"/>
      <c r="G26" s="1"/>
      <c r="H26" s="1"/>
      <c r="I26" s="1"/>
      <c r="J26" s="7"/>
      <c r="K26" s="1"/>
      <c r="L26" s="7"/>
      <c r="M26" s="1"/>
    </row>
    <row r="27" spans="1:13" x14ac:dyDescent="0.25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  <c r="L27" s="7"/>
      <c r="M27" s="1"/>
    </row>
    <row r="28" spans="1:13" x14ac:dyDescent="0.25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7"/>
      <c r="M28" s="1"/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1471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53</v>
      </c>
      <c r="B4" s="1" t="s">
        <v>1472</v>
      </c>
      <c r="C4" s="1" t="s">
        <v>1473</v>
      </c>
      <c r="D4" s="1" t="s">
        <v>69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7">
        <v>24</v>
      </c>
      <c r="K4" s="1">
        <v>0</v>
      </c>
      <c r="L4" s="7">
        <v>23.56</v>
      </c>
      <c r="M4" s="1" t="s">
        <v>78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1</v>
      </c>
      <c r="S4" s="1">
        <f t="shared" ref="S4:S15" si="2">SUMIF($A$4:$A$43,$P4,G$4:G$43)</f>
        <v>1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15</v>
      </c>
      <c r="W4" s="1">
        <f t="shared" ref="W4:W15" si="6">SUMIF($A$4:$A$43,$P4,K$4:K$43)</f>
        <v>3</v>
      </c>
      <c r="X4" s="7">
        <f t="shared" ref="X4:X15" si="7">SUMIF($A$4:$A$43,$P4,L$4:L$43)</f>
        <v>96.66</v>
      </c>
    </row>
    <row r="5" spans="1:24" x14ac:dyDescent="0.25">
      <c r="A5" s="1" t="s">
        <v>47</v>
      </c>
      <c r="B5" s="1" t="s">
        <v>1474</v>
      </c>
      <c r="C5" s="1" t="s">
        <v>1475</v>
      </c>
      <c r="D5" s="1" t="s">
        <v>66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7">
        <v>24</v>
      </c>
      <c r="K5" s="1">
        <v>0</v>
      </c>
      <c r="L5" s="7">
        <v>0</v>
      </c>
      <c r="M5" s="1" t="s">
        <v>78</v>
      </c>
      <c r="P5" s="1" t="str">
        <f>Setup!$A$5</f>
        <v>Expert 02</v>
      </c>
      <c r="Q5" s="1">
        <f t="shared" si="0"/>
        <v>2</v>
      </c>
      <c r="R5" s="1">
        <f t="shared" si="1"/>
        <v>0</v>
      </c>
      <c r="S5" s="1">
        <f t="shared" si="2"/>
        <v>1</v>
      </c>
      <c r="T5" s="1">
        <f t="shared" si="3"/>
        <v>0</v>
      </c>
      <c r="U5" s="1">
        <f t="shared" si="4"/>
        <v>0</v>
      </c>
      <c r="V5" s="7">
        <f t="shared" si="5"/>
        <v>36</v>
      </c>
      <c r="W5" s="1">
        <f t="shared" si="6"/>
        <v>1</v>
      </c>
      <c r="X5" s="7">
        <f t="shared" si="7"/>
        <v>167.95999999999998</v>
      </c>
    </row>
    <row r="6" spans="1:24" x14ac:dyDescent="0.25">
      <c r="A6" s="1" t="s">
        <v>33</v>
      </c>
      <c r="B6" s="1" t="s">
        <v>1438</v>
      </c>
      <c r="C6" s="1" t="s">
        <v>1476</v>
      </c>
      <c r="D6" s="1" t="s">
        <v>65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0</v>
      </c>
      <c r="M6" s="1" t="s">
        <v>83</v>
      </c>
      <c r="P6" s="1" t="str">
        <f>Setup!$A$6</f>
        <v>Expert 03</v>
      </c>
      <c r="Q6" s="1">
        <f t="shared" si="0"/>
        <v>0</v>
      </c>
      <c r="R6" s="1">
        <f t="shared" si="1"/>
        <v>0</v>
      </c>
      <c r="S6" s="1">
        <f t="shared" si="2"/>
        <v>1</v>
      </c>
      <c r="T6" s="1">
        <f t="shared" si="3"/>
        <v>0</v>
      </c>
      <c r="U6" s="1">
        <f t="shared" si="4"/>
        <v>1</v>
      </c>
      <c r="V6" s="7">
        <f t="shared" si="5"/>
        <v>30</v>
      </c>
      <c r="W6" s="1">
        <f t="shared" si="6"/>
        <v>2</v>
      </c>
      <c r="X6" s="7">
        <f t="shared" si="7"/>
        <v>150.81</v>
      </c>
    </row>
    <row r="7" spans="1:24" x14ac:dyDescent="0.25">
      <c r="A7" s="1" t="s">
        <v>35</v>
      </c>
      <c r="B7" s="1" t="s">
        <v>1477</v>
      </c>
      <c r="C7" s="1" t="s">
        <v>1478</v>
      </c>
      <c r="D7" s="1" t="s">
        <v>36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7">
        <v>18</v>
      </c>
      <c r="K7" s="1">
        <v>1</v>
      </c>
      <c r="L7" s="7">
        <v>94.86</v>
      </c>
      <c r="M7" s="1" t="s">
        <v>78</v>
      </c>
      <c r="P7" s="1" t="str">
        <f>Setup!$A$7</f>
        <v>Expert 04</v>
      </c>
      <c r="Q7" s="1">
        <f t="shared" si="0"/>
        <v>2</v>
      </c>
      <c r="R7" s="1">
        <f t="shared" si="1"/>
        <v>1</v>
      </c>
      <c r="S7" s="1">
        <f t="shared" si="2"/>
        <v>0</v>
      </c>
      <c r="T7" s="1">
        <f t="shared" si="3"/>
        <v>1</v>
      </c>
      <c r="U7" s="1">
        <f t="shared" si="4"/>
        <v>0</v>
      </c>
      <c r="V7" s="7">
        <f t="shared" si="5"/>
        <v>40</v>
      </c>
      <c r="W7" s="1">
        <f t="shared" si="6"/>
        <v>2</v>
      </c>
      <c r="X7" s="7">
        <f t="shared" si="7"/>
        <v>268.93</v>
      </c>
    </row>
    <row r="8" spans="1:24" x14ac:dyDescent="0.25">
      <c r="A8" s="1" t="s">
        <v>39</v>
      </c>
      <c r="B8" s="1" t="s">
        <v>1479</v>
      </c>
      <c r="C8" s="1" t="s">
        <v>1480</v>
      </c>
      <c r="D8" s="1" t="s">
        <v>40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0</v>
      </c>
      <c r="K8" s="1">
        <v>1</v>
      </c>
      <c r="L8" s="7">
        <v>63.02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0</v>
      </c>
      <c r="W8" s="1">
        <f t="shared" si="6"/>
        <v>1</v>
      </c>
      <c r="X8" s="7">
        <f t="shared" si="7"/>
        <v>0</v>
      </c>
    </row>
    <row r="9" spans="1:24" x14ac:dyDescent="0.25">
      <c r="A9" s="1" t="s">
        <v>55</v>
      </c>
      <c r="B9" s="1" t="s">
        <v>1481</v>
      </c>
      <c r="C9" s="1" t="s">
        <v>1482</v>
      </c>
      <c r="D9" s="1" t="s">
        <v>50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33</v>
      </c>
      <c r="K9" s="1">
        <v>1</v>
      </c>
      <c r="L9" s="7">
        <v>153.80000000000001</v>
      </c>
      <c r="M9" s="1" t="s">
        <v>78</v>
      </c>
      <c r="P9" s="1" t="str">
        <f>Setup!$A$9</f>
        <v>Expert 06</v>
      </c>
      <c r="Q9" s="1">
        <f t="shared" si="0"/>
        <v>2</v>
      </c>
      <c r="R9" s="1">
        <f t="shared" si="1"/>
        <v>0</v>
      </c>
      <c r="S9" s="1">
        <f t="shared" si="2"/>
        <v>0</v>
      </c>
      <c r="T9" s="1">
        <f t="shared" si="3"/>
        <v>1</v>
      </c>
      <c r="U9" s="1">
        <f t="shared" si="4"/>
        <v>0</v>
      </c>
      <c r="V9" s="7">
        <f t="shared" si="5"/>
        <v>24</v>
      </c>
      <c r="W9" s="1">
        <f t="shared" si="6"/>
        <v>2</v>
      </c>
      <c r="X9" s="7">
        <f t="shared" si="7"/>
        <v>157.29</v>
      </c>
    </row>
    <row r="10" spans="1:24" x14ac:dyDescent="0.25">
      <c r="A10" s="1" t="s">
        <v>51</v>
      </c>
      <c r="B10" s="1" t="s">
        <v>1483</v>
      </c>
      <c r="C10" s="1" t="s">
        <v>1484</v>
      </c>
      <c r="D10" s="1" t="s">
        <v>60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38.6</v>
      </c>
      <c r="M10" s="1" t="s">
        <v>78</v>
      </c>
      <c r="P10" s="1" t="str">
        <f>Setup!$A$10</f>
        <v>Expert 07</v>
      </c>
      <c r="Q10" s="1">
        <f t="shared" si="0"/>
        <v>0</v>
      </c>
      <c r="R10" s="1">
        <f t="shared" si="1"/>
        <v>1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39</v>
      </c>
      <c r="W10" s="1">
        <f t="shared" si="6"/>
        <v>2</v>
      </c>
      <c r="X10" s="7">
        <f t="shared" si="7"/>
        <v>13.73</v>
      </c>
    </row>
    <row r="11" spans="1:24" x14ac:dyDescent="0.25">
      <c r="A11" s="1" t="s">
        <v>41</v>
      </c>
      <c r="B11" s="1" t="s">
        <v>1485</v>
      </c>
      <c r="C11" s="1" t="s">
        <v>1486</v>
      </c>
      <c r="D11" s="1" t="s">
        <v>54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7">
        <v>0</v>
      </c>
      <c r="K11" s="1">
        <v>1</v>
      </c>
      <c r="L11" s="7">
        <v>0</v>
      </c>
      <c r="M11" s="1" t="s">
        <v>78</v>
      </c>
      <c r="P11" s="1" t="str">
        <f>Setup!$A$11</f>
        <v>Expert 08</v>
      </c>
      <c r="Q11" s="1">
        <f t="shared" si="0"/>
        <v>3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2</v>
      </c>
      <c r="V11" s="7">
        <f t="shared" si="5"/>
        <v>99</v>
      </c>
      <c r="W11" s="1">
        <f t="shared" si="6"/>
        <v>3</v>
      </c>
      <c r="X11" s="7">
        <f t="shared" si="7"/>
        <v>144.15</v>
      </c>
    </row>
    <row r="12" spans="1:24" x14ac:dyDescent="0.25">
      <c r="A12" s="1" t="s">
        <v>43</v>
      </c>
      <c r="B12" s="1" t="s">
        <v>1487</v>
      </c>
      <c r="C12" s="1" t="s">
        <v>1488</v>
      </c>
      <c r="D12" s="1" t="s">
        <v>44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22.19</v>
      </c>
      <c r="M12" s="1" t="s">
        <v>78</v>
      </c>
      <c r="P12" s="1" t="str">
        <f>Setup!$A$12</f>
        <v>Expert 09</v>
      </c>
      <c r="Q12" s="1">
        <f t="shared" si="0"/>
        <v>2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16</v>
      </c>
      <c r="W12" s="1">
        <f t="shared" si="6"/>
        <v>3</v>
      </c>
      <c r="X12" s="7">
        <f t="shared" si="7"/>
        <v>187.97</v>
      </c>
    </row>
    <row r="13" spans="1:24" x14ac:dyDescent="0.25">
      <c r="A13" s="1" t="s">
        <v>39</v>
      </c>
      <c r="B13" s="1" t="s">
        <v>1489</v>
      </c>
      <c r="C13" s="1" t="s">
        <v>1490</v>
      </c>
      <c r="D13" s="1" t="s">
        <v>69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7">
        <v>24</v>
      </c>
      <c r="K13" s="1">
        <v>0</v>
      </c>
      <c r="L13" s="7">
        <v>155.44999999999999</v>
      </c>
      <c r="M13" s="1" t="s">
        <v>78</v>
      </c>
      <c r="P13" s="1" t="str">
        <f>Setup!$A$13</f>
        <v>Expert 10</v>
      </c>
      <c r="Q13" s="1">
        <f t="shared" si="0"/>
        <v>5</v>
      </c>
      <c r="R13" s="1">
        <f t="shared" si="1"/>
        <v>0</v>
      </c>
      <c r="S13" s="1">
        <f t="shared" si="2"/>
        <v>0</v>
      </c>
      <c r="T13" s="1">
        <f t="shared" si="3"/>
        <v>1</v>
      </c>
      <c r="U13" s="1">
        <f t="shared" si="4"/>
        <v>1</v>
      </c>
      <c r="V13" s="7">
        <f t="shared" si="5"/>
        <v>15</v>
      </c>
      <c r="W13" s="1">
        <f t="shared" si="6"/>
        <v>5</v>
      </c>
      <c r="X13" s="7">
        <f t="shared" si="7"/>
        <v>170.73999999999998</v>
      </c>
    </row>
    <row r="14" spans="1:24" x14ac:dyDescent="0.25">
      <c r="A14" s="1" t="s">
        <v>37</v>
      </c>
      <c r="B14" s="1" t="s">
        <v>1491</v>
      </c>
      <c r="C14" s="1" t="s">
        <v>1492</v>
      </c>
      <c r="D14" s="1" t="s">
        <v>64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150.81</v>
      </c>
      <c r="M14" s="1" t="s">
        <v>78</v>
      </c>
      <c r="P14" s="1" t="str">
        <f>Setup!$A$14</f>
        <v>Expert 11</v>
      </c>
      <c r="Q14" s="1">
        <f t="shared" si="0"/>
        <v>0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24</v>
      </c>
      <c r="W14" s="1">
        <f t="shared" si="6"/>
        <v>0</v>
      </c>
      <c r="X14" s="7">
        <f t="shared" si="7"/>
        <v>23.56</v>
      </c>
    </row>
    <row r="15" spans="1:24" x14ac:dyDescent="0.25">
      <c r="A15" s="1" t="s">
        <v>55</v>
      </c>
      <c r="B15" s="1" t="s">
        <v>1493</v>
      </c>
      <c r="C15" s="1" t="s">
        <v>1494</v>
      </c>
      <c r="D15" s="1" t="s">
        <v>42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18</v>
      </c>
      <c r="K15" s="1">
        <v>1</v>
      </c>
      <c r="L15" s="7">
        <v>76.94</v>
      </c>
      <c r="M15" s="1" t="s">
        <v>78</v>
      </c>
      <c r="P15" s="1" t="str">
        <f>Setup!$A$15</f>
        <v>Expert 12</v>
      </c>
      <c r="Q15" s="1">
        <f t="shared" si="0"/>
        <v>2</v>
      </c>
      <c r="R15" s="1">
        <f t="shared" si="1"/>
        <v>0</v>
      </c>
      <c r="S15" s="1">
        <f t="shared" si="2"/>
        <v>0</v>
      </c>
      <c r="T15" s="1">
        <f t="shared" si="3"/>
        <v>1</v>
      </c>
      <c r="U15" s="1">
        <f t="shared" si="4"/>
        <v>0</v>
      </c>
      <c r="V15" s="7">
        <f t="shared" si="5"/>
        <v>51</v>
      </c>
      <c r="W15" s="1">
        <f t="shared" si="6"/>
        <v>3</v>
      </c>
      <c r="X15" s="7">
        <f t="shared" si="7"/>
        <v>230.74</v>
      </c>
    </row>
    <row r="16" spans="1:24" x14ac:dyDescent="0.25">
      <c r="A16" s="1" t="s">
        <v>47</v>
      </c>
      <c r="B16" s="1" t="s">
        <v>1495</v>
      </c>
      <c r="C16" s="1" t="s">
        <v>1496</v>
      </c>
      <c r="D16" s="1" t="s">
        <v>42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24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21</v>
      </c>
      <c r="R16" s="9">
        <f t="shared" si="8"/>
        <v>3</v>
      </c>
      <c r="S16" s="9">
        <f t="shared" si="8"/>
        <v>3</v>
      </c>
      <c r="T16" s="9">
        <f t="shared" si="8"/>
        <v>4</v>
      </c>
      <c r="U16" s="9">
        <f t="shared" si="8"/>
        <v>4</v>
      </c>
      <c r="V16" s="10">
        <f t="shared" si="8"/>
        <v>389</v>
      </c>
      <c r="W16" s="9">
        <f t="shared" si="8"/>
        <v>27</v>
      </c>
      <c r="X16" s="10">
        <f t="shared" si="8"/>
        <v>1612.54</v>
      </c>
    </row>
    <row r="17" spans="1:13" x14ac:dyDescent="0.25">
      <c r="A17" s="1" t="s">
        <v>37</v>
      </c>
      <c r="B17" s="1" t="s">
        <v>1497</v>
      </c>
      <c r="C17" s="1" t="s">
        <v>1498</v>
      </c>
      <c r="D17" s="1" t="s">
        <v>66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7">
        <v>15</v>
      </c>
      <c r="K17" s="1">
        <v>0</v>
      </c>
      <c r="L17" s="7">
        <v>0</v>
      </c>
      <c r="M17" s="1" t="s">
        <v>78</v>
      </c>
    </row>
    <row r="18" spans="1:13" x14ac:dyDescent="0.25">
      <c r="A18" s="1" t="s">
        <v>39</v>
      </c>
      <c r="B18" s="1" t="s">
        <v>1499</v>
      </c>
      <c r="C18" s="1" t="s">
        <v>1500</v>
      </c>
      <c r="D18" s="1" t="s">
        <v>60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7">
        <v>16</v>
      </c>
      <c r="K18" s="1">
        <v>1</v>
      </c>
      <c r="L18" s="7">
        <v>50.46</v>
      </c>
      <c r="M18" s="1" t="s">
        <v>78</v>
      </c>
    </row>
    <row r="19" spans="1:13" x14ac:dyDescent="0.25">
      <c r="A19" s="1" t="s">
        <v>49</v>
      </c>
      <c r="B19" s="1" t="s">
        <v>1501</v>
      </c>
      <c r="C19" s="1" t="s">
        <v>1502</v>
      </c>
      <c r="D19" s="1" t="s">
        <v>64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63.96</v>
      </c>
      <c r="M19" s="1" t="s">
        <v>78</v>
      </c>
    </row>
    <row r="20" spans="1:13" x14ac:dyDescent="0.25">
      <c r="A20" s="1" t="s">
        <v>55</v>
      </c>
      <c r="B20" s="1" t="s">
        <v>1070</v>
      </c>
      <c r="C20" s="1" t="s">
        <v>1503</v>
      </c>
      <c r="D20" s="1" t="s">
        <v>56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7">
        <v>0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51</v>
      </c>
      <c r="B21" s="1" t="s">
        <v>1504</v>
      </c>
      <c r="C21" s="1" t="s">
        <v>1505</v>
      </c>
      <c r="D21" s="1" t="s">
        <v>66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7">
        <v>0</v>
      </c>
      <c r="K21" s="1">
        <v>0</v>
      </c>
      <c r="L21" s="7">
        <v>132.13999999999999</v>
      </c>
      <c r="M21" s="1" t="s">
        <v>78</v>
      </c>
    </row>
    <row r="22" spans="1:13" x14ac:dyDescent="0.25">
      <c r="A22" s="1" t="s">
        <v>35</v>
      </c>
      <c r="B22" s="1" t="s">
        <v>1506</v>
      </c>
      <c r="C22" s="1" t="s">
        <v>1507</v>
      </c>
      <c r="D22" s="1" t="s">
        <v>67</v>
      </c>
      <c r="E22" s="1">
        <v>1</v>
      </c>
      <c r="F22" s="1">
        <v>0</v>
      </c>
      <c r="G22" s="1">
        <v>1</v>
      </c>
      <c r="H22" s="1">
        <v>0</v>
      </c>
      <c r="I22" s="1">
        <v>0</v>
      </c>
      <c r="J22" s="7">
        <v>18</v>
      </c>
      <c r="K22" s="1">
        <v>0</v>
      </c>
      <c r="L22" s="7">
        <v>73.099999999999994</v>
      </c>
      <c r="M22" s="1" t="s">
        <v>78</v>
      </c>
    </row>
    <row r="23" spans="1:13" x14ac:dyDescent="0.25">
      <c r="A23" s="1" t="s">
        <v>45</v>
      </c>
      <c r="B23" s="1" t="s">
        <v>1508</v>
      </c>
      <c r="C23" s="1" t="s">
        <v>1509</v>
      </c>
      <c r="D23" s="1" t="s">
        <v>34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7">
        <v>24</v>
      </c>
      <c r="K23" s="1">
        <v>1</v>
      </c>
      <c r="L23" s="7">
        <v>13.73</v>
      </c>
      <c r="M23" s="1" t="s">
        <v>78</v>
      </c>
    </row>
    <row r="24" spans="1:13" x14ac:dyDescent="0.25">
      <c r="A24" s="1" t="s">
        <v>43</v>
      </c>
      <c r="B24" s="1" t="s">
        <v>1510</v>
      </c>
      <c r="C24" s="1" t="s">
        <v>1511</v>
      </c>
      <c r="D24" s="1" t="s">
        <v>52</v>
      </c>
      <c r="E24" s="1">
        <v>1</v>
      </c>
      <c r="F24" s="1">
        <v>0</v>
      </c>
      <c r="G24" s="1">
        <v>0</v>
      </c>
      <c r="H24" s="1">
        <v>1</v>
      </c>
      <c r="I24" s="1">
        <v>0</v>
      </c>
      <c r="J24" s="7">
        <v>24</v>
      </c>
      <c r="K24" s="1">
        <v>1</v>
      </c>
      <c r="L24" s="7">
        <v>135.1</v>
      </c>
      <c r="M24" s="1" t="s">
        <v>78</v>
      </c>
    </row>
    <row r="25" spans="1:13" x14ac:dyDescent="0.25">
      <c r="A25" s="1" t="s">
        <v>51</v>
      </c>
      <c r="B25" s="1" t="s">
        <v>1512</v>
      </c>
      <c r="C25" s="1" t="s">
        <v>1513</v>
      </c>
      <c r="D25" s="1" t="s">
        <v>42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0</v>
      </c>
      <c r="K25" s="1">
        <v>1</v>
      </c>
      <c r="L25" s="7">
        <v>0</v>
      </c>
      <c r="M25" s="1" t="s">
        <v>78</v>
      </c>
    </row>
    <row r="26" spans="1:13" x14ac:dyDescent="0.25">
      <c r="A26" s="1" t="s">
        <v>47</v>
      </c>
      <c r="B26" s="1" t="s">
        <v>1514</v>
      </c>
      <c r="C26" s="1" t="s">
        <v>1515</v>
      </c>
      <c r="D26" s="1" t="s">
        <v>54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95.16</v>
      </c>
      <c r="M26" s="1" t="s">
        <v>78</v>
      </c>
    </row>
    <row r="27" spans="1:13" x14ac:dyDescent="0.25">
      <c r="A27" s="1" t="s">
        <v>51</v>
      </c>
      <c r="B27" s="1" t="s">
        <v>1516</v>
      </c>
      <c r="C27" s="1" t="s">
        <v>1517</v>
      </c>
      <c r="D27" s="1" t="s">
        <v>61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7">
        <v>0</v>
      </c>
      <c r="K27" s="1">
        <v>1</v>
      </c>
      <c r="L27" s="7">
        <v>0</v>
      </c>
      <c r="M27" s="1" t="s">
        <v>78</v>
      </c>
    </row>
    <row r="28" spans="1:13" x14ac:dyDescent="0.25">
      <c r="A28" s="1" t="s">
        <v>49</v>
      </c>
      <c r="B28" s="1" t="s">
        <v>247</v>
      </c>
      <c r="C28" s="1" t="s">
        <v>1518</v>
      </c>
      <c r="D28" s="1" t="s">
        <v>56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124.01</v>
      </c>
      <c r="M28" s="1" t="s">
        <v>78</v>
      </c>
    </row>
    <row r="29" spans="1:13" x14ac:dyDescent="0.25">
      <c r="A29" s="1" t="s">
        <v>47</v>
      </c>
      <c r="B29" s="1" t="s">
        <v>1519</v>
      </c>
      <c r="C29" s="1" t="s">
        <v>1520</v>
      </c>
      <c r="D29" s="1" t="s">
        <v>66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7">
        <v>33</v>
      </c>
      <c r="K29" s="1">
        <v>0</v>
      </c>
      <c r="L29" s="7">
        <v>0</v>
      </c>
      <c r="M29" s="1" t="s">
        <v>78</v>
      </c>
    </row>
    <row r="30" spans="1:13" x14ac:dyDescent="0.25">
      <c r="A30" s="1" t="s">
        <v>45</v>
      </c>
      <c r="B30" s="1" t="s">
        <v>1521</v>
      </c>
      <c r="C30" s="1" t="s">
        <v>1522</v>
      </c>
      <c r="D30" s="1" t="s">
        <v>40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7">
        <v>15</v>
      </c>
      <c r="K30" s="1">
        <v>1</v>
      </c>
      <c r="L30" s="7">
        <v>0</v>
      </c>
      <c r="M30" s="1" t="s">
        <v>78</v>
      </c>
    </row>
    <row r="31" spans="1:13" x14ac:dyDescent="0.25">
      <c r="A31" s="1" t="s">
        <v>51</v>
      </c>
      <c r="B31" s="1" t="s">
        <v>1523</v>
      </c>
      <c r="C31" s="1" t="s">
        <v>1524</v>
      </c>
      <c r="D31" s="1" t="s">
        <v>65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7">
        <v>15</v>
      </c>
      <c r="K31" s="1">
        <v>1</v>
      </c>
      <c r="L31" s="7">
        <v>0</v>
      </c>
      <c r="M31" s="1" t="s">
        <v>78</v>
      </c>
    </row>
    <row r="32" spans="1:13" x14ac:dyDescent="0.25">
      <c r="A32" s="1" t="s">
        <v>49</v>
      </c>
      <c r="B32" s="1" t="s">
        <v>1525</v>
      </c>
      <c r="C32" s="1" t="s">
        <v>1526</v>
      </c>
      <c r="D32" s="1" t="s">
        <v>60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7">
        <v>16</v>
      </c>
      <c r="K32" s="1">
        <v>1</v>
      </c>
      <c r="L32" s="7">
        <v>0</v>
      </c>
      <c r="M32" s="1" t="s">
        <v>78</v>
      </c>
    </row>
    <row r="33" spans="1:13" x14ac:dyDescent="0.25">
      <c r="A33" s="1" t="s">
        <v>51</v>
      </c>
      <c r="B33" s="1" t="s">
        <v>1527</v>
      </c>
      <c r="C33" s="1" t="s">
        <v>1528</v>
      </c>
      <c r="D33" s="1" t="s">
        <v>64</v>
      </c>
      <c r="E33" s="1">
        <v>1</v>
      </c>
      <c r="F33" s="1">
        <v>0</v>
      </c>
      <c r="G33" s="1">
        <v>0</v>
      </c>
      <c r="H33" s="1">
        <v>1</v>
      </c>
      <c r="I33" s="1">
        <v>0</v>
      </c>
      <c r="J33" s="7">
        <v>0</v>
      </c>
      <c r="K33" s="1">
        <v>1</v>
      </c>
      <c r="L33" s="7">
        <v>0</v>
      </c>
      <c r="M33" s="1" t="s">
        <v>78</v>
      </c>
    </row>
    <row r="34" spans="1:13" x14ac:dyDescent="0.25">
      <c r="A34" s="1" t="s">
        <v>33</v>
      </c>
      <c r="B34" s="1" t="s">
        <v>1529</v>
      </c>
      <c r="C34" s="1" t="s">
        <v>1530</v>
      </c>
      <c r="D34" s="1" t="s">
        <v>40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7">
        <v>15</v>
      </c>
      <c r="K34" s="1">
        <v>1</v>
      </c>
      <c r="L34" s="7">
        <v>96.66</v>
      </c>
      <c r="M34" s="1" t="s">
        <v>78</v>
      </c>
    </row>
    <row r="35" spans="1:13" x14ac:dyDescent="0.25">
      <c r="A35" s="1" t="s">
        <v>33</v>
      </c>
      <c r="B35" s="1" t="s">
        <v>1531</v>
      </c>
      <c r="C35" s="1" t="s">
        <v>1532</v>
      </c>
      <c r="D35" s="1" t="s">
        <v>58</v>
      </c>
      <c r="E35" s="1">
        <v>1</v>
      </c>
      <c r="F35" s="1">
        <v>0</v>
      </c>
      <c r="G35" s="1">
        <v>0</v>
      </c>
      <c r="H35" s="1">
        <v>0</v>
      </c>
      <c r="I35" s="1">
        <v>0</v>
      </c>
      <c r="J35" s="7">
        <v>0</v>
      </c>
      <c r="K35" s="1">
        <v>1</v>
      </c>
      <c r="L35" s="7">
        <v>0</v>
      </c>
      <c r="M35" s="1" t="s">
        <v>78</v>
      </c>
    </row>
    <row r="36" spans="1:13" x14ac:dyDescent="0.25">
      <c r="A36" s="1" t="s">
        <v>47</v>
      </c>
      <c r="B36" s="1" t="s">
        <v>1533</v>
      </c>
      <c r="C36" s="1" t="s">
        <v>1534</v>
      </c>
      <c r="D36" s="1" t="s">
        <v>44</v>
      </c>
      <c r="E36" s="1">
        <v>1</v>
      </c>
      <c r="F36" s="1">
        <v>0</v>
      </c>
      <c r="G36" s="1">
        <v>0</v>
      </c>
      <c r="H36" s="1">
        <v>0</v>
      </c>
      <c r="I36" s="1">
        <v>0</v>
      </c>
      <c r="J36" s="7">
        <v>18</v>
      </c>
      <c r="K36" s="1">
        <v>1</v>
      </c>
      <c r="L36" s="7">
        <v>48.99</v>
      </c>
      <c r="M36" s="1" t="s">
        <v>78</v>
      </c>
    </row>
    <row r="37" spans="1:13" x14ac:dyDescent="0.25">
      <c r="A37" s="1" t="s">
        <v>37</v>
      </c>
      <c r="B37" s="1" t="s">
        <v>1535</v>
      </c>
      <c r="C37" s="1" t="s">
        <v>1536</v>
      </c>
      <c r="D37" s="1" t="s">
        <v>58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7">
        <v>15</v>
      </c>
      <c r="K37" s="1">
        <v>1</v>
      </c>
      <c r="L37" s="7">
        <v>0</v>
      </c>
      <c r="M37" s="1" t="s">
        <v>78</v>
      </c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1537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53</v>
      </c>
      <c r="B4" s="1" t="s">
        <v>513</v>
      </c>
      <c r="C4" s="1" t="s">
        <v>1538</v>
      </c>
      <c r="D4" s="1" t="s">
        <v>58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7">
        <v>33</v>
      </c>
      <c r="K4" s="1">
        <v>1</v>
      </c>
      <c r="L4" s="7">
        <v>29.36</v>
      </c>
      <c r="M4" s="1" t="s">
        <v>78</v>
      </c>
      <c r="P4" s="1" t="str">
        <f>Setup!$A$4</f>
        <v>Expert 01</v>
      </c>
      <c r="Q4" s="1">
        <f t="shared" ref="Q4:Q15" si="0">SUMIF($A$4:$A$43,$P4,E$4:E$43)</f>
        <v>2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18</v>
      </c>
      <c r="W4" s="1">
        <f t="shared" ref="W4:W15" si="6">SUMIF($A$4:$A$43,$P4,K$4:K$43)</f>
        <v>4</v>
      </c>
      <c r="X4" s="7">
        <f t="shared" ref="X4:X15" si="7">SUMIF($A$4:$A$43,$P4,L$4:L$43)</f>
        <v>292.90000000000003</v>
      </c>
    </row>
    <row r="5" spans="1:24" x14ac:dyDescent="0.25">
      <c r="A5" s="1" t="s">
        <v>55</v>
      </c>
      <c r="B5" s="1" t="s">
        <v>1539</v>
      </c>
      <c r="C5" s="1" t="s">
        <v>1540</v>
      </c>
      <c r="D5" s="1" t="s">
        <v>69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7">
        <v>0</v>
      </c>
      <c r="K5" s="1">
        <v>0</v>
      </c>
      <c r="L5" s="7">
        <v>0</v>
      </c>
      <c r="M5" s="1" t="s">
        <v>83</v>
      </c>
      <c r="P5" s="1" t="str">
        <f>Setup!$A$5</f>
        <v>Expert 02</v>
      </c>
      <c r="Q5" s="1">
        <f t="shared" si="0"/>
        <v>2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16</v>
      </c>
      <c r="W5" s="1">
        <f t="shared" si="6"/>
        <v>3</v>
      </c>
      <c r="X5" s="7">
        <f t="shared" si="7"/>
        <v>160.02000000000001</v>
      </c>
    </row>
    <row r="6" spans="1:24" x14ac:dyDescent="0.25">
      <c r="A6" s="1" t="s">
        <v>47</v>
      </c>
      <c r="B6" s="1" t="s">
        <v>1541</v>
      </c>
      <c r="C6" s="1" t="s">
        <v>1542</v>
      </c>
      <c r="D6" s="1" t="s">
        <v>46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7">
        <v>0</v>
      </c>
      <c r="K6" s="1">
        <v>1</v>
      </c>
      <c r="L6" s="7">
        <v>0</v>
      </c>
      <c r="M6" s="1" t="s">
        <v>78</v>
      </c>
      <c r="P6" s="1" t="str">
        <f>Setup!$A$6</f>
        <v>Expert 03</v>
      </c>
      <c r="Q6" s="1">
        <f t="shared" si="0"/>
        <v>1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18</v>
      </c>
      <c r="W6" s="1">
        <f t="shared" si="6"/>
        <v>1</v>
      </c>
      <c r="X6" s="7">
        <f t="shared" si="7"/>
        <v>0</v>
      </c>
    </row>
    <row r="7" spans="1:24" x14ac:dyDescent="0.25">
      <c r="A7" s="1" t="s">
        <v>33</v>
      </c>
      <c r="B7" s="1" t="s">
        <v>1543</v>
      </c>
      <c r="C7" s="1" t="s">
        <v>1544</v>
      </c>
      <c r="D7" s="1" t="s">
        <v>69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0</v>
      </c>
      <c r="L7" s="7">
        <v>134.68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0</v>
      </c>
      <c r="W7" s="1">
        <f t="shared" si="6"/>
        <v>1</v>
      </c>
      <c r="X7" s="7">
        <f t="shared" si="7"/>
        <v>0</v>
      </c>
    </row>
    <row r="8" spans="1:24" x14ac:dyDescent="0.25">
      <c r="A8" s="1" t="s">
        <v>35</v>
      </c>
      <c r="B8" s="1" t="s">
        <v>1545</v>
      </c>
      <c r="C8" s="1" t="s">
        <v>1546</v>
      </c>
      <c r="D8" s="1" t="s">
        <v>58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0</v>
      </c>
      <c r="K8" s="1">
        <v>1</v>
      </c>
      <c r="L8" s="7">
        <v>160.02000000000001</v>
      </c>
      <c r="M8" s="1" t="s">
        <v>78</v>
      </c>
      <c r="P8" s="1" t="str">
        <f>Setup!$A$8</f>
        <v>Expert 05</v>
      </c>
      <c r="Q8" s="1">
        <f t="shared" si="0"/>
        <v>1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40</v>
      </c>
      <c r="W8" s="1">
        <f t="shared" si="6"/>
        <v>2</v>
      </c>
      <c r="X8" s="7">
        <f t="shared" si="7"/>
        <v>230.93</v>
      </c>
    </row>
    <row r="9" spans="1:24" x14ac:dyDescent="0.25">
      <c r="A9" s="1" t="s">
        <v>33</v>
      </c>
      <c r="B9" s="1" t="s">
        <v>1547</v>
      </c>
      <c r="C9" s="1" t="s">
        <v>1548</v>
      </c>
      <c r="D9" s="1" t="s">
        <v>46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7">
        <v>18</v>
      </c>
      <c r="K9" s="1">
        <v>1</v>
      </c>
      <c r="L9" s="7">
        <v>142.55000000000001</v>
      </c>
      <c r="M9" s="1" t="s">
        <v>78</v>
      </c>
      <c r="P9" s="1" t="str">
        <f>Setup!$A$9</f>
        <v>Expert 06</v>
      </c>
      <c r="Q9" s="1">
        <f t="shared" si="0"/>
        <v>3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0</v>
      </c>
      <c r="W9" s="1">
        <f t="shared" si="6"/>
        <v>4</v>
      </c>
      <c r="X9" s="7">
        <f t="shared" si="7"/>
        <v>7.53</v>
      </c>
    </row>
    <row r="10" spans="1:24" x14ac:dyDescent="0.25">
      <c r="A10" s="1" t="s">
        <v>51</v>
      </c>
      <c r="B10" s="1" t="s">
        <v>1549</v>
      </c>
      <c r="C10" s="1" t="s">
        <v>1550</v>
      </c>
      <c r="D10" s="1" t="s">
        <v>68</v>
      </c>
      <c r="E10" s="1">
        <v>0</v>
      </c>
      <c r="F10" s="1">
        <v>1</v>
      </c>
      <c r="G10" s="1">
        <v>0</v>
      </c>
      <c r="H10" s="1">
        <v>0</v>
      </c>
      <c r="I10" s="1">
        <v>0</v>
      </c>
      <c r="J10" s="7">
        <v>0</v>
      </c>
      <c r="K10" s="1">
        <v>1</v>
      </c>
      <c r="L10" s="7">
        <v>10.23</v>
      </c>
      <c r="M10" s="1" t="s">
        <v>78</v>
      </c>
      <c r="P10" s="1" t="str">
        <f>Setup!$A$10</f>
        <v>Expert 07</v>
      </c>
      <c r="Q10" s="1">
        <f t="shared" si="0"/>
        <v>1</v>
      </c>
      <c r="R10" s="1">
        <f t="shared" si="1"/>
        <v>0</v>
      </c>
      <c r="S10" s="1">
        <f t="shared" si="2"/>
        <v>0</v>
      </c>
      <c r="T10" s="1">
        <f t="shared" si="3"/>
        <v>1</v>
      </c>
      <c r="U10" s="1">
        <f t="shared" si="4"/>
        <v>0</v>
      </c>
      <c r="V10" s="7">
        <f t="shared" si="5"/>
        <v>18</v>
      </c>
      <c r="W10" s="1">
        <f t="shared" si="6"/>
        <v>3</v>
      </c>
      <c r="X10" s="7">
        <f t="shared" si="7"/>
        <v>0</v>
      </c>
    </row>
    <row r="11" spans="1:24" x14ac:dyDescent="0.25">
      <c r="A11" s="1" t="s">
        <v>49</v>
      </c>
      <c r="B11" s="1" t="s">
        <v>1551</v>
      </c>
      <c r="C11" s="1" t="s">
        <v>1552</v>
      </c>
      <c r="D11" s="1" t="s">
        <v>46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7">
        <v>18</v>
      </c>
      <c r="K11" s="1">
        <v>1</v>
      </c>
      <c r="L11" s="7">
        <v>88</v>
      </c>
      <c r="M11" s="1" t="s">
        <v>83</v>
      </c>
      <c r="P11" s="1" t="str">
        <f>Setup!$A$11</f>
        <v>Expert 08</v>
      </c>
      <c r="Q11" s="1">
        <f t="shared" si="0"/>
        <v>0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33</v>
      </c>
      <c r="W11" s="1">
        <f t="shared" si="6"/>
        <v>3</v>
      </c>
      <c r="X11" s="7">
        <f t="shared" si="7"/>
        <v>107.55</v>
      </c>
    </row>
    <row r="12" spans="1:24" x14ac:dyDescent="0.25">
      <c r="A12" s="1" t="s">
        <v>41</v>
      </c>
      <c r="B12" s="1" t="s">
        <v>1553</v>
      </c>
      <c r="C12" s="1" t="s">
        <v>1554</v>
      </c>
      <c r="D12" s="1" t="s">
        <v>40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24</v>
      </c>
      <c r="K12" s="1">
        <v>1</v>
      </c>
      <c r="L12" s="7">
        <v>69.89</v>
      </c>
      <c r="M12" s="1" t="s">
        <v>78</v>
      </c>
      <c r="P12" s="1" t="str">
        <f>Setup!$A$12</f>
        <v>Expert 09</v>
      </c>
      <c r="Q12" s="1">
        <f t="shared" si="0"/>
        <v>0</v>
      </c>
      <c r="R12" s="1">
        <f t="shared" si="1"/>
        <v>0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18</v>
      </c>
      <c r="W12" s="1">
        <f t="shared" si="6"/>
        <v>1</v>
      </c>
      <c r="X12" s="7">
        <f t="shared" si="7"/>
        <v>88</v>
      </c>
    </row>
    <row r="13" spans="1:24" x14ac:dyDescent="0.25">
      <c r="A13" s="1" t="s">
        <v>47</v>
      </c>
      <c r="B13" s="1" t="s">
        <v>1555</v>
      </c>
      <c r="C13" s="1" t="s">
        <v>1556</v>
      </c>
      <c r="D13" s="1" t="s">
        <v>64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7">
        <v>18</v>
      </c>
      <c r="K13" s="1">
        <v>1</v>
      </c>
      <c r="L13" s="7">
        <v>0</v>
      </c>
      <c r="M13" s="1" t="s">
        <v>83</v>
      </c>
      <c r="P13" s="1" t="str">
        <f>Setup!$A$13</f>
        <v>Expert 10</v>
      </c>
      <c r="Q13" s="1">
        <f t="shared" si="0"/>
        <v>0</v>
      </c>
      <c r="R13" s="1">
        <f t="shared" si="1"/>
        <v>1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15</v>
      </c>
      <c r="W13" s="1">
        <f t="shared" si="6"/>
        <v>2</v>
      </c>
      <c r="X13" s="7">
        <f t="shared" si="7"/>
        <v>10.23</v>
      </c>
    </row>
    <row r="14" spans="1:24" x14ac:dyDescent="0.25">
      <c r="A14" s="1" t="s">
        <v>53</v>
      </c>
      <c r="B14" s="1" t="s">
        <v>1557</v>
      </c>
      <c r="C14" s="1" t="s">
        <v>1558</v>
      </c>
      <c r="D14" s="1" t="s">
        <v>57</v>
      </c>
      <c r="E14" s="1">
        <v>0</v>
      </c>
      <c r="F14" s="1">
        <v>1</v>
      </c>
      <c r="G14" s="1">
        <v>0</v>
      </c>
      <c r="H14" s="1">
        <v>0</v>
      </c>
      <c r="I14" s="1">
        <v>0</v>
      </c>
      <c r="J14" s="7">
        <v>24</v>
      </c>
      <c r="K14" s="1">
        <v>1</v>
      </c>
      <c r="L14" s="7">
        <v>58.69</v>
      </c>
      <c r="M14" s="1" t="s">
        <v>83</v>
      </c>
      <c r="P14" s="1" t="str">
        <f>Setup!$A$14</f>
        <v>Expert 11</v>
      </c>
      <c r="Q14" s="1">
        <f t="shared" si="0"/>
        <v>2</v>
      </c>
      <c r="R14" s="1">
        <f t="shared" si="1"/>
        <v>2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90</v>
      </c>
      <c r="W14" s="1">
        <f t="shared" si="6"/>
        <v>4</v>
      </c>
      <c r="X14" s="7">
        <f t="shared" si="7"/>
        <v>200.2</v>
      </c>
    </row>
    <row r="15" spans="1:24" x14ac:dyDescent="0.25">
      <c r="A15" s="1" t="s">
        <v>33</v>
      </c>
      <c r="B15" s="1" t="s">
        <v>1559</v>
      </c>
      <c r="C15" s="1" t="s">
        <v>1560</v>
      </c>
      <c r="D15" s="1" t="s">
        <v>34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7">
        <v>0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1</v>
      </c>
      <c r="R15" s="1">
        <f t="shared" si="1"/>
        <v>0</v>
      </c>
      <c r="S15" s="1">
        <f t="shared" si="2"/>
        <v>0</v>
      </c>
      <c r="T15" s="1">
        <f t="shared" si="3"/>
        <v>1</v>
      </c>
      <c r="U15" s="1">
        <f t="shared" si="4"/>
        <v>0</v>
      </c>
      <c r="V15" s="7">
        <f t="shared" si="5"/>
        <v>40</v>
      </c>
      <c r="W15" s="1">
        <f t="shared" si="6"/>
        <v>2</v>
      </c>
      <c r="X15" s="7">
        <f t="shared" si="7"/>
        <v>93.23</v>
      </c>
    </row>
    <row r="16" spans="1:24" x14ac:dyDescent="0.25">
      <c r="A16" s="1" t="s">
        <v>45</v>
      </c>
      <c r="B16" s="1" t="s">
        <v>1561</v>
      </c>
      <c r="C16" s="1" t="s">
        <v>1562</v>
      </c>
      <c r="D16" s="1" t="s">
        <v>65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14</v>
      </c>
      <c r="R16" s="9">
        <f t="shared" si="8"/>
        <v>3</v>
      </c>
      <c r="S16" s="9">
        <f t="shared" si="8"/>
        <v>0</v>
      </c>
      <c r="T16" s="9">
        <f t="shared" si="8"/>
        <v>2</v>
      </c>
      <c r="U16" s="9">
        <f t="shared" si="8"/>
        <v>0</v>
      </c>
      <c r="V16" s="10">
        <f t="shared" si="8"/>
        <v>306</v>
      </c>
      <c r="W16" s="9">
        <f t="shared" si="8"/>
        <v>30</v>
      </c>
      <c r="X16" s="10">
        <f t="shared" si="8"/>
        <v>1190.5900000000001</v>
      </c>
    </row>
    <row r="17" spans="1:13" x14ac:dyDescent="0.25">
      <c r="A17" s="1" t="s">
        <v>55</v>
      </c>
      <c r="B17" s="1" t="s">
        <v>1563</v>
      </c>
      <c r="C17" s="1" t="s">
        <v>1564</v>
      </c>
      <c r="D17" s="1" t="s">
        <v>52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7">
        <v>24</v>
      </c>
      <c r="K17" s="1">
        <v>1</v>
      </c>
      <c r="L17" s="7">
        <v>93.23</v>
      </c>
      <c r="M17" s="1" t="s">
        <v>78</v>
      </c>
    </row>
    <row r="18" spans="1:13" x14ac:dyDescent="0.25">
      <c r="A18" s="1" t="s">
        <v>43</v>
      </c>
      <c r="B18" s="1" t="s">
        <v>1565</v>
      </c>
      <c r="C18" s="1" t="s">
        <v>1566</v>
      </c>
      <c r="D18" s="1" t="s">
        <v>65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43</v>
      </c>
      <c r="B19" s="1" t="s">
        <v>1567</v>
      </c>
      <c r="C19" s="1" t="s">
        <v>1568</v>
      </c>
      <c r="D19" s="1" t="s">
        <v>40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7.53</v>
      </c>
      <c r="M19" s="1" t="s">
        <v>78</v>
      </c>
    </row>
    <row r="20" spans="1:13" x14ac:dyDescent="0.25">
      <c r="A20" s="1" t="s">
        <v>55</v>
      </c>
      <c r="B20" s="1" t="s">
        <v>1569</v>
      </c>
      <c r="C20" s="1" t="s">
        <v>1570</v>
      </c>
      <c r="D20" s="1" t="s">
        <v>42</v>
      </c>
      <c r="E20" s="1">
        <v>1</v>
      </c>
      <c r="F20" s="1">
        <v>0</v>
      </c>
      <c r="G20" s="1">
        <v>0</v>
      </c>
      <c r="H20" s="1">
        <v>1</v>
      </c>
      <c r="I20" s="1">
        <v>0</v>
      </c>
      <c r="J20" s="7">
        <v>16</v>
      </c>
      <c r="K20" s="1">
        <v>1</v>
      </c>
      <c r="L20" s="7">
        <v>0</v>
      </c>
      <c r="M20" s="1" t="s">
        <v>78</v>
      </c>
    </row>
    <row r="21" spans="1:13" x14ac:dyDescent="0.25">
      <c r="A21" s="1" t="s">
        <v>45</v>
      </c>
      <c r="B21" s="1" t="s">
        <v>1571</v>
      </c>
      <c r="C21" s="1" t="s">
        <v>1572</v>
      </c>
      <c r="D21" s="1" t="s">
        <v>36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18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45</v>
      </c>
      <c r="B22" s="1" t="s">
        <v>1573</v>
      </c>
      <c r="C22" s="1" t="s">
        <v>1574</v>
      </c>
      <c r="D22" s="1" t="s">
        <v>64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7">
        <v>0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37</v>
      </c>
      <c r="B23" s="1" t="s">
        <v>1575</v>
      </c>
      <c r="C23" s="1" t="s">
        <v>1576</v>
      </c>
      <c r="D23" s="1" t="s">
        <v>67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18</v>
      </c>
      <c r="K23" s="1">
        <v>0</v>
      </c>
      <c r="L23" s="7">
        <v>0</v>
      </c>
      <c r="M23" s="1" t="s">
        <v>78</v>
      </c>
    </row>
    <row r="24" spans="1:13" x14ac:dyDescent="0.25">
      <c r="A24" s="1" t="s">
        <v>53</v>
      </c>
      <c r="B24" s="1" t="s">
        <v>1577</v>
      </c>
      <c r="C24" s="1" t="s">
        <v>1578</v>
      </c>
      <c r="D24" s="1" t="s">
        <v>42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0</v>
      </c>
      <c r="M24" s="1" t="s">
        <v>78</v>
      </c>
    </row>
    <row r="25" spans="1:13" x14ac:dyDescent="0.25">
      <c r="A25" s="1" t="s">
        <v>41</v>
      </c>
      <c r="B25" s="1" t="s">
        <v>1579</v>
      </c>
      <c r="C25" s="1" t="s">
        <v>1580</v>
      </c>
      <c r="D25" s="1" t="s">
        <v>68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7">
        <v>16</v>
      </c>
      <c r="K25" s="1">
        <v>1</v>
      </c>
      <c r="L25" s="7">
        <v>161.04</v>
      </c>
      <c r="M25" s="1" t="s">
        <v>83</v>
      </c>
    </row>
    <row r="26" spans="1:13" x14ac:dyDescent="0.25">
      <c r="A26" s="1" t="s">
        <v>51</v>
      </c>
      <c r="B26" s="1" t="s">
        <v>1581</v>
      </c>
      <c r="C26" s="1" t="s">
        <v>1582</v>
      </c>
      <c r="D26" s="1" t="s">
        <v>65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7">
        <v>15</v>
      </c>
      <c r="K26" s="1">
        <v>1</v>
      </c>
      <c r="L26" s="7">
        <v>0</v>
      </c>
      <c r="M26" s="1" t="s">
        <v>78</v>
      </c>
    </row>
    <row r="27" spans="1:13" x14ac:dyDescent="0.25">
      <c r="A27" s="1" t="s">
        <v>47</v>
      </c>
      <c r="B27" s="1" t="s">
        <v>1583</v>
      </c>
      <c r="C27" s="1" t="s">
        <v>1584</v>
      </c>
      <c r="D27" s="1" t="s">
        <v>57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7">
        <v>15</v>
      </c>
      <c r="K27" s="1">
        <v>1</v>
      </c>
      <c r="L27" s="7">
        <v>107.55</v>
      </c>
      <c r="M27" s="1" t="s">
        <v>78</v>
      </c>
    </row>
    <row r="28" spans="1:13" x14ac:dyDescent="0.25">
      <c r="A28" s="1" t="s">
        <v>35</v>
      </c>
      <c r="B28" s="1" t="s">
        <v>1585</v>
      </c>
      <c r="C28" s="1" t="s">
        <v>1586</v>
      </c>
      <c r="D28" s="1" t="s">
        <v>60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7">
        <v>16</v>
      </c>
      <c r="K28" s="1">
        <v>1</v>
      </c>
      <c r="L28" s="7">
        <v>0</v>
      </c>
      <c r="M28" s="1" t="s">
        <v>78</v>
      </c>
    </row>
    <row r="29" spans="1:13" x14ac:dyDescent="0.25">
      <c r="A29" s="1" t="s">
        <v>53</v>
      </c>
      <c r="B29" s="1" t="s">
        <v>1587</v>
      </c>
      <c r="C29" s="1" t="s">
        <v>1588</v>
      </c>
      <c r="D29" s="1" t="s">
        <v>61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7">
        <v>33</v>
      </c>
      <c r="K29" s="1">
        <v>1</v>
      </c>
      <c r="L29" s="7">
        <v>112.15</v>
      </c>
      <c r="M29" s="1" t="s">
        <v>78</v>
      </c>
    </row>
    <row r="30" spans="1:13" x14ac:dyDescent="0.25">
      <c r="A30" s="1" t="s">
        <v>33</v>
      </c>
      <c r="B30" s="1" t="s">
        <v>1589</v>
      </c>
      <c r="C30" s="1" t="s">
        <v>1590</v>
      </c>
      <c r="D30" s="1" t="s">
        <v>46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7">
        <v>0</v>
      </c>
      <c r="K30" s="1">
        <v>1</v>
      </c>
      <c r="L30" s="7">
        <v>0</v>
      </c>
      <c r="M30" s="1" t="s">
        <v>78</v>
      </c>
    </row>
    <row r="31" spans="1:13" x14ac:dyDescent="0.25">
      <c r="A31" s="1" t="s">
        <v>37</v>
      </c>
      <c r="B31" s="1" t="s">
        <v>1591</v>
      </c>
      <c r="C31" s="1" t="s">
        <v>1592</v>
      </c>
      <c r="D31" s="1" t="s">
        <v>56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7">
        <v>0</v>
      </c>
      <c r="K31" s="1">
        <v>1</v>
      </c>
      <c r="L31" s="7">
        <v>0</v>
      </c>
      <c r="M31" s="1" t="s">
        <v>78</v>
      </c>
    </row>
    <row r="32" spans="1:13" x14ac:dyDescent="0.25">
      <c r="A32" s="1" t="s">
        <v>39</v>
      </c>
      <c r="B32" s="1" t="s">
        <v>1248</v>
      </c>
      <c r="C32" s="1" t="s">
        <v>1593</v>
      </c>
      <c r="D32" s="1" t="s">
        <v>44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7">
        <v>0</v>
      </c>
      <c r="K32" s="1">
        <v>1</v>
      </c>
      <c r="L32" s="7">
        <v>0</v>
      </c>
      <c r="M32" s="1" t="s">
        <v>83</v>
      </c>
    </row>
    <row r="33" spans="1:13" x14ac:dyDescent="0.25">
      <c r="A33" s="1" t="s">
        <v>33</v>
      </c>
      <c r="B33" s="1" t="s">
        <v>1594</v>
      </c>
      <c r="C33" s="1" t="s">
        <v>1595</v>
      </c>
      <c r="D33" s="1" t="s">
        <v>38</v>
      </c>
      <c r="E33" s="1">
        <v>1</v>
      </c>
      <c r="F33" s="1">
        <v>0</v>
      </c>
      <c r="G33" s="1">
        <v>0</v>
      </c>
      <c r="H33" s="1">
        <v>0</v>
      </c>
      <c r="I33" s="1">
        <v>0</v>
      </c>
      <c r="J33" s="7">
        <v>0</v>
      </c>
      <c r="K33" s="1">
        <v>1</v>
      </c>
      <c r="L33" s="7">
        <v>15.67</v>
      </c>
      <c r="M33" s="1" t="s">
        <v>83</v>
      </c>
    </row>
    <row r="34" spans="1:13" x14ac:dyDescent="0.25">
      <c r="A34" s="1" t="s">
        <v>43</v>
      </c>
      <c r="B34" s="1" t="s">
        <v>1288</v>
      </c>
      <c r="C34" s="1" t="s">
        <v>1596</v>
      </c>
      <c r="D34" s="1" t="s">
        <v>61</v>
      </c>
      <c r="E34" s="1">
        <v>1</v>
      </c>
      <c r="F34" s="1">
        <v>0</v>
      </c>
      <c r="G34" s="1">
        <v>0</v>
      </c>
      <c r="H34" s="1">
        <v>0</v>
      </c>
      <c r="I34" s="1">
        <v>0</v>
      </c>
      <c r="J34" s="7">
        <v>0</v>
      </c>
      <c r="K34" s="1">
        <v>1</v>
      </c>
      <c r="L34" s="7">
        <v>0</v>
      </c>
      <c r="M34" s="1" t="s">
        <v>78</v>
      </c>
    </row>
    <row r="35" spans="1:13" x14ac:dyDescent="0.25">
      <c r="A35" s="1" t="s">
        <v>35</v>
      </c>
      <c r="B35" s="1" t="s">
        <v>1597</v>
      </c>
      <c r="C35" s="1" t="s">
        <v>1598</v>
      </c>
      <c r="D35" s="1" t="s">
        <v>68</v>
      </c>
      <c r="E35" s="1">
        <v>1</v>
      </c>
      <c r="F35" s="1">
        <v>0</v>
      </c>
      <c r="G35" s="1">
        <v>0</v>
      </c>
      <c r="H35" s="1">
        <v>0</v>
      </c>
      <c r="I35" s="1">
        <v>0</v>
      </c>
      <c r="J35" s="7">
        <v>0</v>
      </c>
      <c r="K35" s="1">
        <v>1</v>
      </c>
      <c r="L35" s="7">
        <v>0</v>
      </c>
      <c r="M35" s="1" t="s">
        <v>78</v>
      </c>
    </row>
    <row r="36" spans="1:13" x14ac:dyDescent="0.25">
      <c r="A36" s="1" t="s">
        <v>43</v>
      </c>
      <c r="B36" s="1" t="s">
        <v>1599</v>
      </c>
      <c r="C36" s="1" t="s">
        <v>1600</v>
      </c>
      <c r="D36" s="1" t="s">
        <v>34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7">
        <v>0</v>
      </c>
      <c r="K36" s="1">
        <v>1</v>
      </c>
      <c r="L36" s="7">
        <v>0</v>
      </c>
      <c r="M36" s="1" t="s">
        <v>78</v>
      </c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1601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35</v>
      </c>
      <c r="B4" s="1" t="s">
        <v>1602</v>
      </c>
      <c r="C4" s="1" t="s">
        <v>1603</v>
      </c>
      <c r="D4" s="1" t="s">
        <v>60</v>
      </c>
      <c r="E4" s="1">
        <v>1</v>
      </c>
      <c r="F4" s="1">
        <v>0</v>
      </c>
      <c r="G4" s="1">
        <v>0</v>
      </c>
      <c r="H4" s="1">
        <v>0</v>
      </c>
      <c r="I4" s="1">
        <v>0</v>
      </c>
      <c r="J4" s="7">
        <v>0</v>
      </c>
      <c r="K4" s="1">
        <v>1</v>
      </c>
      <c r="L4" s="7">
        <v>87.44</v>
      </c>
      <c r="M4" s="1" t="s">
        <v>78</v>
      </c>
      <c r="P4" s="1" t="str">
        <f>Setup!$A$4</f>
        <v>Expert 01</v>
      </c>
      <c r="Q4" s="1">
        <f t="shared" ref="Q4:Q15" si="0">SUMIF($A$4:$A$43,$P4,E$4:E$43)</f>
        <v>3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2</v>
      </c>
      <c r="U4" s="1">
        <f t="shared" ref="U4:U15" si="4">SUMIF($A$4:$A$43,$P4,I$4:I$43)</f>
        <v>0</v>
      </c>
      <c r="V4" s="7">
        <f t="shared" ref="V4:V15" si="5">SUMIF($A$4:$A$43,$P4,J$4:J$43)</f>
        <v>24</v>
      </c>
      <c r="W4" s="1">
        <f t="shared" ref="W4:W15" si="6">SUMIF($A$4:$A$43,$P4,K$4:K$43)</f>
        <v>3</v>
      </c>
      <c r="X4" s="7">
        <f t="shared" ref="X4:X15" si="7">SUMIF($A$4:$A$43,$P4,L$4:L$43)</f>
        <v>223.76</v>
      </c>
    </row>
    <row r="5" spans="1:24" x14ac:dyDescent="0.25">
      <c r="A5" s="1" t="s">
        <v>55</v>
      </c>
      <c r="B5" s="1" t="s">
        <v>1604</v>
      </c>
      <c r="C5" s="1" t="s">
        <v>1605</v>
      </c>
      <c r="D5" s="1" t="s">
        <v>48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7">
        <v>16</v>
      </c>
      <c r="K5" s="1">
        <v>1</v>
      </c>
      <c r="L5" s="7">
        <v>28.21</v>
      </c>
      <c r="M5" s="1" t="s">
        <v>83</v>
      </c>
      <c r="P5" s="1" t="str">
        <f>Setup!$A$5</f>
        <v>Expert 02</v>
      </c>
      <c r="Q5" s="1">
        <f t="shared" si="0"/>
        <v>2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33</v>
      </c>
      <c r="W5" s="1">
        <f t="shared" si="6"/>
        <v>2</v>
      </c>
      <c r="X5" s="7">
        <f t="shared" si="7"/>
        <v>87.44</v>
      </c>
    </row>
    <row r="6" spans="1:24" x14ac:dyDescent="0.25">
      <c r="A6" s="1" t="s">
        <v>53</v>
      </c>
      <c r="B6" s="1" t="s">
        <v>1199</v>
      </c>
      <c r="C6" s="1" t="s">
        <v>1606</v>
      </c>
      <c r="D6" s="1" t="s">
        <v>64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7">
        <v>18</v>
      </c>
      <c r="K6" s="1">
        <v>1</v>
      </c>
      <c r="L6" s="7">
        <v>45.38</v>
      </c>
      <c r="M6" s="1" t="s">
        <v>78</v>
      </c>
      <c r="P6" s="1" t="str">
        <f>Setup!$A$6</f>
        <v>Expert 03</v>
      </c>
      <c r="Q6" s="1">
        <f t="shared" si="0"/>
        <v>1</v>
      </c>
      <c r="R6" s="1">
        <f t="shared" si="1"/>
        <v>0</v>
      </c>
      <c r="S6" s="1">
        <f t="shared" si="2"/>
        <v>0</v>
      </c>
      <c r="T6" s="1">
        <f t="shared" si="3"/>
        <v>0</v>
      </c>
      <c r="U6" s="1">
        <f t="shared" si="4"/>
        <v>0</v>
      </c>
      <c r="V6" s="7">
        <f t="shared" si="5"/>
        <v>0</v>
      </c>
      <c r="W6" s="1">
        <f t="shared" si="6"/>
        <v>1</v>
      </c>
      <c r="X6" s="7">
        <f t="shared" si="7"/>
        <v>31.42</v>
      </c>
    </row>
    <row r="7" spans="1:24" x14ac:dyDescent="0.25">
      <c r="A7" s="1" t="s">
        <v>43</v>
      </c>
      <c r="B7" s="1" t="s">
        <v>1607</v>
      </c>
      <c r="C7" s="1" t="s">
        <v>1608</v>
      </c>
      <c r="D7" s="1" t="s">
        <v>40</v>
      </c>
      <c r="E7" s="1">
        <v>0</v>
      </c>
      <c r="F7" s="1">
        <v>1</v>
      </c>
      <c r="G7" s="1">
        <v>0</v>
      </c>
      <c r="H7" s="1">
        <v>0</v>
      </c>
      <c r="I7" s="1">
        <v>0</v>
      </c>
      <c r="J7" s="7">
        <v>33</v>
      </c>
      <c r="K7" s="1">
        <v>1</v>
      </c>
      <c r="L7" s="7">
        <v>114.64</v>
      </c>
      <c r="M7" s="1" t="s">
        <v>78</v>
      </c>
      <c r="P7" s="1" t="str">
        <f>Setup!$A$7</f>
        <v>Expert 04</v>
      </c>
      <c r="Q7" s="1">
        <f t="shared" si="0"/>
        <v>1</v>
      </c>
      <c r="R7" s="1">
        <f t="shared" si="1"/>
        <v>0</v>
      </c>
      <c r="S7" s="1">
        <f t="shared" si="2"/>
        <v>0</v>
      </c>
      <c r="T7" s="1">
        <f t="shared" si="3"/>
        <v>0</v>
      </c>
      <c r="U7" s="1">
        <f t="shared" si="4"/>
        <v>0</v>
      </c>
      <c r="V7" s="7">
        <f t="shared" si="5"/>
        <v>16</v>
      </c>
      <c r="W7" s="1">
        <f t="shared" si="6"/>
        <v>2</v>
      </c>
      <c r="X7" s="7">
        <f t="shared" si="7"/>
        <v>41.31</v>
      </c>
    </row>
    <row r="8" spans="1:24" x14ac:dyDescent="0.25">
      <c r="A8" s="1" t="s">
        <v>33</v>
      </c>
      <c r="B8" s="1" t="s">
        <v>1609</v>
      </c>
      <c r="C8" s="1" t="s">
        <v>1610</v>
      </c>
      <c r="D8" s="1" t="s">
        <v>54</v>
      </c>
      <c r="E8" s="1">
        <v>1</v>
      </c>
      <c r="F8" s="1">
        <v>0</v>
      </c>
      <c r="G8" s="1">
        <v>0</v>
      </c>
      <c r="H8" s="1">
        <v>1</v>
      </c>
      <c r="I8" s="1">
        <v>0</v>
      </c>
      <c r="J8" s="7">
        <v>24</v>
      </c>
      <c r="K8" s="1">
        <v>1</v>
      </c>
      <c r="L8" s="7">
        <v>114.82</v>
      </c>
      <c r="M8" s="1" t="s">
        <v>78</v>
      </c>
      <c r="P8" s="1" t="str">
        <f>Setup!$A$8</f>
        <v>Expert 05</v>
      </c>
      <c r="Q8" s="1">
        <f t="shared" si="0"/>
        <v>3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1</v>
      </c>
      <c r="V8" s="7">
        <f t="shared" si="5"/>
        <v>34</v>
      </c>
      <c r="W8" s="1">
        <f t="shared" si="6"/>
        <v>3</v>
      </c>
      <c r="X8" s="7">
        <f t="shared" si="7"/>
        <v>195.85999999999999</v>
      </c>
    </row>
    <row r="9" spans="1:24" x14ac:dyDescent="0.25">
      <c r="A9" s="1" t="s">
        <v>45</v>
      </c>
      <c r="B9" s="1" t="s">
        <v>1555</v>
      </c>
      <c r="C9" s="1" t="s">
        <v>1611</v>
      </c>
      <c r="D9" s="1" t="s">
        <v>61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0</v>
      </c>
      <c r="M9" s="1" t="s">
        <v>78</v>
      </c>
      <c r="P9" s="1" t="str">
        <f>Setup!$A$9</f>
        <v>Expert 06</v>
      </c>
      <c r="Q9" s="1">
        <f t="shared" si="0"/>
        <v>3</v>
      </c>
      <c r="R9" s="1">
        <f t="shared" si="1"/>
        <v>1</v>
      </c>
      <c r="S9" s="1">
        <f t="shared" si="2"/>
        <v>0</v>
      </c>
      <c r="T9" s="1">
        <f t="shared" si="3"/>
        <v>0</v>
      </c>
      <c r="U9" s="1">
        <f t="shared" si="4"/>
        <v>0</v>
      </c>
      <c r="V9" s="7">
        <f t="shared" si="5"/>
        <v>82</v>
      </c>
      <c r="W9" s="1">
        <f t="shared" si="6"/>
        <v>4</v>
      </c>
      <c r="X9" s="7">
        <f t="shared" si="7"/>
        <v>425.77000000000004</v>
      </c>
    </row>
    <row r="10" spans="1:24" x14ac:dyDescent="0.25">
      <c r="A10" s="1" t="s">
        <v>45</v>
      </c>
      <c r="B10" s="1" t="s">
        <v>1612</v>
      </c>
      <c r="C10" s="1" t="s">
        <v>1613</v>
      </c>
      <c r="D10" s="1" t="s">
        <v>34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7">
        <v>16</v>
      </c>
      <c r="K10" s="1">
        <v>1</v>
      </c>
      <c r="L10" s="7">
        <v>9.2799999999999994</v>
      </c>
      <c r="M10" s="1" t="s">
        <v>78</v>
      </c>
      <c r="P10" s="1" t="str">
        <f>Setup!$A$10</f>
        <v>Expert 07</v>
      </c>
      <c r="Q10" s="1">
        <f t="shared" si="0"/>
        <v>4</v>
      </c>
      <c r="R10" s="1">
        <f t="shared" si="1"/>
        <v>1</v>
      </c>
      <c r="S10" s="1">
        <f t="shared" si="2"/>
        <v>2</v>
      </c>
      <c r="T10" s="1">
        <f t="shared" si="3"/>
        <v>0</v>
      </c>
      <c r="U10" s="1">
        <f t="shared" si="4"/>
        <v>0</v>
      </c>
      <c r="V10" s="7">
        <f t="shared" si="5"/>
        <v>16</v>
      </c>
      <c r="W10" s="1">
        <f t="shared" si="6"/>
        <v>6</v>
      </c>
      <c r="X10" s="7">
        <f t="shared" si="7"/>
        <v>269.52</v>
      </c>
    </row>
    <row r="11" spans="1:24" x14ac:dyDescent="0.25">
      <c r="A11" s="1" t="s">
        <v>33</v>
      </c>
      <c r="B11" s="1" t="s">
        <v>1614</v>
      </c>
      <c r="C11" s="1" t="s">
        <v>1615</v>
      </c>
      <c r="D11" s="1" t="s">
        <v>42</v>
      </c>
      <c r="E11" s="1">
        <v>1</v>
      </c>
      <c r="F11" s="1">
        <v>0</v>
      </c>
      <c r="G11" s="1">
        <v>0</v>
      </c>
      <c r="H11" s="1">
        <v>1</v>
      </c>
      <c r="I11" s="1">
        <v>0</v>
      </c>
      <c r="J11" s="7">
        <v>0</v>
      </c>
      <c r="K11" s="1">
        <v>1</v>
      </c>
      <c r="L11" s="7">
        <v>108.94</v>
      </c>
      <c r="M11" s="1" t="s">
        <v>78</v>
      </c>
      <c r="P11" s="1" t="str">
        <f>Setup!$A$11</f>
        <v>Expert 08</v>
      </c>
      <c r="Q11" s="1">
        <f t="shared" si="0"/>
        <v>0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0</v>
      </c>
      <c r="W11" s="1">
        <f t="shared" si="6"/>
        <v>0</v>
      </c>
      <c r="X11" s="7">
        <f t="shared" si="7"/>
        <v>0</v>
      </c>
    </row>
    <row r="12" spans="1:24" x14ac:dyDescent="0.25">
      <c r="A12" s="1" t="s">
        <v>55</v>
      </c>
      <c r="B12" s="1" t="s">
        <v>1616</v>
      </c>
      <c r="C12" s="1" t="s">
        <v>1617</v>
      </c>
      <c r="D12" s="1" t="s">
        <v>36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7">
        <v>0</v>
      </c>
      <c r="K12" s="1">
        <v>1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1</v>
      </c>
      <c r="R12" s="1">
        <f t="shared" si="1"/>
        <v>0</v>
      </c>
      <c r="S12" s="1">
        <f t="shared" si="2"/>
        <v>1</v>
      </c>
      <c r="T12" s="1">
        <f t="shared" si="3"/>
        <v>0</v>
      </c>
      <c r="U12" s="1">
        <f t="shared" si="4"/>
        <v>0</v>
      </c>
      <c r="V12" s="7">
        <f t="shared" si="5"/>
        <v>0</v>
      </c>
      <c r="W12" s="1">
        <f t="shared" si="6"/>
        <v>1</v>
      </c>
      <c r="X12" s="7">
        <f t="shared" si="7"/>
        <v>115.7</v>
      </c>
    </row>
    <row r="13" spans="1:24" x14ac:dyDescent="0.25">
      <c r="A13" s="1" t="s">
        <v>41</v>
      </c>
      <c r="B13" s="1" t="s">
        <v>1618</v>
      </c>
      <c r="C13" s="1" t="s">
        <v>1619</v>
      </c>
      <c r="D13" s="1" t="s">
        <v>46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7">
        <v>0</v>
      </c>
      <c r="K13" s="1">
        <v>1</v>
      </c>
      <c r="L13" s="7">
        <v>171.23</v>
      </c>
      <c r="M13" s="1" t="s">
        <v>78</v>
      </c>
      <c r="P13" s="1" t="str">
        <f>Setup!$A$13</f>
        <v>Expert 10</v>
      </c>
      <c r="Q13" s="1">
        <f t="shared" si="0"/>
        <v>1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0</v>
      </c>
      <c r="W13" s="1">
        <f t="shared" si="6"/>
        <v>1</v>
      </c>
      <c r="X13" s="7">
        <f t="shared" si="7"/>
        <v>120.33</v>
      </c>
    </row>
    <row r="14" spans="1:24" x14ac:dyDescent="0.25">
      <c r="A14" s="1" t="s">
        <v>39</v>
      </c>
      <c r="B14" s="1" t="s">
        <v>1620</v>
      </c>
      <c r="C14" s="1" t="s">
        <v>1621</v>
      </c>
      <c r="D14" s="1" t="s">
        <v>38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7">
        <v>0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1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18</v>
      </c>
      <c r="W14" s="1">
        <f t="shared" si="6"/>
        <v>2</v>
      </c>
      <c r="X14" s="7">
        <f t="shared" si="7"/>
        <v>193.29</v>
      </c>
    </row>
    <row r="15" spans="1:24" x14ac:dyDescent="0.25">
      <c r="A15" s="1" t="s">
        <v>35</v>
      </c>
      <c r="B15" s="1" t="s">
        <v>1622</v>
      </c>
      <c r="C15" s="1" t="s">
        <v>1623</v>
      </c>
      <c r="D15" s="1" t="s">
        <v>65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33</v>
      </c>
      <c r="K15" s="1">
        <v>1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2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16</v>
      </c>
      <c r="W15" s="1">
        <f t="shared" si="6"/>
        <v>2</v>
      </c>
      <c r="X15" s="7">
        <f t="shared" si="7"/>
        <v>28.21</v>
      </c>
    </row>
    <row r="16" spans="1:24" x14ac:dyDescent="0.25">
      <c r="A16" s="1" t="s">
        <v>45</v>
      </c>
      <c r="B16" s="1" t="s">
        <v>1624</v>
      </c>
      <c r="C16" s="1" t="s">
        <v>1625</v>
      </c>
      <c r="D16" s="1" t="s">
        <v>54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22</v>
      </c>
      <c r="R16" s="9">
        <f t="shared" si="8"/>
        <v>2</v>
      </c>
      <c r="S16" s="9">
        <f t="shared" si="8"/>
        <v>3</v>
      </c>
      <c r="T16" s="9">
        <f t="shared" si="8"/>
        <v>2</v>
      </c>
      <c r="U16" s="9">
        <f t="shared" si="8"/>
        <v>1</v>
      </c>
      <c r="V16" s="10">
        <f t="shared" si="8"/>
        <v>239</v>
      </c>
      <c r="W16" s="9">
        <f t="shared" si="8"/>
        <v>27</v>
      </c>
      <c r="X16" s="10">
        <f t="shared" si="8"/>
        <v>1732.61</v>
      </c>
    </row>
    <row r="17" spans="1:13" x14ac:dyDescent="0.25">
      <c r="A17" s="1" t="s">
        <v>37</v>
      </c>
      <c r="B17" s="1" t="s">
        <v>1626</v>
      </c>
      <c r="C17" s="1" t="s">
        <v>1627</v>
      </c>
      <c r="D17" s="1" t="s">
        <v>57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31.42</v>
      </c>
      <c r="M17" s="1" t="s">
        <v>78</v>
      </c>
    </row>
    <row r="18" spans="1:13" x14ac:dyDescent="0.25">
      <c r="A18" s="1" t="s">
        <v>41</v>
      </c>
      <c r="B18" s="1" t="s">
        <v>1628</v>
      </c>
      <c r="C18" s="1" t="s">
        <v>1629</v>
      </c>
      <c r="D18" s="1" t="s">
        <v>34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45</v>
      </c>
      <c r="B19" s="1" t="s">
        <v>1630</v>
      </c>
      <c r="C19" s="1" t="s">
        <v>1631</v>
      </c>
      <c r="D19" s="1" t="s">
        <v>50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7">
        <v>0</v>
      </c>
      <c r="K19" s="1">
        <v>1</v>
      </c>
      <c r="L19" s="7">
        <v>131.4</v>
      </c>
      <c r="M19" s="1" t="s">
        <v>78</v>
      </c>
    </row>
    <row r="20" spans="1:13" x14ac:dyDescent="0.25">
      <c r="A20" s="1" t="s">
        <v>41</v>
      </c>
      <c r="B20" s="1" t="s">
        <v>1632</v>
      </c>
      <c r="C20" s="1" t="s">
        <v>1633</v>
      </c>
      <c r="D20" s="1" t="s">
        <v>66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7">
        <v>16</v>
      </c>
      <c r="K20" s="1">
        <v>0</v>
      </c>
      <c r="L20" s="7">
        <v>3.63</v>
      </c>
      <c r="M20" s="1" t="s">
        <v>78</v>
      </c>
    </row>
    <row r="21" spans="1:13" x14ac:dyDescent="0.25">
      <c r="A21" s="1" t="s">
        <v>43</v>
      </c>
      <c r="B21" s="1" t="s">
        <v>1634</v>
      </c>
      <c r="C21" s="1" t="s">
        <v>1635</v>
      </c>
      <c r="D21" s="1" t="s">
        <v>56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7">
        <v>0</v>
      </c>
      <c r="K21" s="1">
        <v>1</v>
      </c>
      <c r="L21" s="7">
        <v>0</v>
      </c>
      <c r="M21" s="1" t="s">
        <v>78</v>
      </c>
    </row>
    <row r="22" spans="1:13" x14ac:dyDescent="0.25">
      <c r="A22" s="1" t="s">
        <v>49</v>
      </c>
      <c r="B22" s="1" t="s">
        <v>1636</v>
      </c>
      <c r="C22" s="1" t="s">
        <v>1637</v>
      </c>
      <c r="D22" s="1" t="s">
        <v>62</v>
      </c>
      <c r="E22" s="1">
        <v>1</v>
      </c>
      <c r="F22" s="1">
        <v>0</v>
      </c>
      <c r="G22" s="1">
        <v>1</v>
      </c>
      <c r="H22" s="1">
        <v>0</v>
      </c>
      <c r="I22" s="1">
        <v>0</v>
      </c>
      <c r="J22" s="7">
        <v>0</v>
      </c>
      <c r="K22" s="1">
        <v>1</v>
      </c>
      <c r="L22" s="7">
        <v>115.7</v>
      </c>
      <c r="M22" s="1" t="s">
        <v>78</v>
      </c>
    </row>
    <row r="23" spans="1:13" x14ac:dyDescent="0.25">
      <c r="A23" s="1" t="s">
        <v>43</v>
      </c>
      <c r="B23" s="1" t="s">
        <v>1638</v>
      </c>
      <c r="C23" s="1" t="s">
        <v>1639</v>
      </c>
      <c r="D23" s="1" t="s">
        <v>50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  <c r="J23" s="7">
        <v>33</v>
      </c>
      <c r="K23" s="1">
        <v>1</v>
      </c>
      <c r="L23" s="7">
        <v>149.58000000000001</v>
      </c>
      <c r="M23" s="1" t="s">
        <v>78</v>
      </c>
    </row>
    <row r="24" spans="1:13" x14ac:dyDescent="0.25">
      <c r="A24" s="1" t="s">
        <v>45</v>
      </c>
      <c r="B24" s="1" t="s">
        <v>1640</v>
      </c>
      <c r="C24" s="1" t="s">
        <v>1641</v>
      </c>
      <c r="D24" s="1" t="s">
        <v>54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0</v>
      </c>
      <c r="K24" s="1">
        <v>1</v>
      </c>
      <c r="L24" s="7">
        <v>113.53</v>
      </c>
      <c r="M24" s="1" t="s">
        <v>78</v>
      </c>
    </row>
    <row r="25" spans="1:13" x14ac:dyDescent="0.25">
      <c r="A25" s="1" t="s">
        <v>51</v>
      </c>
      <c r="B25" s="1" t="s">
        <v>1642</v>
      </c>
      <c r="C25" s="1" t="s">
        <v>1643</v>
      </c>
      <c r="D25" s="1" t="s">
        <v>61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0</v>
      </c>
      <c r="K25" s="1">
        <v>1</v>
      </c>
      <c r="L25" s="7">
        <v>120.33</v>
      </c>
      <c r="M25" s="1" t="s">
        <v>78</v>
      </c>
    </row>
    <row r="26" spans="1:13" x14ac:dyDescent="0.25">
      <c r="A26" s="1" t="s">
        <v>45</v>
      </c>
      <c r="B26" s="1" t="s">
        <v>1644</v>
      </c>
      <c r="C26" s="1" t="s">
        <v>1645</v>
      </c>
      <c r="D26" s="1" t="s">
        <v>65</v>
      </c>
      <c r="E26" s="1">
        <v>1</v>
      </c>
      <c r="F26" s="1">
        <v>0</v>
      </c>
      <c r="G26" s="1">
        <v>1</v>
      </c>
      <c r="H26" s="1">
        <v>0</v>
      </c>
      <c r="I26" s="1">
        <v>0</v>
      </c>
      <c r="J26" s="7">
        <v>0</v>
      </c>
      <c r="K26" s="1">
        <v>1</v>
      </c>
      <c r="L26" s="7">
        <v>15.31</v>
      </c>
      <c r="M26" s="1" t="s">
        <v>78</v>
      </c>
    </row>
    <row r="27" spans="1:13" x14ac:dyDescent="0.25">
      <c r="A27" s="1" t="s">
        <v>39</v>
      </c>
      <c r="B27" s="1" t="s">
        <v>1646</v>
      </c>
      <c r="C27" s="1" t="s">
        <v>1647</v>
      </c>
      <c r="D27" s="1" t="s">
        <v>42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7">
        <v>16</v>
      </c>
      <c r="K27" s="1">
        <v>1</v>
      </c>
      <c r="L27" s="7">
        <v>41.31</v>
      </c>
      <c r="M27" s="1" t="s">
        <v>78</v>
      </c>
    </row>
    <row r="28" spans="1:13" x14ac:dyDescent="0.25">
      <c r="A28" s="1" t="s">
        <v>53</v>
      </c>
      <c r="B28" s="1" t="s">
        <v>1648</v>
      </c>
      <c r="C28" s="1" t="s">
        <v>1649</v>
      </c>
      <c r="D28" s="1" t="s">
        <v>68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147.91</v>
      </c>
      <c r="M28" s="1" t="s">
        <v>78</v>
      </c>
    </row>
    <row r="29" spans="1:13" x14ac:dyDescent="0.25">
      <c r="A29" s="1" t="s">
        <v>33</v>
      </c>
      <c r="B29" s="1" t="s">
        <v>1650</v>
      </c>
      <c r="C29" s="1" t="s">
        <v>1651</v>
      </c>
      <c r="D29" s="1" t="s">
        <v>42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7">
        <v>0</v>
      </c>
      <c r="K29" s="1">
        <v>1</v>
      </c>
      <c r="L29" s="7">
        <v>0</v>
      </c>
      <c r="M29" s="1" t="s">
        <v>78</v>
      </c>
    </row>
    <row r="30" spans="1:13" x14ac:dyDescent="0.25">
      <c r="A30" s="1" t="s">
        <v>41</v>
      </c>
      <c r="B30" s="1" t="s">
        <v>1652</v>
      </c>
      <c r="C30" s="1" t="s">
        <v>1653</v>
      </c>
      <c r="D30" s="1" t="s">
        <v>46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7">
        <v>18</v>
      </c>
      <c r="K30" s="1">
        <v>1</v>
      </c>
      <c r="L30" s="7">
        <v>21</v>
      </c>
      <c r="M30" s="1" t="s">
        <v>78</v>
      </c>
    </row>
    <row r="31" spans="1:13" x14ac:dyDescent="0.25">
      <c r="A31" s="1" t="s">
        <v>43</v>
      </c>
      <c r="B31" s="1" t="s">
        <v>1403</v>
      </c>
      <c r="C31" s="1" t="s">
        <v>1654</v>
      </c>
      <c r="D31" s="1" t="s">
        <v>38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7">
        <v>16</v>
      </c>
      <c r="K31" s="1">
        <v>1</v>
      </c>
      <c r="L31" s="7">
        <v>161.55000000000001</v>
      </c>
      <c r="M31" s="1" t="s">
        <v>78</v>
      </c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6" t="s">
        <v>1655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24" ht="14.1" customHeight="1" x14ac:dyDescent="0.25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24" x14ac:dyDescent="0.25">
      <c r="A3" s="2" t="s">
        <v>71</v>
      </c>
      <c r="B3" s="2" t="s">
        <v>72</v>
      </c>
      <c r="C3" s="2" t="s">
        <v>73</v>
      </c>
      <c r="D3" s="2" t="s">
        <v>74</v>
      </c>
      <c r="E3" s="2" t="s">
        <v>15</v>
      </c>
      <c r="F3" s="2" t="s">
        <v>16</v>
      </c>
      <c r="G3" s="2" t="s">
        <v>20</v>
      </c>
      <c r="H3" s="2" t="s">
        <v>8</v>
      </c>
      <c r="I3" s="2" t="s">
        <v>21</v>
      </c>
      <c r="J3" s="2" t="s">
        <v>22</v>
      </c>
      <c r="K3" s="2" t="s">
        <v>23</v>
      </c>
      <c r="L3" s="2" t="s">
        <v>18</v>
      </c>
      <c r="M3" s="2" t="s">
        <v>75</v>
      </c>
      <c r="P3" s="2" t="s">
        <v>14</v>
      </c>
      <c r="Q3" s="2" t="s">
        <v>15</v>
      </c>
      <c r="R3" s="2" t="s">
        <v>16</v>
      </c>
      <c r="S3" s="2" t="s">
        <v>20</v>
      </c>
      <c r="T3" s="2" t="s">
        <v>8</v>
      </c>
      <c r="U3" s="2" t="s">
        <v>21</v>
      </c>
      <c r="V3" s="2" t="s">
        <v>22</v>
      </c>
      <c r="W3" s="2" t="s">
        <v>23</v>
      </c>
      <c r="X3" s="2" t="s">
        <v>18</v>
      </c>
    </row>
    <row r="4" spans="1:24" x14ac:dyDescent="0.25">
      <c r="A4" s="1" t="s">
        <v>45</v>
      </c>
      <c r="B4" s="1" t="s">
        <v>1656</v>
      </c>
      <c r="C4" s="1" t="s">
        <v>1657</v>
      </c>
      <c r="D4" s="1" t="s">
        <v>52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7">
        <v>16</v>
      </c>
      <c r="K4" s="1">
        <v>1</v>
      </c>
      <c r="L4" s="7">
        <v>161.65</v>
      </c>
      <c r="M4" s="1" t="s">
        <v>78</v>
      </c>
      <c r="P4" s="1" t="str">
        <f>Setup!$A$4</f>
        <v>Expert 01</v>
      </c>
      <c r="Q4" s="1">
        <f t="shared" ref="Q4:Q15" si="0">SUMIF($A$4:$A$43,$P4,E$4:E$43)</f>
        <v>0</v>
      </c>
      <c r="R4" s="1">
        <f t="shared" ref="R4:R15" si="1">SUMIF($A$4:$A$43,$P4,F$4:F$43)</f>
        <v>0</v>
      </c>
      <c r="S4" s="1">
        <f t="shared" ref="S4:S15" si="2">SUMIF($A$4:$A$43,$P4,G$4:G$43)</f>
        <v>0</v>
      </c>
      <c r="T4" s="1">
        <f t="shared" ref="T4:T15" si="3">SUMIF($A$4:$A$43,$P4,H$4:H$43)</f>
        <v>0</v>
      </c>
      <c r="U4" s="1">
        <f t="shared" ref="U4:U15" si="4">SUMIF($A$4:$A$43,$P4,I$4:I$43)</f>
        <v>0</v>
      </c>
      <c r="V4" s="7">
        <f t="shared" ref="V4:V15" si="5">SUMIF($A$4:$A$43,$P4,J$4:J$43)</f>
        <v>0</v>
      </c>
      <c r="W4" s="1">
        <f t="shared" ref="W4:W15" si="6">SUMIF($A$4:$A$43,$P4,K$4:K$43)</f>
        <v>1</v>
      </c>
      <c r="X4" s="7">
        <f t="shared" ref="X4:X15" si="7">SUMIF($A$4:$A$43,$P4,L$4:L$43)</f>
        <v>190.56</v>
      </c>
    </row>
    <row r="5" spans="1:24" x14ac:dyDescent="0.25">
      <c r="A5" s="1" t="s">
        <v>45</v>
      </c>
      <c r="B5" s="1" t="s">
        <v>1658</v>
      </c>
      <c r="C5" s="1" t="s">
        <v>1659</v>
      </c>
      <c r="D5" s="1" t="s">
        <v>36</v>
      </c>
      <c r="E5" s="1">
        <v>0</v>
      </c>
      <c r="F5" s="1">
        <v>1</v>
      </c>
      <c r="G5" s="1">
        <v>0</v>
      </c>
      <c r="H5" s="1">
        <v>0</v>
      </c>
      <c r="I5" s="1">
        <v>0</v>
      </c>
      <c r="J5" s="7">
        <v>18</v>
      </c>
      <c r="K5" s="1">
        <v>1</v>
      </c>
      <c r="L5" s="7">
        <v>1.68</v>
      </c>
      <c r="M5" s="1" t="s">
        <v>78</v>
      </c>
      <c r="P5" s="1" t="str">
        <f>Setup!$A$5</f>
        <v>Expert 02</v>
      </c>
      <c r="Q5" s="1">
        <f t="shared" si="0"/>
        <v>1</v>
      </c>
      <c r="R5" s="1">
        <f t="shared" si="1"/>
        <v>0</v>
      </c>
      <c r="S5" s="1">
        <f t="shared" si="2"/>
        <v>0</v>
      </c>
      <c r="T5" s="1">
        <f t="shared" si="3"/>
        <v>0</v>
      </c>
      <c r="U5" s="1">
        <f t="shared" si="4"/>
        <v>0</v>
      </c>
      <c r="V5" s="7">
        <f t="shared" si="5"/>
        <v>33</v>
      </c>
      <c r="W5" s="1">
        <f t="shared" si="6"/>
        <v>0</v>
      </c>
      <c r="X5" s="7">
        <f t="shared" si="7"/>
        <v>0</v>
      </c>
    </row>
    <row r="6" spans="1:24" x14ac:dyDescent="0.25">
      <c r="A6" s="1" t="s">
        <v>49</v>
      </c>
      <c r="B6" s="1" t="s">
        <v>1660</v>
      </c>
      <c r="C6" s="1" t="s">
        <v>1661</v>
      </c>
      <c r="D6" s="1" t="s">
        <v>34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7">
        <v>16</v>
      </c>
      <c r="K6" s="1">
        <v>1</v>
      </c>
      <c r="L6" s="7">
        <v>136.72999999999999</v>
      </c>
      <c r="M6" s="1" t="s">
        <v>78</v>
      </c>
      <c r="P6" s="1" t="str">
        <f>Setup!$A$6</f>
        <v>Expert 03</v>
      </c>
      <c r="Q6" s="1">
        <f t="shared" si="0"/>
        <v>1</v>
      </c>
      <c r="R6" s="1">
        <f t="shared" si="1"/>
        <v>1</v>
      </c>
      <c r="S6" s="1">
        <f t="shared" si="2"/>
        <v>0</v>
      </c>
      <c r="T6" s="1">
        <f t="shared" si="3"/>
        <v>1</v>
      </c>
      <c r="U6" s="1">
        <f t="shared" si="4"/>
        <v>0</v>
      </c>
      <c r="V6" s="7">
        <f t="shared" si="5"/>
        <v>16</v>
      </c>
      <c r="W6" s="1">
        <f t="shared" si="6"/>
        <v>1</v>
      </c>
      <c r="X6" s="7">
        <f t="shared" si="7"/>
        <v>0</v>
      </c>
    </row>
    <row r="7" spans="1:24" x14ac:dyDescent="0.25">
      <c r="A7" s="1" t="s">
        <v>53</v>
      </c>
      <c r="B7" s="1" t="s">
        <v>1662</v>
      </c>
      <c r="C7" s="1" t="s">
        <v>1663</v>
      </c>
      <c r="D7" s="1" t="s">
        <v>63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7">
        <v>0</v>
      </c>
      <c r="K7" s="1">
        <v>1</v>
      </c>
      <c r="L7" s="7">
        <v>5.03</v>
      </c>
      <c r="M7" s="1" t="s">
        <v>78</v>
      </c>
      <c r="P7" s="1" t="str">
        <f>Setup!$A$7</f>
        <v>Expert 04</v>
      </c>
      <c r="Q7" s="1">
        <f t="shared" si="0"/>
        <v>2</v>
      </c>
      <c r="R7" s="1">
        <f t="shared" si="1"/>
        <v>1</v>
      </c>
      <c r="S7" s="1">
        <f t="shared" si="2"/>
        <v>1</v>
      </c>
      <c r="T7" s="1">
        <f t="shared" si="3"/>
        <v>0</v>
      </c>
      <c r="U7" s="1">
        <f t="shared" si="4"/>
        <v>1</v>
      </c>
      <c r="V7" s="7">
        <f t="shared" si="5"/>
        <v>64</v>
      </c>
      <c r="W7" s="1">
        <f t="shared" si="6"/>
        <v>5</v>
      </c>
      <c r="X7" s="7">
        <f t="shared" si="7"/>
        <v>157.24999999999997</v>
      </c>
    </row>
    <row r="8" spans="1:24" x14ac:dyDescent="0.25">
      <c r="A8" s="1" t="s">
        <v>55</v>
      </c>
      <c r="B8" s="1" t="s">
        <v>1664</v>
      </c>
      <c r="C8" s="1" t="s">
        <v>1665</v>
      </c>
      <c r="D8" s="1" t="s">
        <v>54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7">
        <v>15</v>
      </c>
      <c r="K8" s="1">
        <v>1</v>
      </c>
      <c r="L8" s="7">
        <v>0</v>
      </c>
      <c r="M8" s="1" t="s">
        <v>78</v>
      </c>
      <c r="P8" s="1" t="str">
        <f>Setup!$A$8</f>
        <v>Expert 05</v>
      </c>
      <c r="Q8" s="1">
        <f t="shared" si="0"/>
        <v>2</v>
      </c>
      <c r="R8" s="1">
        <f t="shared" si="1"/>
        <v>0</v>
      </c>
      <c r="S8" s="1">
        <f t="shared" si="2"/>
        <v>0</v>
      </c>
      <c r="T8" s="1">
        <f t="shared" si="3"/>
        <v>0</v>
      </c>
      <c r="U8" s="1">
        <f t="shared" si="4"/>
        <v>0</v>
      </c>
      <c r="V8" s="7">
        <f t="shared" si="5"/>
        <v>16</v>
      </c>
      <c r="W8" s="1">
        <f t="shared" si="6"/>
        <v>2</v>
      </c>
      <c r="X8" s="7">
        <f t="shared" si="7"/>
        <v>84.72999999999999</v>
      </c>
    </row>
    <row r="9" spans="1:24" x14ac:dyDescent="0.25">
      <c r="A9" s="1" t="s">
        <v>55</v>
      </c>
      <c r="B9" s="1" t="s">
        <v>1666</v>
      </c>
      <c r="C9" s="1" t="s">
        <v>1667</v>
      </c>
      <c r="D9" s="1" t="s">
        <v>38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7">
        <v>0</v>
      </c>
      <c r="K9" s="1">
        <v>1</v>
      </c>
      <c r="L9" s="7">
        <v>32.82</v>
      </c>
      <c r="M9" s="1" t="s">
        <v>83</v>
      </c>
      <c r="P9" s="1" t="str">
        <f>Setup!$A$9</f>
        <v>Expert 06</v>
      </c>
      <c r="Q9" s="1">
        <f t="shared" si="0"/>
        <v>0</v>
      </c>
      <c r="R9" s="1">
        <f t="shared" si="1"/>
        <v>0</v>
      </c>
      <c r="S9" s="1">
        <f t="shared" si="2"/>
        <v>0</v>
      </c>
      <c r="T9" s="1">
        <f t="shared" si="3"/>
        <v>0</v>
      </c>
      <c r="U9" s="1">
        <f t="shared" si="4"/>
        <v>1</v>
      </c>
      <c r="V9" s="7">
        <f t="shared" si="5"/>
        <v>0</v>
      </c>
      <c r="W9" s="1">
        <f t="shared" si="6"/>
        <v>1</v>
      </c>
      <c r="X9" s="7">
        <f t="shared" si="7"/>
        <v>145.78</v>
      </c>
    </row>
    <row r="10" spans="1:24" x14ac:dyDescent="0.25">
      <c r="A10" s="1" t="s">
        <v>45</v>
      </c>
      <c r="B10" s="1" t="s">
        <v>1668</v>
      </c>
      <c r="C10" s="1" t="s">
        <v>1669</v>
      </c>
      <c r="D10" s="1" t="s">
        <v>60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7">
        <v>16</v>
      </c>
      <c r="K10" s="1">
        <v>1</v>
      </c>
      <c r="L10" s="7">
        <v>18.68</v>
      </c>
      <c r="M10" s="1" t="s">
        <v>78</v>
      </c>
      <c r="P10" s="1" t="str">
        <f>Setup!$A$10</f>
        <v>Expert 07</v>
      </c>
      <c r="Q10" s="1">
        <f t="shared" si="0"/>
        <v>0</v>
      </c>
      <c r="R10" s="1">
        <f t="shared" si="1"/>
        <v>2</v>
      </c>
      <c r="S10" s="1">
        <f t="shared" si="2"/>
        <v>0</v>
      </c>
      <c r="T10" s="1">
        <f t="shared" si="3"/>
        <v>0</v>
      </c>
      <c r="U10" s="1">
        <f t="shared" si="4"/>
        <v>0</v>
      </c>
      <c r="V10" s="7">
        <f t="shared" si="5"/>
        <v>50</v>
      </c>
      <c r="W10" s="1">
        <f t="shared" si="6"/>
        <v>3</v>
      </c>
      <c r="X10" s="7">
        <f t="shared" si="7"/>
        <v>182.01000000000002</v>
      </c>
    </row>
    <row r="11" spans="1:24" x14ac:dyDescent="0.25">
      <c r="A11" s="1" t="s">
        <v>43</v>
      </c>
      <c r="B11" s="1" t="s">
        <v>1670</v>
      </c>
      <c r="C11" s="1" t="s">
        <v>1671</v>
      </c>
      <c r="D11" s="1" t="s">
        <v>66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7">
        <v>0</v>
      </c>
      <c r="K11" s="1">
        <v>0</v>
      </c>
      <c r="L11" s="7">
        <v>145.78</v>
      </c>
      <c r="M11" s="1" t="s">
        <v>78</v>
      </c>
      <c r="P11" s="1" t="str">
        <f>Setup!$A$11</f>
        <v>Expert 08</v>
      </c>
      <c r="Q11" s="1">
        <f t="shared" si="0"/>
        <v>0</v>
      </c>
      <c r="R11" s="1">
        <f t="shared" si="1"/>
        <v>0</v>
      </c>
      <c r="S11" s="1">
        <f t="shared" si="2"/>
        <v>0</v>
      </c>
      <c r="T11" s="1">
        <f t="shared" si="3"/>
        <v>0</v>
      </c>
      <c r="U11" s="1">
        <f t="shared" si="4"/>
        <v>0</v>
      </c>
      <c r="V11" s="7">
        <f t="shared" si="5"/>
        <v>0</v>
      </c>
      <c r="W11" s="1">
        <f t="shared" si="6"/>
        <v>0</v>
      </c>
      <c r="X11" s="7">
        <f t="shared" si="7"/>
        <v>0</v>
      </c>
    </row>
    <row r="12" spans="1:24" x14ac:dyDescent="0.25">
      <c r="A12" s="1" t="s">
        <v>39</v>
      </c>
      <c r="B12" s="1" t="s">
        <v>1672</v>
      </c>
      <c r="C12" s="1" t="s">
        <v>1673</v>
      </c>
      <c r="D12" s="1" t="s">
        <v>66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7">
        <v>0</v>
      </c>
      <c r="K12" s="1">
        <v>0</v>
      </c>
      <c r="L12" s="7">
        <v>0</v>
      </c>
      <c r="M12" s="1" t="s">
        <v>78</v>
      </c>
      <c r="P12" s="1" t="str">
        <f>Setup!$A$12</f>
        <v>Expert 09</v>
      </c>
      <c r="Q12" s="1">
        <f t="shared" si="0"/>
        <v>2</v>
      </c>
      <c r="R12" s="1">
        <f t="shared" si="1"/>
        <v>1</v>
      </c>
      <c r="S12" s="1">
        <f t="shared" si="2"/>
        <v>0</v>
      </c>
      <c r="T12" s="1">
        <f t="shared" si="3"/>
        <v>0</v>
      </c>
      <c r="U12" s="1">
        <f t="shared" si="4"/>
        <v>0</v>
      </c>
      <c r="V12" s="7">
        <f t="shared" si="5"/>
        <v>73</v>
      </c>
      <c r="W12" s="1">
        <f t="shared" si="6"/>
        <v>3</v>
      </c>
      <c r="X12" s="7">
        <f t="shared" si="7"/>
        <v>261.18</v>
      </c>
    </row>
    <row r="13" spans="1:24" x14ac:dyDescent="0.25">
      <c r="A13" s="1" t="s">
        <v>33</v>
      </c>
      <c r="B13" s="1" t="s">
        <v>1674</v>
      </c>
      <c r="C13" s="1" t="s">
        <v>1675</v>
      </c>
      <c r="D13" s="1" t="s">
        <v>69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7">
        <v>0</v>
      </c>
      <c r="K13" s="1">
        <v>0</v>
      </c>
      <c r="L13" s="7">
        <v>145.93</v>
      </c>
      <c r="M13" s="1" t="s">
        <v>78</v>
      </c>
      <c r="P13" s="1" t="str">
        <f>Setup!$A$13</f>
        <v>Expert 10</v>
      </c>
      <c r="Q13" s="1">
        <f t="shared" si="0"/>
        <v>0</v>
      </c>
      <c r="R13" s="1">
        <f t="shared" si="1"/>
        <v>0</v>
      </c>
      <c r="S13" s="1">
        <f t="shared" si="2"/>
        <v>0</v>
      </c>
      <c r="T13" s="1">
        <f t="shared" si="3"/>
        <v>0</v>
      </c>
      <c r="U13" s="1">
        <f t="shared" si="4"/>
        <v>0</v>
      </c>
      <c r="V13" s="7">
        <f t="shared" si="5"/>
        <v>0</v>
      </c>
      <c r="W13" s="1">
        <f t="shared" si="6"/>
        <v>0</v>
      </c>
      <c r="X13" s="7">
        <f t="shared" si="7"/>
        <v>0</v>
      </c>
    </row>
    <row r="14" spans="1:24" x14ac:dyDescent="0.25">
      <c r="A14" s="1" t="s">
        <v>37</v>
      </c>
      <c r="B14" s="1" t="s">
        <v>1676</v>
      </c>
      <c r="C14" s="1" t="s">
        <v>1677</v>
      </c>
      <c r="D14" s="1" t="s">
        <v>48</v>
      </c>
      <c r="E14" s="1">
        <v>0</v>
      </c>
      <c r="F14" s="1">
        <v>1</v>
      </c>
      <c r="G14" s="1">
        <v>0</v>
      </c>
      <c r="H14" s="1">
        <v>1</v>
      </c>
      <c r="I14" s="1">
        <v>0</v>
      </c>
      <c r="J14" s="7">
        <v>0</v>
      </c>
      <c r="K14" s="1">
        <v>1</v>
      </c>
      <c r="L14" s="7">
        <v>0</v>
      </c>
      <c r="M14" s="1" t="s">
        <v>78</v>
      </c>
      <c r="P14" s="1" t="str">
        <f>Setup!$A$14</f>
        <v>Expert 11</v>
      </c>
      <c r="Q14" s="1">
        <f t="shared" si="0"/>
        <v>1</v>
      </c>
      <c r="R14" s="1">
        <f t="shared" si="1"/>
        <v>0</v>
      </c>
      <c r="S14" s="1">
        <f t="shared" si="2"/>
        <v>0</v>
      </c>
      <c r="T14" s="1">
        <f t="shared" si="3"/>
        <v>0</v>
      </c>
      <c r="U14" s="1">
        <f t="shared" si="4"/>
        <v>0</v>
      </c>
      <c r="V14" s="7">
        <f t="shared" si="5"/>
        <v>0</v>
      </c>
      <c r="W14" s="1">
        <f t="shared" si="6"/>
        <v>2</v>
      </c>
      <c r="X14" s="7">
        <f t="shared" si="7"/>
        <v>5.03</v>
      </c>
    </row>
    <row r="15" spans="1:24" x14ac:dyDescent="0.25">
      <c r="A15" s="1" t="s">
        <v>37</v>
      </c>
      <c r="B15" s="1" t="s">
        <v>1678</v>
      </c>
      <c r="C15" s="1" t="s">
        <v>1679</v>
      </c>
      <c r="D15" s="1" t="s">
        <v>67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7">
        <v>16</v>
      </c>
      <c r="K15" s="1">
        <v>0</v>
      </c>
      <c r="L15" s="7">
        <v>0</v>
      </c>
      <c r="M15" s="1" t="s">
        <v>78</v>
      </c>
      <c r="P15" s="1" t="str">
        <f>Setup!$A$15</f>
        <v>Expert 12</v>
      </c>
      <c r="Q15" s="1">
        <f t="shared" si="0"/>
        <v>2</v>
      </c>
      <c r="R15" s="1">
        <f t="shared" si="1"/>
        <v>0</v>
      </c>
      <c r="S15" s="1">
        <f t="shared" si="2"/>
        <v>0</v>
      </c>
      <c r="T15" s="1">
        <f t="shared" si="3"/>
        <v>0</v>
      </c>
      <c r="U15" s="1">
        <f t="shared" si="4"/>
        <v>0</v>
      </c>
      <c r="V15" s="7">
        <f t="shared" si="5"/>
        <v>15</v>
      </c>
      <c r="W15" s="1">
        <f t="shared" si="6"/>
        <v>2</v>
      </c>
      <c r="X15" s="7">
        <f t="shared" si="7"/>
        <v>32.82</v>
      </c>
    </row>
    <row r="16" spans="1:24" x14ac:dyDescent="0.25">
      <c r="A16" s="1" t="s">
        <v>53</v>
      </c>
      <c r="B16" s="1" t="s">
        <v>1680</v>
      </c>
      <c r="C16" s="1" t="s">
        <v>1681</v>
      </c>
      <c r="D16" s="1" t="s">
        <v>38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7">
        <v>0</v>
      </c>
      <c r="K16" s="1">
        <v>1</v>
      </c>
      <c r="L16" s="7">
        <v>0</v>
      </c>
      <c r="M16" s="1" t="s">
        <v>78</v>
      </c>
      <c r="P16" s="8" t="s">
        <v>103</v>
      </c>
      <c r="Q16" s="9">
        <f t="shared" ref="Q16:X16" si="8">SUM(Q4:Q15)</f>
        <v>11</v>
      </c>
      <c r="R16" s="9">
        <f t="shared" si="8"/>
        <v>5</v>
      </c>
      <c r="S16" s="9">
        <f t="shared" si="8"/>
        <v>1</v>
      </c>
      <c r="T16" s="9">
        <f t="shared" si="8"/>
        <v>1</v>
      </c>
      <c r="U16" s="9">
        <f t="shared" si="8"/>
        <v>2</v>
      </c>
      <c r="V16" s="10">
        <f t="shared" si="8"/>
        <v>267</v>
      </c>
      <c r="W16" s="9">
        <f t="shared" si="8"/>
        <v>20</v>
      </c>
      <c r="X16" s="10">
        <f t="shared" si="8"/>
        <v>1059.3599999999999</v>
      </c>
    </row>
    <row r="17" spans="1:13" x14ac:dyDescent="0.25">
      <c r="A17" s="1" t="s">
        <v>33</v>
      </c>
      <c r="B17" s="1" t="s">
        <v>1682</v>
      </c>
      <c r="C17" s="1" t="s">
        <v>1683</v>
      </c>
      <c r="D17" s="1" t="s">
        <v>63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7">
        <v>0</v>
      </c>
      <c r="K17" s="1">
        <v>1</v>
      </c>
      <c r="L17" s="7">
        <v>44.63</v>
      </c>
      <c r="M17" s="1" t="s">
        <v>78</v>
      </c>
    </row>
    <row r="18" spans="1:13" x14ac:dyDescent="0.25">
      <c r="A18" s="1" t="s">
        <v>43</v>
      </c>
      <c r="B18" s="1" t="s">
        <v>666</v>
      </c>
      <c r="C18" s="1" t="s">
        <v>1684</v>
      </c>
      <c r="D18" s="1" t="s">
        <v>61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7">
        <v>0</v>
      </c>
      <c r="K18" s="1">
        <v>1</v>
      </c>
      <c r="L18" s="7">
        <v>0</v>
      </c>
      <c r="M18" s="1" t="s">
        <v>78</v>
      </c>
    </row>
    <row r="19" spans="1:13" x14ac:dyDescent="0.25">
      <c r="A19" s="1" t="s">
        <v>39</v>
      </c>
      <c r="B19" s="1" t="s">
        <v>1685</v>
      </c>
      <c r="C19" s="1" t="s">
        <v>1686</v>
      </c>
      <c r="D19" s="1" t="s">
        <v>46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7">
        <v>0</v>
      </c>
      <c r="K19" s="1">
        <v>1</v>
      </c>
      <c r="L19" s="7">
        <v>75.03</v>
      </c>
      <c r="M19" s="1" t="s">
        <v>78</v>
      </c>
    </row>
    <row r="20" spans="1:13" x14ac:dyDescent="0.25">
      <c r="A20" s="1" t="s">
        <v>41</v>
      </c>
      <c r="B20" s="1" t="s">
        <v>1687</v>
      </c>
      <c r="C20" s="1" t="s">
        <v>1688</v>
      </c>
      <c r="D20" s="1" t="s">
        <v>42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7">
        <v>16</v>
      </c>
      <c r="K20" s="1">
        <v>1</v>
      </c>
      <c r="L20" s="7">
        <v>57.83</v>
      </c>
      <c r="M20" s="1" t="s">
        <v>78</v>
      </c>
    </row>
    <row r="21" spans="1:13" x14ac:dyDescent="0.25">
      <c r="A21" s="1" t="s">
        <v>39</v>
      </c>
      <c r="B21" s="1" t="s">
        <v>1689</v>
      </c>
      <c r="C21" s="1" t="s">
        <v>1690</v>
      </c>
      <c r="D21" s="1" t="s">
        <v>46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7">
        <v>15</v>
      </c>
      <c r="K21" s="1">
        <v>1</v>
      </c>
      <c r="L21" s="7">
        <v>0</v>
      </c>
      <c r="M21" s="1" t="s">
        <v>83</v>
      </c>
    </row>
    <row r="22" spans="1:13" x14ac:dyDescent="0.25">
      <c r="A22" s="1" t="s">
        <v>39</v>
      </c>
      <c r="B22" s="1" t="s">
        <v>1691</v>
      </c>
      <c r="C22" s="1" t="s">
        <v>1692</v>
      </c>
      <c r="D22" s="1" t="s">
        <v>42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7">
        <v>16</v>
      </c>
      <c r="K22" s="1">
        <v>1</v>
      </c>
      <c r="L22" s="7">
        <v>0</v>
      </c>
      <c r="M22" s="1" t="s">
        <v>78</v>
      </c>
    </row>
    <row r="23" spans="1:13" x14ac:dyDescent="0.25">
      <c r="A23" s="1" t="s">
        <v>39</v>
      </c>
      <c r="B23" s="1" t="s">
        <v>1693</v>
      </c>
      <c r="C23" s="1" t="s">
        <v>1694</v>
      </c>
      <c r="D23" s="1" t="s">
        <v>54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7">
        <v>33</v>
      </c>
      <c r="K23" s="1">
        <v>1</v>
      </c>
      <c r="L23" s="7">
        <v>74.8</v>
      </c>
      <c r="M23" s="1" t="s">
        <v>78</v>
      </c>
    </row>
    <row r="24" spans="1:13" x14ac:dyDescent="0.25">
      <c r="A24" s="1" t="s">
        <v>49</v>
      </c>
      <c r="B24" s="1" t="s">
        <v>1695</v>
      </c>
      <c r="C24" s="1" t="s">
        <v>1696</v>
      </c>
      <c r="D24" s="1" t="s">
        <v>58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J24" s="7">
        <v>33</v>
      </c>
      <c r="K24" s="1">
        <v>1</v>
      </c>
      <c r="L24" s="7">
        <v>119.65</v>
      </c>
      <c r="M24" s="1" t="s">
        <v>78</v>
      </c>
    </row>
    <row r="25" spans="1:13" x14ac:dyDescent="0.25">
      <c r="A25" s="1" t="s">
        <v>49</v>
      </c>
      <c r="B25" s="1" t="s">
        <v>1697</v>
      </c>
      <c r="C25" s="1" t="s">
        <v>1698</v>
      </c>
      <c r="D25" s="1" t="s">
        <v>58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7">
        <v>24</v>
      </c>
      <c r="K25" s="1">
        <v>1</v>
      </c>
      <c r="L25" s="7">
        <v>4.8</v>
      </c>
      <c r="M25" s="1" t="s">
        <v>78</v>
      </c>
    </row>
    <row r="26" spans="1:13" x14ac:dyDescent="0.25">
      <c r="A26" s="1" t="s">
        <v>39</v>
      </c>
      <c r="B26" s="1" t="s">
        <v>1699</v>
      </c>
      <c r="C26" s="1" t="s">
        <v>1700</v>
      </c>
      <c r="D26" s="1" t="s">
        <v>40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7">
        <v>0</v>
      </c>
      <c r="K26" s="1">
        <v>1</v>
      </c>
      <c r="L26" s="7">
        <v>7.42</v>
      </c>
      <c r="M26" s="1" t="s">
        <v>78</v>
      </c>
    </row>
    <row r="27" spans="1:13" x14ac:dyDescent="0.25">
      <c r="A27" s="1" t="s">
        <v>35</v>
      </c>
      <c r="B27" s="1" t="s">
        <v>1701</v>
      </c>
      <c r="C27" s="1" t="s">
        <v>1702</v>
      </c>
      <c r="D27" s="1" t="s">
        <v>67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7">
        <v>33</v>
      </c>
      <c r="K27" s="1">
        <v>0</v>
      </c>
      <c r="L27" s="7">
        <v>0</v>
      </c>
      <c r="M27" s="1" t="s">
        <v>78</v>
      </c>
    </row>
    <row r="28" spans="1:13" x14ac:dyDescent="0.25">
      <c r="A28" s="1" t="s">
        <v>41</v>
      </c>
      <c r="B28" s="1" t="s">
        <v>1703</v>
      </c>
      <c r="C28" s="1" t="s">
        <v>1704</v>
      </c>
      <c r="D28" s="1" t="s">
        <v>61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7">
        <v>0</v>
      </c>
      <c r="K28" s="1">
        <v>1</v>
      </c>
      <c r="L28" s="7">
        <v>26.9</v>
      </c>
      <c r="M28" s="1" t="s">
        <v>78</v>
      </c>
    </row>
    <row r="29" spans="1:13" x14ac:dyDescent="0.25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7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7"/>
      <c r="M30" s="1"/>
    </row>
    <row r="31" spans="1:13" x14ac:dyDescent="0.25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7"/>
      <c r="M31" s="1"/>
    </row>
    <row r="32" spans="1:13" x14ac:dyDescent="0.25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7"/>
      <c r="M32" s="1"/>
    </row>
    <row r="33" spans="1:13" x14ac:dyDescent="0.25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7"/>
      <c r="M33" s="1"/>
    </row>
    <row r="34" spans="1:13" x14ac:dyDescent="0.25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7"/>
      <c r="M34" s="1"/>
    </row>
    <row r="35" spans="1:13" x14ac:dyDescent="0.25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7"/>
      <c r="M35" s="1"/>
    </row>
    <row r="36" spans="1:13" x14ac:dyDescent="0.25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7"/>
      <c r="M36" s="1"/>
    </row>
    <row r="37" spans="1:13" x14ac:dyDescent="0.25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7"/>
      <c r="M37" s="1"/>
    </row>
    <row r="38" spans="1:13" x14ac:dyDescent="0.25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7"/>
      <c r="M38" s="1"/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7"/>
      <c r="M39" s="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7"/>
      <c r="M40" s="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7"/>
      <c r="M41" s="1"/>
    </row>
    <row r="42" spans="1:13" x14ac:dyDescent="0.25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7"/>
      <c r="M42" s="1"/>
    </row>
    <row r="43" spans="1:13" x14ac:dyDescent="0.25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7"/>
      <c r="M43" s="1"/>
    </row>
  </sheetData>
  <mergeCells count="2">
    <mergeCell ref="A2:M2"/>
    <mergeCell ref="A1:M1"/>
  </mergeCells>
  <dataValidations count="1">
    <dataValidation type="list" allowBlank="1" sqref="M4:M4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Setup!$C$4:$C$27</xm:f>
          </x14:formula1>
          <xm:sqref>D4:D43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2026-08-17T04:12:31Z</dcterms:created>
  <dcterms:modified xsi:type="dcterms:W3CDTF">2026-08-17T04:13:36Z</dcterms:modified>
</cp:coreProperties>
</file>