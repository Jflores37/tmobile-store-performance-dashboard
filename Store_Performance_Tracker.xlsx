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r_2\store-tracker-v2\"/>
    </mc:Choice>
  </mc:AlternateContent>
  <xr:revisionPtr revIDLastSave="0" documentId="13_ncr:1_{843EFF93-5950-4976-95F6-4AA9BBC88111}" xr6:coauthVersionLast="47" xr6:coauthVersionMax="47" xr10:uidLastSave="{00000000-0000-0000-0000-000000000000}"/>
  <bookViews>
    <workbookView minimized="1" xWindow="30765" yWindow="855" windowWidth="21600" windowHeight="14835" activeTab="3" xr2:uid="{00000000-000D-0000-FFFF-FFFF00000000}"/>
  </bookViews>
  <sheets>
    <sheet name="Dashboard" sheetId="1" r:id="rId1"/>
    <sheet name="Team Leaderboard" sheetId="2" r:id="rId2"/>
    <sheet name="Daily Trend" sheetId="3" r:id="rId3"/>
    <sheet name="Store Total" sheetId="4" r:id="rId4"/>
    <sheet name="Setup" sheetId="5" r:id="rId5"/>
    <sheet name="1" sheetId="6" r:id="rId6"/>
    <sheet name="2" sheetId="7" r:id="rId7"/>
    <sheet name="3" sheetId="8" r:id="rId8"/>
    <sheet name="4" sheetId="9" r:id="rId9"/>
    <sheet name="5" sheetId="10" r:id="rId10"/>
    <sheet name="6" sheetId="11" r:id="rId11"/>
    <sheet name="7" sheetId="12" r:id="rId12"/>
    <sheet name="8" sheetId="13" r:id="rId13"/>
    <sheet name="9" sheetId="14" r:id="rId14"/>
    <sheet name="10" sheetId="15" r:id="rId15"/>
    <sheet name="11" sheetId="16" r:id="rId16"/>
    <sheet name="12" sheetId="17" r:id="rId17"/>
    <sheet name="13" sheetId="18" r:id="rId18"/>
    <sheet name="14" sheetId="19" r:id="rId19"/>
    <sheet name="15" sheetId="20" r:id="rId20"/>
    <sheet name="16" sheetId="21" r:id="rId21"/>
    <sheet name="17" sheetId="22" r:id="rId22"/>
    <sheet name="18" sheetId="23" r:id="rId23"/>
    <sheet name="19" sheetId="24" r:id="rId24"/>
    <sheet name="20" sheetId="25" r:id="rId25"/>
    <sheet name="21" sheetId="26" r:id="rId26"/>
    <sheet name="22" sheetId="27" r:id="rId27"/>
    <sheet name="23" sheetId="28" r:id="rId28"/>
    <sheet name="24" sheetId="29" r:id="rId29"/>
    <sheet name="25" sheetId="30" r:id="rId30"/>
    <sheet name="26" sheetId="31" r:id="rId31"/>
    <sheet name="27" sheetId="32" r:id="rId32"/>
    <sheet name="28" sheetId="33" r:id="rId33"/>
    <sheet name="29" sheetId="34" r:id="rId34"/>
    <sheet name="30" sheetId="35" r:id="rId35"/>
    <sheet name="31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36" l="1"/>
  <c r="P14" i="36"/>
  <c r="P13" i="36"/>
  <c r="P12" i="36"/>
  <c r="R12" i="36" s="1"/>
  <c r="P11" i="36"/>
  <c r="P10" i="36"/>
  <c r="P9" i="36"/>
  <c r="P8" i="36"/>
  <c r="P7" i="36"/>
  <c r="P6" i="36"/>
  <c r="P5" i="36"/>
  <c r="P4" i="36"/>
  <c r="P15" i="35"/>
  <c r="P14" i="35"/>
  <c r="P13" i="35"/>
  <c r="P12" i="35"/>
  <c r="P11" i="35"/>
  <c r="P10" i="35"/>
  <c r="P9" i="35"/>
  <c r="P8" i="35"/>
  <c r="U8" i="35" s="1"/>
  <c r="P7" i="35"/>
  <c r="P6" i="35"/>
  <c r="P5" i="35"/>
  <c r="P4" i="35"/>
  <c r="P15" i="34"/>
  <c r="X14" i="34"/>
  <c r="P14" i="34"/>
  <c r="P13" i="34"/>
  <c r="P12" i="34"/>
  <c r="P11" i="34"/>
  <c r="P10" i="34"/>
  <c r="P9" i="34"/>
  <c r="P8" i="34"/>
  <c r="P7" i="34"/>
  <c r="P6" i="34"/>
  <c r="P5" i="34"/>
  <c r="P4" i="34"/>
  <c r="P15" i="33"/>
  <c r="P14" i="33"/>
  <c r="P13" i="33"/>
  <c r="P12" i="33"/>
  <c r="P11" i="33"/>
  <c r="P10" i="33"/>
  <c r="P9" i="33"/>
  <c r="P8" i="33"/>
  <c r="P7" i="33"/>
  <c r="P6" i="33"/>
  <c r="P5" i="33"/>
  <c r="P4" i="33"/>
  <c r="P15" i="32"/>
  <c r="P14" i="32"/>
  <c r="P13" i="32"/>
  <c r="X12" i="32"/>
  <c r="P12" i="32"/>
  <c r="P11" i="32"/>
  <c r="P10" i="32"/>
  <c r="P9" i="32"/>
  <c r="P8" i="32"/>
  <c r="P7" i="32"/>
  <c r="P6" i="32"/>
  <c r="P5" i="32"/>
  <c r="P4" i="32"/>
  <c r="P15" i="31"/>
  <c r="P14" i="31"/>
  <c r="P13" i="31"/>
  <c r="P12" i="31"/>
  <c r="P11" i="31"/>
  <c r="P10" i="31"/>
  <c r="P9" i="31"/>
  <c r="P8" i="31"/>
  <c r="P7" i="31"/>
  <c r="P6" i="31"/>
  <c r="P5" i="31"/>
  <c r="P4" i="31"/>
  <c r="P15" i="30"/>
  <c r="P14" i="30"/>
  <c r="P13" i="30"/>
  <c r="P12" i="30"/>
  <c r="P11" i="30"/>
  <c r="P10" i="30"/>
  <c r="P9" i="30"/>
  <c r="P8" i="30"/>
  <c r="P7" i="30"/>
  <c r="P6" i="30"/>
  <c r="P5" i="30"/>
  <c r="P4" i="30"/>
  <c r="P15" i="29"/>
  <c r="P14" i="29"/>
  <c r="P13" i="29"/>
  <c r="P12" i="29"/>
  <c r="P11" i="29"/>
  <c r="P10" i="29"/>
  <c r="P9" i="29"/>
  <c r="P8" i="29"/>
  <c r="S8" i="29" s="1"/>
  <c r="P7" i="29"/>
  <c r="P6" i="29"/>
  <c r="P5" i="29"/>
  <c r="P4" i="29"/>
  <c r="P15" i="28"/>
  <c r="P14" i="28"/>
  <c r="P13" i="28"/>
  <c r="S13" i="28" s="1"/>
  <c r="P12" i="28"/>
  <c r="P11" i="28"/>
  <c r="P10" i="28"/>
  <c r="P9" i="28"/>
  <c r="P8" i="28"/>
  <c r="P7" i="28"/>
  <c r="P6" i="28"/>
  <c r="P5" i="28"/>
  <c r="P4" i="28"/>
  <c r="P15" i="27"/>
  <c r="P14" i="27"/>
  <c r="P13" i="27"/>
  <c r="P12" i="27"/>
  <c r="P11" i="27"/>
  <c r="P10" i="27"/>
  <c r="P9" i="27"/>
  <c r="P8" i="27"/>
  <c r="P7" i="27"/>
  <c r="P6" i="27"/>
  <c r="P5" i="27"/>
  <c r="P4" i="27"/>
  <c r="P15" i="26"/>
  <c r="P14" i="26"/>
  <c r="P13" i="26"/>
  <c r="P12" i="26"/>
  <c r="P11" i="26"/>
  <c r="P10" i="26"/>
  <c r="P9" i="26"/>
  <c r="P8" i="26"/>
  <c r="P7" i="26"/>
  <c r="P6" i="26"/>
  <c r="P5" i="26"/>
  <c r="P4" i="26"/>
  <c r="X4" i="26" s="1"/>
  <c r="P15" i="25"/>
  <c r="P14" i="25"/>
  <c r="P13" i="25"/>
  <c r="P12" i="25"/>
  <c r="P11" i="25"/>
  <c r="P10" i="25"/>
  <c r="P9" i="25"/>
  <c r="P8" i="25"/>
  <c r="P7" i="25"/>
  <c r="P6" i="25"/>
  <c r="P5" i="25"/>
  <c r="P4" i="25"/>
  <c r="P15" i="24"/>
  <c r="V15" i="24" s="1"/>
  <c r="P14" i="24"/>
  <c r="P13" i="24"/>
  <c r="P12" i="24"/>
  <c r="P11" i="24"/>
  <c r="P10" i="24"/>
  <c r="P9" i="24"/>
  <c r="P8" i="24"/>
  <c r="P7" i="24"/>
  <c r="Q7" i="24" s="1"/>
  <c r="P6" i="24"/>
  <c r="P5" i="24"/>
  <c r="P4" i="24"/>
  <c r="P15" i="23"/>
  <c r="P14" i="23"/>
  <c r="P13" i="23"/>
  <c r="P12" i="23"/>
  <c r="P11" i="23"/>
  <c r="P10" i="23"/>
  <c r="P9" i="23"/>
  <c r="P8" i="23"/>
  <c r="P7" i="23"/>
  <c r="P6" i="23"/>
  <c r="P5" i="23"/>
  <c r="P4" i="23"/>
  <c r="P15" i="22"/>
  <c r="P14" i="22"/>
  <c r="P13" i="22"/>
  <c r="P12" i="22"/>
  <c r="P11" i="22"/>
  <c r="P10" i="22"/>
  <c r="P9" i="22"/>
  <c r="P8" i="22"/>
  <c r="P7" i="22"/>
  <c r="P6" i="22"/>
  <c r="P5" i="22"/>
  <c r="P4" i="22"/>
  <c r="P15" i="21"/>
  <c r="P14" i="21"/>
  <c r="P13" i="21"/>
  <c r="P12" i="21"/>
  <c r="P11" i="21"/>
  <c r="P10" i="21"/>
  <c r="P9" i="21"/>
  <c r="P8" i="21"/>
  <c r="P7" i="21"/>
  <c r="P6" i="21"/>
  <c r="P5" i="21"/>
  <c r="P4" i="21"/>
  <c r="P15" i="20"/>
  <c r="P14" i="20"/>
  <c r="P13" i="20"/>
  <c r="P12" i="20"/>
  <c r="P11" i="20"/>
  <c r="P10" i="20"/>
  <c r="P9" i="20"/>
  <c r="P8" i="20"/>
  <c r="P7" i="20"/>
  <c r="P6" i="20"/>
  <c r="P5" i="20"/>
  <c r="P4" i="20"/>
  <c r="P15" i="19"/>
  <c r="P14" i="19"/>
  <c r="P13" i="19"/>
  <c r="P12" i="19"/>
  <c r="P11" i="19"/>
  <c r="P10" i="19"/>
  <c r="P9" i="19"/>
  <c r="P8" i="19"/>
  <c r="P7" i="19"/>
  <c r="P6" i="19"/>
  <c r="P5" i="19"/>
  <c r="P4" i="19"/>
  <c r="P15" i="18"/>
  <c r="P14" i="18"/>
  <c r="P13" i="18"/>
  <c r="P12" i="18"/>
  <c r="P11" i="18"/>
  <c r="P10" i="18"/>
  <c r="P9" i="18"/>
  <c r="P8" i="18"/>
  <c r="P7" i="18"/>
  <c r="P6" i="18"/>
  <c r="P5" i="18"/>
  <c r="P4" i="18"/>
  <c r="P15" i="17"/>
  <c r="P14" i="17"/>
  <c r="P13" i="17"/>
  <c r="P12" i="17"/>
  <c r="P11" i="17"/>
  <c r="P10" i="17"/>
  <c r="P9" i="17"/>
  <c r="P8" i="17"/>
  <c r="P7" i="17"/>
  <c r="P6" i="17"/>
  <c r="P5" i="17"/>
  <c r="P4" i="17"/>
  <c r="P15" i="16"/>
  <c r="P14" i="16"/>
  <c r="P13" i="16"/>
  <c r="P12" i="16"/>
  <c r="P11" i="16"/>
  <c r="P10" i="16"/>
  <c r="P9" i="16"/>
  <c r="P8" i="16"/>
  <c r="P7" i="16"/>
  <c r="P6" i="16"/>
  <c r="P5" i="16"/>
  <c r="P4" i="16"/>
  <c r="P15" i="15"/>
  <c r="P14" i="15"/>
  <c r="P13" i="15"/>
  <c r="P12" i="15"/>
  <c r="P11" i="15"/>
  <c r="P10" i="15"/>
  <c r="P9" i="15"/>
  <c r="P8" i="15"/>
  <c r="P7" i="15"/>
  <c r="P6" i="15"/>
  <c r="P5" i="15"/>
  <c r="P4" i="15"/>
  <c r="P15" i="14"/>
  <c r="P14" i="14"/>
  <c r="P13" i="14"/>
  <c r="P12" i="14"/>
  <c r="P11" i="14"/>
  <c r="P10" i="14"/>
  <c r="P9" i="14"/>
  <c r="P8" i="14"/>
  <c r="P7" i="14"/>
  <c r="P6" i="14"/>
  <c r="P5" i="14"/>
  <c r="P4" i="14"/>
  <c r="P15" i="13"/>
  <c r="W14" i="13"/>
  <c r="P14" i="13"/>
  <c r="P13" i="13"/>
  <c r="P12" i="13"/>
  <c r="P11" i="13"/>
  <c r="P10" i="13"/>
  <c r="P9" i="13"/>
  <c r="P8" i="13"/>
  <c r="P7" i="13"/>
  <c r="P6" i="13"/>
  <c r="P5" i="13"/>
  <c r="P4" i="13"/>
  <c r="P15" i="12"/>
  <c r="P14" i="12"/>
  <c r="P13" i="12"/>
  <c r="P12" i="12"/>
  <c r="P11" i="12"/>
  <c r="P10" i="12"/>
  <c r="P9" i="12"/>
  <c r="P8" i="12"/>
  <c r="P7" i="12"/>
  <c r="P6" i="12"/>
  <c r="P5" i="12"/>
  <c r="P4" i="12"/>
  <c r="P15" i="11"/>
  <c r="P14" i="11"/>
  <c r="U14" i="11" s="1"/>
  <c r="P13" i="11"/>
  <c r="P12" i="11"/>
  <c r="P11" i="11"/>
  <c r="P10" i="11"/>
  <c r="P9" i="11"/>
  <c r="P8" i="11"/>
  <c r="P7" i="11"/>
  <c r="P6" i="11"/>
  <c r="P5" i="11"/>
  <c r="P4" i="11"/>
  <c r="P15" i="10"/>
  <c r="P14" i="10"/>
  <c r="P13" i="10"/>
  <c r="P12" i="10"/>
  <c r="P11" i="10"/>
  <c r="P10" i="10"/>
  <c r="P9" i="10"/>
  <c r="P8" i="10"/>
  <c r="P7" i="10"/>
  <c r="P6" i="10"/>
  <c r="P5" i="10"/>
  <c r="P4" i="10"/>
  <c r="P15" i="9"/>
  <c r="P14" i="9"/>
  <c r="P13" i="9"/>
  <c r="P12" i="9"/>
  <c r="P11" i="9"/>
  <c r="P10" i="9"/>
  <c r="P9" i="9"/>
  <c r="P8" i="9"/>
  <c r="P7" i="9"/>
  <c r="P6" i="9"/>
  <c r="P5" i="9"/>
  <c r="P4" i="9"/>
  <c r="P15" i="8"/>
  <c r="P14" i="8"/>
  <c r="P13" i="8"/>
  <c r="P12" i="8"/>
  <c r="P11" i="8"/>
  <c r="P10" i="8"/>
  <c r="P9" i="8"/>
  <c r="P8" i="8"/>
  <c r="P7" i="8"/>
  <c r="P6" i="8"/>
  <c r="P5" i="8"/>
  <c r="P4" i="8"/>
  <c r="P15" i="7"/>
  <c r="P14" i="7"/>
  <c r="P13" i="7"/>
  <c r="P12" i="7"/>
  <c r="P11" i="7"/>
  <c r="P10" i="7"/>
  <c r="P9" i="7"/>
  <c r="P8" i="7"/>
  <c r="P7" i="7"/>
  <c r="P6" i="7"/>
  <c r="P5" i="7"/>
  <c r="P4" i="7"/>
  <c r="P15" i="6"/>
  <c r="P14" i="6"/>
  <c r="P13" i="6"/>
  <c r="P12" i="6"/>
  <c r="P11" i="6"/>
  <c r="P10" i="6"/>
  <c r="P9" i="6"/>
  <c r="P8" i="6"/>
  <c r="P7" i="6"/>
  <c r="P6" i="6"/>
  <c r="P5" i="6"/>
  <c r="P4" i="6"/>
  <c r="C11" i="4"/>
  <c r="C10" i="4"/>
  <c r="C9" i="4"/>
  <c r="C8" i="4"/>
  <c r="C7" i="4"/>
  <c r="C6" i="4"/>
  <c r="C5" i="4"/>
  <c r="C4" i="4"/>
  <c r="B15" i="2"/>
  <c r="B14" i="2"/>
  <c r="B13" i="2"/>
  <c r="B12" i="2"/>
  <c r="B11" i="2"/>
  <c r="B10" i="2"/>
  <c r="B9" i="2"/>
  <c r="B8" i="2"/>
  <c r="B7" i="2"/>
  <c r="B6" i="2"/>
  <c r="B5" i="2"/>
  <c r="B4" i="2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K8" i="1"/>
  <c r="AV7" i="1"/>
  <c r="AV6" i="1"/>
  <c r="AV5" i="1"/>
  <c r="AV4" i="1"/>
  <c r="AV3" i="1"/>
  <c r="AV2" i="1"/>
  <c r="W4" i="35" l="1"/>
  <c r="Q4" i="35"/>
  <c r="W14" i="34"/>
  <c r="V14" i="34"/>
  <c r="U14" i="34"/>
  <c r="W12" i="32"/>
  <c r="V12" i="32"/>
  <c r="U12" i="32"/>
  <c r="T12" i="32"/>
  <c r="S12" i="32"/>
  <c r="R12" i="32"/>
  <c r="Q12" i="32"/>
  <c r="X9" i="30"/>
  <c r="W9" i="30"/>
  <c r="V9" i="30"/>
  <c r="X7" i="28"/>
  <c r="W7" i="28"/>
  <c r="V7" i="28"/>
  <c r="U7" i="28"/>
  <c r="T7" i="28"/>
  <c r="S7" i="28"/>
  <c r="W15" i="23"/>
  <c r="X15" i="23"/>
  <c r="V15" i="23"/>
  <c r="U15" i="23"/>
  <c r="T15" i="23"/>
  <c r="S15" i="23"/>
  <c r="X10" i="19"/>
  <c r="V10" i="19"/>
  <c r="U10" i="19"/>
  <c r="W10" i="19"/>
  <c r="X8" i="17"/>
  <c r="W8" i="17"/>
  <c r="V8" i="17"/>
  <c r="U8" i="17"/>
  <c r="T8" i="17"/>
  <c r="S8" i="17"/>
  <c r="R8" i="17"/>
  <c r="Q8" i="17"/>
  <c r="W5" i="15"/>
  <c r="X5" i="15"/>
  <c r="X13" i="10"/>
  <c r="W13" i="10"/>
  <c r="S13" i="9"/>
  <c r="Q13" i="9"/>
  <c r="W11" i="8"/>
  <c r="U11" i="8"/>
  <c r="X11" i="8"/>
  <c r="V11" i="8"/>
  <c r="T11" i="8"/>
  <c r="W15" i="36"/>
  <c r="Q15" i="36"/>
  <c r="S15" i="36"/>
  <c r="R15" i="36"/>
  <c r="T15" i="36"/>
  <c r="U15" i="36"/>
  <c r="V15" i="36"/>
  <c r="X15" i="36"/>
  <c r="S14" i="36"/>
  <c r="W14" i="36"/>
  <c r="R14" i="36"/>
  <c r="U14" i="36"/>
  <c r="X14" i="36"/>
  <c r="V14" i="36"/>
  <c r="T14" i="36"/>
  <c r="Q14" i="36"/>
  <c r="R13" i="36"/>
  <c r="Q13" i="36"/>
  <c r="S13" i="36"/>
  <c r="X13" i="36"/>
  <c r="W13" i="36"/>
  <c r="V13" i="36"/>
  <c r="U13" i="36"/>
  <c r="T13" i="36"/>
  <c r="S12" i="36"/>
  <c r="V12" i="36"/>
  <c r="W12" i="36"/>
  <c r="X12" i="36"/>
  <c r="U12" i="36"/>
  <c r="Q12" i="36"/>
  <c r="T12" i="36"/>
  <c r="W11" i="36"/>
  <c r="V11" i="36"/>
  <c r="U11" i="36"/>
  <c r="X11" i="36"/>
  <c r="S11" i="36"/>
  <c r="T11" i="36"/>
  <c r="R11" i="36"/>
  <c r="Q11" i="36"/>
  <c r="T10" i="36"/>
  <c r="V10" i="36"/>
  <c r="R10" i="36"/>
  <c r="Q10" i="36"/>
  <c r="S10" i="36"/>
  <c r="W10" i="36"/>
  <c r="X10" i="36"/>
  <c r="U10" i="36"/>
  <c r="T9" i="36"/>
  <c r="R9" i="36"/>
  <c r="S9" i="36"/>
  <c r="U9" i="36"/>
  <c r="Q9" i="36"/>
  <c r="X9" i="36"/>
  <c r="W9" i="36"/>
  <c r="V9" i="36"/>
  <c r="W8" i="36"/>
  <c r="T8" i="36"/>
  <c r="R8" i="36"/>
  <c r="S8" i="36"/>
  <c r="X8" i="36"/>
  <c r="V8" i="36"/>
  <c r="Q8" i="36"/>
  <c r="U8" i="36"/>
  <c r="S7" i="36"/>
  <c r="T7" i="36"/>
  <c r="U7" i="36"/>
  <c r="V7" i="36"/>
  <c r="W7" i="36"/>
  <c r="X7" i="36"/>
  <c r="R7" i="36"/>
  <c r="Q7" i="36"/>
  <c r="R6" i="36"/>
  <c r="X6" i="36"/>
  <c r="W6" i="36"/>
  <c r="V6" i="36"/>
  <c r="T6" i="36"/>
  <c r="S6" i="36"/>
  <c r="Q6" i="36"/>
  <c r="U6" i="36"/>
  <c r="T5" i="36"/>
  <c r="R5" i="36"/>
  <c r="V5" i="36"/>
  <c r="X5" i="36"/>
  <c r="W5" i="36"/>
  <c r="U5" i="36"/>
  <c r="S5" i="36"/>
  <c r="Q5" i="36"/>
  <c r="T4" i="36"/>
  <c r="T16" i="36" s="1"/>
  <c r="E34" i="3" s="1"/>
  <c r="R4" i="36"/>
  <c r="R16" i="36" s="1"/>
  <c r="C34" i="3" s="1"/>
  <c r="Q4" i="36"/>
  <c r="Q16" i="36" s="1"/>
  <c r="B34" i="3" s="1"/>
  <c r="U4" i="36"/>
  <c r="U16" i="36" s="1"/>
  <c r="F34" i="3" s="1"/>
  <c r="S4" i="36"/>
  <c r="S16" i="36" s="1"/>
  <c r="D34" i="3" s="1"/>
  <c r="X4" i="36"/>
  <c r="X16" i="36" s="1"/>
  <c r="I34" i="3" s="1"/>
  <c r="V4" i="36"/>
  <c r="V16" i="36" s="1"/>
  <c r="G34" i="3" s="1"/>
  <c r="W4" i="36"/>
  <c r="W16" i="36" s="1"/>
  <c r="H34" i="3" s="1"/>
  <c r="X15" i="35"/>
  <c r="U15" i="35"/>
  <c r="S15" i="35"/>
  <c r="V15" i="35"/>
  <c r="T15" i="35"/>
  <c r="Q15" i="35"/>
  <c r="R15" i="35"/>
  <c r="W15" i="35"/>
  <c r="W14" i="35"/>
  <c r="R14" i="35"/>
  <c r="V14" i="35"/>
  <c r="X14" i="35"/>
  <c r="U14" i="35"/>
  <c r="S14" i="35"/>
  <c r="Q14" i="35"/>
  <c r="T14" i="35"/>
  <c r="W13" i="35"/>
  <c r="T13" i="35"/>
  <c r="V13" i="35"/>
  <c r="X13" i="35"/>
  <c r="U13" i="35"/>
  <c r="Q13" i="35"/>
  <c r="R13" i="35"/>
  <c r="S13" i="35"/>
  <c r="S12" i="35"/>
  <c r="U12" i="35"/>
  <c r="R12" i="35"/>
  <c r="W12" i="35"/>
  <c r="V12" i="35"/>
  <c r="X12" i="35"/>
  <c r="T12" i="35"/>
  <c r="Q12" i="35"/>
  <c r="W11" i="35"/>
  <c r="X11" i="35"/>
  <c r="U11" i="35"/>
  <c r="V11" i="35"/>
  <c r="Q11" i="35"/>
  <c r="R11" i="35"/>
  <c r="T11" i="35"/>
  <c r="S11" i="35"/>
  <c r="S10" i="35"/>
  <c r="U10" i="35"/>
  <c r="X10" i="35"/>
  <c r="V10" i="35"/>
  <c r="T10" i="35"/>
  <c r="Q10" i="35"/>
  <c r="R10" i="35"/>
  <c r="W10" i="35"/>
  <c r="W9" i="35"/>
  <c r="V9" i="35"/>
  <c r="T9" i="35"/>
  <c r="S9" i="35"/>
  <c r="Q9" i="35"/>
  <c r="R9" i="35"/>
  <c r="U9" i="35"/>
  <c r="X9" i="35"/>
  <c r="W8" i="35"/>
  <c r="R8" i="35"/>
  <c r="V8" i="35"/>
  <c r="T8" i="35"/>
  <c r="X8" i="35"/>
  <c r="Q8" i="35"/>
  <c r="S8" i="35"/>
  <c r="V7" i="35"/>
  <c r="W7" i="35"/>
  <c r="S7" i="35"/>
  <c r="R7" i="35"/>
  <c r="Q7" i="35"/>
  <c r="X7" i="35"/>
  <c r="U7" i="35"/>
  <c r="T7" i="35"/>
  <c r="X6" i="35"/>
  <c r="Q6" i="35"/>
  <c r="V6" i="35"/>
  <c r="W6" i="35"/>
  <c r="T6" i="35"/>
  <c r="R6" i="35"/>
  <c r="S6" i="35"/>
  <c r="U6" i="35"/>
  <c r="U5" i="35"/>
  <c r="R5" i="35"/>
  <c r="W5" i="35"/>
  <c r="S5" i="35"/>
  <c r="T5" i="35"/>
  <c r="X5" i="35"/>
  <c r="Q5" i="35"/>
  <c r="V5" i="35"/>
  <c r="X4" i="35"/>
  <c r="U4" i="35"/>
  <c r="R4" i="35"/>
  <c r="S4" i="35"/>
  <c r="T4" i="35"/>
  <c r="V4" i="35"/>
  <c r="S15" i="34"/>
  <c r="U15" i="34"/>
  <c r="W15" i="34"/>
  <c r="X15" i="34"/>
  <c r="R15" i="34"/>
  <c r="T15" i="34"/>
  <c r="V15" i="34"/>
  <c r="Q15" i="34"/>
  <c r="T14" i="34"/>
  <c r="S14" i="34"/>
  <c r="R14" i="34"/>
  <c r="Q14" i="34"/>
  <c r="X13" i="34"/>
  <c r="W13" i="34"/>
  <c r="V13" i="34"/>
  <c r="U13" i="34"/>
  <c r="T13" i="34"/>
  <c r="S13" i="34"/>
  <c r="R13" i="34"/>
  <c r="Q13" i="34"/>
  <c r="X12" i="34"/>
  <c r="W12" i="34"/>
  <c r="V12" i="34"/>
  <c r="U12" i="34"/>
  <c r="T12" i="34"/>
  <c r="S12" i="34"/>
  <c r="R12" i="34"/>
  <c r="Q12" i="34"/>
  <c r="X11" i="34"/>
  <c r="W11" i="34"/>
  <c r="V11" i="34"/>
  <c r="U11" i="34"/>
  <c r="T11" i="34"/>
  <c r="S11" i="34"/>
  <c r="R11" i="34"/>
  <c r="Q11" i="34"/>
  <c r="X10" i="34"/>
  <c r="W10" i="34"/>
  <c r="V10" i="34"/>
  <c r="U10" i="34"/>
  <c r="T10" i="34"/>
  <c r="S10" i="34"/>
  <c r="R10" i="34"/>
  <c r="Q10" i="34"/>
  <c r="X9" i="34"/>
  <c r="W9" i="34"/>
  <c r="V9" i="34"/>
  <c r="Q9" i="34"/>
  <c r="R9" i="34"/>
  <c r="S9" i="34"/>
  <c r="T9" i="34"/>
  <c r="U9" i="34"/>
  <c r="T8" i="34"/>
  <c r="U8" i="34"/>
  <c r="V8" i="34"/>
  <c r="W8" i="34"/>
  <c r="X8" i="34"/>
  <c r="S8" i="34"/>
  <c r="R8" i="34"/>
  <c r="Q8" i="34"/>
  <c r="R7" i="34"/>
  <c r="X7" i="34"/>
  <c r="W7" i="34"/>
  <c r="V7" i="34"/>
  <c r="U7" i="34"/>
  <c r="T7" i="34"/>
  <c r="S7" i="34"/>
  <c r="Q7" i="34"/>
  <c r="R6" i="34"/>
  <c r="T6" i="34"/>
  <c r="U6" i="34"/>
  <c r="V6" i="34"/>
  <c r="W6" i="34"/>
  <c r="X6" i="34"/>
  <c r="Q6" i="34"/>
  <c r="S6" i="34"/>
  <c r="T5" i="34"/>
  <c r="U5" i="34"/>
  <c r="V5" i="34"/>
  <c r="W5" i="34"/>
  <c r="X5" i="34"/>
  <c r="R5" i="34"/>
  <c r="Q5" i="34"/>
  <c r="S5" i="34"/>
  <c r="X4" i="34"/>
  <c r="X16" i="34" s="1"/>
  <c r="I32" i="3" s="1"/>
  <c r="U4" i="34"/>
  <c r="U16" i="34" s="1"/>
  <c r="F32" i="3" s="1"/>
  <c r="T4" i="34"/>
  <c r="T16" i="34" s="1"/>
  <c r="E32" i="3" s="1"/>
  <c r="S4" i="34"/>
  <c r="S16" i="34" s="1"/>
  <c r="D32" i="3" s="1"/>
  <c r="R4" i="34"/>
  <c r="R16" i="34" s="1"/>
  <c r="C32" i="3" s="1"/>
  <c r="V4" i="34"/>
  <c r="V16" i="34" s="1"/>
  <c r="G32" i="3" s="1"/>
  <c r="Q4" i="34"/>
  <c r="Q16" i="34" s="1"/>
  <c r="B32" i="3" s="1"/>
  <c r="W4" i="34"/>
  <c r="W16" i="34" s="1"/>
  <c r="H32" i="3" s="1"/>
  <c r="S15" i="33"/>
  <c r="R15" i="33"/>
  <c r="Q15" i="33"/>
  <c r="X15" i="33"/>
  <c r="W15" i="33"/>
  <c r="V15" i="33"/>
  <c r="U15" i="33"/>
  <c r="T15" i="33"/>
  <c r="X14" i="33"/>
  <c r="W14" i="33"/>
  <c r="V14" i="33"/>
  <c r="Q14" i="33"/>
  <c r="R14" i="33"/>
  <c r="S14" i="33"/>
  <c r="T14" i="33"/>
  <c r="U14" i="33"/>
  <c r="X13" i="33"/>
  <c r="Q13" i="33"/>
  <c r="R13" i="33"/>
  <c r="S13" i="33"/>
  <c r="T13" i="33"/>
  <c r="U13" i="33"/>
  <c r="V13" i="33"/>
  <c r="W13" i="33"/>
  <c r="R12" i="33"/>
  <c r="Q12" i="33"/>
  <c r="U12" i="33"/>
  <c r="V12" i="33"/>
  <c r="W12" i="33"/>
  <c r="X12" i="33"/>
  <c r="S12" i="33"/>
  <c r="T12" i="33"/>
  <c r="Q11" i="33"/>
  <c r="X11" i="33"/>
  <c r="W11" i="33"/>
  <c r="V11" i="33"/>
  <c r="U11" i="33"/>
  <c r="T11" i="33"/>
  <c r="S11" i="33"/>
  <c r="R11" i="33"/>
  <c r="T10" i="33"/>
  <c r="U10" i="33"/>
  <c r="V10" i="33"/>
  <c r="W10" i="33"/>
  <c r="X10" i="33"/>
  <c r="Q10" i="33"/>
  <c r="R10" i="33"/>
  <c r="S10" i="33"/>
  <c r="W9" i="33"/>
  <c r="Q9" i="33"/>
  <c r="X9" i="33"/>
  <c r="U9" i="33"/>
  <c r="V9" i="33"/>
  <c r="S9" i="33"/>
  <c r="R9" i="33"/>
  <c r="T9" i="33"/>
  <c r="Q8" i="33"/>
  <c r="R8" i="33"/>
  <c r="S8" i="33"/>
  <c r="T8" i="33"/>
  <c r="X8" i="33"/>
  <c r="W8" i="33"/>
  <c r="V8" i="33"/>
  <c r="U8" i="33"/>
  <c r="Q7" i="33"/>
  <c r="X7" i="33"/>
  <c r="W7" i="33"/>
  <c r="V7" i="33"/>
  <c r="U7" i="33"/>
  <c r="T7" i="33"/>
  <c r="S7" i="33"/>
  <c r="R7" i="33"/>
  <c r="V6" i="33"/>
  <c r="W6" i="33"/>
  <c r="X6" i="33"/>
  <c r="T6" i="33"/>
  <c r="U6" i="33"/>
  <c r="S6" i="33"/>
  <c r="R6" i="33"/>
  <c r="Q6" i="33"/>
  <c r="Q5" i="33"/>
  <c r="V5" i="33"/>
  <c r="R5" i="33"/>
  <c r="S5" i="33"/>
  <c r="U5" i="33"/>
  <c r="T5" i="33"/>
  <c r="X5" i="33"/>
  <c r="W5" i="33"/>
  <c r="S4" i="33"/>
  <c r="S16" i="33" s="1"/>
  <c r="D31" i="3" s="1"/>
  <c r="X4" i="33"/>
  <c r="X16" i="33" s="1"/>
  <c r="I31" i="3" s="1"/>
  <c r="W4" i="33"/>
  <c r="W16" i="33" s="1"/>
  <c r="H31" i="3" s="1"/>
  <c r="V4" i="33"/>
  <c r="V16" i="33" s="1"/>
  <c r="G31" i="3" s="1"/>
  <c r="R4" i="33"/>
  <c r="R16" i="33" s="1"/>
  <c r="C31" i="3" s="1"/>
  <c r="Q4" i="33"/>
  <c r="U4" i="33"/>
  <c r="T4" i="33"/>
  <c r="U15" i="32"/>
  <c r="X15" i="32"/>
  <c r="W15" i="32"/>
  <c r="V15" i="32"/>
  <c r="T15" i="32"/>
  <c r="S15" i="32"/>
  <c r="R15" i="32"/>
  <c r="Q15" i="32"/>
  <c r="X14" i="32"/>
  <c r="T14" i="32"/>
  <c r="R14" i="32"/>
  <c r="Q14" i="32"/>
  <c r="W14" i="32"/>
  <c r="S14" i="32"/>
  <c r="U14" i="32"/>
  <c r="V14" i="32"/>
  <c r="Q13" i="32"/>
  <c r="X13" i="32"/>
  <c r="W13" i="32"/>
  <c r="V13" i="32"/>
  <c r="T13" i="32"/>
  <c r="R13" i="32"/>
  <c r="U13" i="32"/>
  <c r="S13" i="32"/>
  <c r="X11" i="32"/>
  <c r="W11" i="32"/>
  <c r="V11" i="32"/>
  <c r="U11" i="32"/>
  <c r="T11" i="32"/>
  <c r="S11" i="32"/>
  <c r="R11" i="32"/>
  <c r="Q11" i="32"/>
  <c r="Q10" i="32"/>
  <c r="R10" i="32"/>
  <c r="S10" i="32"/>
  <c r="T10" i="32"/>
  <c r="U10" i="32"/>
  <c r="V10" i="32"/>
  <c r="W10" i="32"/>
  <c r="X10" i="32"/>
  <c r="T9" i="32"/>
  <c r="U9" i="32"/>
  <c r="V9" i="32"/>
  <c r="X9" i="32"/>
  <c r="S9" i="32"/>
  <c r="W9" i="32"/>
  <c r="Q9" i="32"/>
  <c r="R9" i="32"/>
  <c r="X8" i="32"/>
  <c r="W8" i="32"/>
  <c r="V8" i="32"/>
  <c r="U8" i="32"/>
  <c r="T8" i="32"/>
  <c r="S8" i="32"/>
  <c r="R8" i="32"/>
  <c r="Q8" i="32"/>
  <c r="X7" i="32"/>
  <c r="W7" i="32"/>
  <c r="V7" i="32"/>
  <c r="U7" i="32"/>
  <c r="T7" i="32"/>
  <c r="Q7" i="32"/>
  <c r="R7" i="32"/>
  <c r="S7" i="32"/>
  <c r="Q6" i="32"/>
  <c r="S6" i="32"/>
  <c r="T6" i="32"/>
  <c r="U6" i="32"/>
  <c r="R6" i="32"/>
  <c r="V6" i="32"/>
  <c r="W6" i="32"/>
  <c r="X6" i="32"/>
  <c r="S5" i="32"/>
  <c r="R5" i="32"/>
  <c r="Q5" i="32"/>
  <c r="T5" i="32"/>
  <c r="U5" i="32"/>
  <c r="V5" i="32"/>
  <c r="W5" i="32"/>
  <c r="X5" i="32"/>
  <c r="X4" i="32"/>
  <c r="X16" i="32" s="1"/>
  <c r="I30" i="3" s="1"/>
  <c r="W4" i="32"/>
  <c r="W16" i="32" s="1"/>
  <c r="H30" i="3" s="1"/>
  <c r="V4" i="32"/>
  <c r="V16" i="32" s="1"/>
  <c r="G30" i="3" s="1"/>
  <c r="T4" i="32"/>
  <c r="T16" i="32" s="1"/>
  <c r="E30" i="3" s="1"/>
  <c r="S4" i="32"/>
  <c r="S16" i="32" s="1"/>
  <c r="D30" i="3" s="1"/>
  <c r="R4" i="32"/>
  <c r="R16" i="32" s="1"/>
  <c r="C30" i="3" s="1"/>
  <c r="Q4" i="32"/>
  <c r="Q16" i="32" s="1"/>
  <c r="B30" i="3" s="1"/>
  <c r="U4" i="32"/>
  <c r="U16" i="32" s="1"/>
  <c r="F30" i="3" s="1"/>
  <c r="X15" i="31"/>
  <c r="W15" i="31"/>
  <c r="V15" i="31"/>
  <c r="U15" i="31"/>
  <c r="T15" i="31"/>
  <c r="S15" i="31"/>
  <c r="R15" i="31"/>
  <c r="Q15" i="31"/>
  <c r="W14" i="31"/>
  <c r="X14" i="31"/>
  <c r="V14" i="31"/>
  <c r="Q14" i="31"/>
  <c r="R14" i="31"/>
  <c r="S14" i="31"/>
  <c r="T14" i="31"/>
  <c r="U14" i="31"/>
  <c r="Q13" i="31"/>
  <c r="S13" i="31"/>
  <c r="R13" i="31"/>
  <c r="T13" i="31"/>
  <c r="U13" i="31"/>
  <c r="V13" i="31"/>
  <c r="W13" i="31"/>
  <c r="X13" i="31"/>
  <c r="X12" i="31"/>
  <c r="W12" i="31"/>
  <c r="V12" i="31"/>
  <c r="U12" i="31"/>
  <c r="T12" i="31"/>
  <c r="S12" i="31"/>
  <c r="R12" i="31"/>
  <c r="Q12" i="31"/>
  <c r="X11" i="31"/>
  <c r="W11" i="31"/>
  <c r="V11" i="31"/>
  <c r="T11" i="31"/>
  <c r="S11" i="31"/>
  <c r="R11" i="31"/>
  <c r="Q11" i="31"/>
  <c r="U11" i="31"/>
  <c r="X10" i="31"/>
  <c r="W10" i="31"/>
  <c r="V10" i="31"/>
  <c r="U10" i="31"/>
  <c r="T10" i="31"/>
  <c r="S10" i="31"/>
  <c r="R10" i="31"/>
  <c r="Q10" i="31"/>
  <c r="X9" i="31"/>
  <c r="W9" i="31"/>
  <c r="V9" i="31"/>
  <c r="U9" i="31"/>
  <c r="T9" i="31"/>
  <c r="S9" i="31"/>
  <c r="R9" i="31"/>
  <c r="Q9" i="31"/>
  <c r="S8" i="31"/>
  <c r="R8" i="31"/>
  <c r="Q8" i="31"/>
  <c r="U8" i="31"/>
  <c r="X8" i="31"/>
  <c r="W8" i="31"/>
  <c r="V8" i="31"/>
  <c r="T8" i="31"/>
  <c r="S7" i="31"/>
  <c r="R7" i="31"/>
  <c r="Q7" i="31"/>
  <c r="T7" i="31"/>
  <c r="W7" i="31"/>
  <c r="U7" i="31"/>
  <c r="V7" i="31"/>
  <c r="X7" i="31"/>
  <c r="X6" i="31"/>
  <c r="Q6" i="31"/>
  <c r="R6" i="31"/>
  <c r="S6" i="31"/>
  <c r="T6" i="31"/>
  <c r="U6" i="31"/>
  <c r="V6" i="31"/>
  <c r="W6" i="31"/>
  <c r="S5" i="31"/>
  <c r="R5" i="31"/>
  <c r="U5" i="31"/>
  <c r="Q5" i="31"/>
  <c r="V5" i="31"/>
  <c r="W5" i="31"/>
  <c r="X5" i="31"/>
  <c r="T5" i="31"/>
  <c r="V4" i="31"/>
  <c r="U4" i="31"/>
  <c r="T4" i="31"/>
  <c r="S4" i="31"/>
  <c r="R4" i="31"/>
  <c r="Q4" i="31"/>
  <c r="X4" i="31"/>
  <c r="W4" i="31"/>
  <c r="X15" i="30"/>
  <c r="W15" i="30"/>
  <c r="V15" i="30"/>
  <c r="U15" i="30"/>
  <c r="T15" i="30"/>
  <c r="S15" i="30"/>
  <c r="R15" i="30"/>
  <c r="Q15" i="30"/>
  <c r="X14" i="30"/>
  <c r="Q14" i="30"/>
  <c r="R14" i="30"/>
  <c r="S14" i="30"/>
  <c r="T14" i="30"/>
  <c r="U14" i="30"/>
  <c r="V14" i="30"/>
  <c r="W14" i="30"/>
  <c r="W13" i="30"/>
  <c r="X13" i="30"/>
  <c r="V13" i="30"/>
  <c r="Q13" i="30"/>
  <c r="R13" i="30"/>
  <c r="S13" i="30"/>
  <c r="T13" i="30"/>
  <c r="U13" i="30"/>
  <c r="X12" i="30"/>
  <c r="W12" i="30"/>
  <c r="V12" i="30"/>
  <c r="U12" i="30"/>
  <c r="T12" i="30"/>
  <c r="S12" i="30"/>
  <c r="Q12" i="30"/>
  <c r="R12" i="30"/>
  <c r="X11" i="30"/>
  <c r="W11" i="30"/>
  <c r="V11" i="30"/>
  <c r="Q11" i="30"/>
  <c r="R11" i="30"/>
  <c r="S11" i="30"/>
  <c r="T11" i="30"/>
  <c r="U11" i="30"/>
  <c r="X10" i="30"/>
  <c r="Q10" i="30"/>
  <c r="R10" i="30"/>
  <c r="S10" i="30"/>
  <c r="T10" i="30"/>
  <c r="U10" i="30"/>
  <c r="V10" i="30"/>
  <c r="W10" i="30"/>
  <c r="S9" i="30"/>
  <c r="T9" i="30"/>
  <c r="U9" i="30"/>
  <c r="Q9" i="30"/>
  <c r="R9" i="30"/>
  <c r="V8" i="30"/>
  <c r="U8" i="30"/>
  <c r="T8" i="30"/>
  <c r="S8" i="30"/>
  <c r="R8" i="30"/>
  <c r="Q8" i="30"/>
  <c r="X8" i="30"/>
  <c r="W8" i="30"/>
  <c r="S7" i="30"/>
  <c r="T7" i="30"/>
  <c r="V7" i="30"/>
  <c r="W7" i="30"/>
  <c r="X7" i="30"/>
  <c r="U7" i="30"/>
  <c r="Q7" i="30"/>
  <c r="R7" i="30"/>
  <c r="Q6" i="30"/>
  <c r="T6" i="30"/>
  <c r="R6" i="30"/>
  <c r="S6" i="30"/>
  <c r="U6" i="30"/>
  <c r="W6" i="30"/>
  <c r="X6" i="30"/>
  <c r="V6" i="30"/>
  <c r="R5" i="30"/>
  <c r="X5" i="30"/>
  <c r="Q5" i="30"/>
  <c r="S5" i="30"/>
  <c r="T5" i="30"/>
  <c r="U5" i="30"/>
  <c r="V5" i="30"/>
  <c r="W5" i="30"/>
  <c r="Q4" i="30"/>
  <c r="Q16" i="30" s="1"/>
  <c r="B28" i="3" s="1"/>
  <c r="R4" i="30"/>
  <c r="R16" i="30" s="1"/>
  <c r="C28" i="3" s="1"/>
  <c r="W4" i="30"/>
  <c r="W16" i="30" s="1"/>
  <c r="H28" i="3" s="1"/>
  <c r="V4" i="30"/>
  <c r="V16" i="30" s="1"/>
  <c r="G28" i="3" s="1"/>
  <c r="U4" i="30"/>
  <c r="U16" i="30" s="1"/>
  <c r="F28" i="3" s="1"/>
  <c r="T4" i="30"/>
  <c r="T16" i="30" s="1"/>
  <c r="E28" i="3" s="1"/>
  <c r="S4" i="30"/>
  <c r="S16" i="30" s="1"/>
  <c r="D28" i="3" s="1"/>
  <c r="X4" i="30"/>
  <c r="X16" i="30" s="1"/>
  <c r="I28" i="3" s="1"/>
  <c r="X15" i="29"/>
  <c r="W15" i="29"/>
  <c r="Q15" i="29"/>
  <c r="R15" i="29"/>
  <c r="S15" i="29"/>
  <c r="T15" i="29"/>
  <c r="U15" i="29"/>
  <c r="V15" i="29"/>
  <c r="W14" i="29"/>
  <c r="X14" i="29"/>
  <c r="T14" i="29"/>
  <c r="U14" i="29"/>
  <c r="R14" i="29"/>
  <c r="V14" i="29"/>
  <c r="Q14" i="29"/>
  <c r="S14" i="29"/>
  <c r="Q13" i="29"/>
  <c r="R13" i="29"/>
  <c r="S13" i="29"/>
  <c r="U13" i="29"/>
  <c r="V13" i="29"/>
  <c r="X13" i="29"/>
  <c r="W13" i="29"/>
  <c r="T13" i="29"/>
  <c r="S12" i="29"/>
  <c r="R12" i="29"/>
  <c r="Q12" i="29"/>
  <c r="W12" i="29"/>
  <c r="X12" i="29"/>
  <c r="V12" i="29"/>
  <c r="U12" i="29"/>
  <c r="T12" i="29"/>
  <c r="S11" i="29"/>
  <c r="R11" i="29"/>
  <c r="Q11" i="29"/>
  <c r="X11" i="29"/>
  <c r="W11" i="29"/>
  <c r="V11" i="29"/>
  <c r="U11" i="29"/>
  <c r="T11" i="29"/>
  <c r="T10" i="29"/>
  <c r="Q10" i="29"/>
  <c r="R10" i="29"/>
  <c r="S10" i="29"/>
  <c r="U10" i="29"/>
  <c r="V10" i="29"/>
  <c r="W10" i="29"/>
  <c r="X10" i="29"/>
  <c r="Q9" i="29"/>
  <c r="R9" i="29"/>
  <c r="X9" i="29"/>
  <c r="S9" i="29"/>
  <c r="T9" i="29"/>
  <c r="U9" i="29"/>
  <c r="V9" i="29"/>
  <c r="W9" i="29"/>
  <c r="X8" i="29"/>
  <c r="Q8" i="29"/>
  <c r="R8" i="29"/>
  <c r="T8" i="29"/>
  <c r="U8" i="29"/>
  <c r="V8" i="29"/>
  <c r="W8" i="29"/>
  <c r="R7" i="29"/>
  <c r="S7" i="29"/>
  <c r="U7" i="29"/>
  <c r="Q7" i="29"/>
  <c r="V7" i="29"/>
  <c r="W7" i="29"/>
  <c r="X7" i="29"/>
  <c r="T7" i="29"/>
  <c r="X6" i="29"/>
  <c r="S6" i="29"/>
  <c r="U6" i="29"/>
  <c r="R6" i="29"/>
  <c r="Q6" i="29"/>
  <c r="V6" i="29"/>
  <c r="W6" i="29"/>
  <c r="T6" i="29"/>
  <c r="R5" i="29"/>
  <c r="Q5" i="29"/>
  <c r="S5" i="29"/>
  <c r="X5" i="29"/>
  <c r="W5" i="29"/>
  <c r="V5" i="29"/>
  <c r="U5" i="29"/>
  <c r="T5" i="29"/>
  <c r="R4" i="29"/>
  <c r="S4" i="29"/>
  <c r="T4" i="29"/>
  <c r="U4" i="29"/>
  <c r="V4" i="29"/>
  <c r="W4" i="29"/>
  <c r="X4" i="29"/>
  <c r="Q4" i="29"/>
  <c r="S15" i="28"/>
  <c r="R15" i="28"/>
  <c r="W15" i="28"/>
  <c r="Q15" i="28"/>
  <c r="T15" i="28"/>
  <c r="U15" i="28"/>
  <c r="X15" i="28"/>
  <c r="V15" i="28"/>
  <c r="X14" i="28"/>
  <c r="U14" i="28"/>
  <c r="Q14" i="28"/>
  <c r="R14" i="28"/>
  <c r="W14" i="28"/>
  <c r="S14" i="28"/>
  <c r="T14" i="28"/>
  <c r="V14" i="28"/>
  <c r="U13" i="28"/>
  <c r="X13" i="28"/>
  <c r="W13" i="28"/>
  <c r="T13" i="28"/>
  <c r="R13" i="28"/>
  <c r="Q13" i="28"/>
  <c r="V13" i="28"/>
  <c r="T12" i="28"/>
  <c r="X12" i="28"/>
  <c r="W12" i="28"/>
  <c r="V12" i="28"/>
  <c r="U12" i="28"/>
  <c r="R12" i="28"/>
  <c r="S12" i="28"/>
  <c r="Q12" i="28"/>
  <c r="T11" i="28"/>
  <c r="Q11" i="28"/>
  <c r="R11" i="28"/>
  <c r="S11" i="28"/>
  <c r="X11" i="28"/>
  <c r="W11" i="28"/>
  <c r="V11" i="28"/>
  <c r="U11" i="28"/>
  <c r="T10" i="28"/>
  <c r="U10" i="28"/>
  <c r="V10" i="28"/>
  <c r="W10" i="28"/>
  <c r="X10" i="28"/>
  <c r="S10" i="28"/>
  <c r="R10" i="28"/>
  <c r="Q10" i="28"/>
  <c r="Q9" i="28"/>
  <c r="X9" i="28"/>
  <c r="W9" i="28"/>
  <c r="V9" i="28"/>
  <c r="U9" i="28"/>
  <c r="T9" i="28"/>
  <c r="S9" i="28"/>
  <c r="R9" i="28"/>
  <c r="T8" i="28"/>
  <c r="S8" i="28"/>
  <c r="V8" i="28"/>
  <c r="R8" i="28"/>
  <c r="Q8" i="28"/>
  <c r="W8" i="28"/>
  <c r="U8" i="28"/>
  <c r="X8" i="28"/>
  <c r="Q7" i="28"/>
  <c r="R7" i="28"/>
  <c r="Q6" i="28"/>
  <c r="R6" i="28"/>
  <c r="T6" i="28"/>
  <c r="U6" i="28"/>
  <c r="V6" i="28"/>
  <c r="W6" i="28"/>
  <c r="X6" i="28"/>
  <c r="S6" i="28"/>
  <c r="S5" i="28"/>
  <c r="R5" i="28"/>
  <c r="Q5" i="28"/>
  <c r="T5" i="28"/>
  <c r="X5" i="28"/>
  <c r="W5" i="28"/>
  <c r="V5" i="28"/>
  <c r="U5" i="28"/>
  <c r="X4" i="28"/>
  <c r="X16" i="28" s="1"/>
  <c r="I26" i="3" s="1"/>
  <c r="U4" i="28"/>
  <c r="U16" i="28" s="1"/>
  <c r="F26" i="3" s="1"/>
  <c r="V4" i="28"/>
  <c r="V16" i="28" s="1"/>
  <c r="G26" i="3" s="1"/>
  <c r="Q4" i="28"/>
  <c r="Q16" i="28" s="1"/>
  <c r="B26" i="3" s="1"/>
  <c r="R4" i="28"/>
  <c r="R16" i="28" s="1"/>
  <c r="C26" i="3" s="1"/>
  <c r="S4" i="28"/>
  <c r="S16" i="28" s="1"/>
  <c r="D26" i="3" s="1"/>
  <c r="W4" i="28"/>
  <c r="W16" i="28" s="1"/>
  <c r="H26" i="3" s="1"/>
  <c r="T4" i="28"/>
  <c r="T16" i="28" s="1"/>
  <c r="E26" i="3" s="1"/>
  <c r="S15" i="27"/>
  <c r="T15" i="27"/>
  <c r="U15" i="27"/>
  <c r="X15" i="27"/>
  <c r="V15" i="27"/>
  <c r="W15" i="27"/>
  <c r="Q15" i="27"/>
  <c r="R15" i="27"/>
  <c r="X14" i="27"/>
  <c r="W14" i="27"/>
  <c r="V14" i="27"/>
  <c r="Q14" i="27"/>
  <c r="R14" i="27"/>
  <c r="S14" i="27"/>
  <c r="T14" i="27"/>
  <c r="U14" i="27"/>
  <c r="W13" i="27"/>
  <c r="X13" i="27"/>
  <c r="T13" i="27"/>
  <c r="S13" i="27"/>
  <c r="R13" i="27"/>
  <c r="Q13" i="27"/>
  <c r="V13" i="27"/>
  <c r="U13" i="27"/>
  <c r="S12" i="27"/>
  <c r="X12" i="27"/>
  <c r="W12" i="27"/>
  <c r="V12" i="27"/>
  <c r="U12" i="27"/>
  <c r="T12" i="27"/>
  <c r="Q12" i="27"/>
  <c r="R12" i="27"/>
  <c r="T11" i="27"/>
  <c r="U11" i="27"/>
  <c r="V11" i="27"/>
  <c r="W11" i="27"/>
  <c r="X11" i="27"/>
  <c r="Q11" i="27"/>
  <c r="R11" i="27"/>
  <c r="S11" i="27"/>
  <c r="X10" i="27"/>
  <c r="S10" i="27"/>
  <c r="R10" i="27"/>
  <c r="Q10" i="27"/>
  <c r="W10" i="27"/>
  <c r="V10" i="27"/>
  <c r="U10" i="27"/>
  <c r="T10" i="27"/>
  <c r="T9" i="27"/>
  <c r="X9" i="27"/>
  <c r="W9" i="27"/>
  <c r="V9" i="27"/>
  <c r="U9" i="27"/>
  <c r="S9" i="27"/>
  <c r="Q9" i="27"/>
  <c r="R9" i="27"/>
  <c r="Q8" i="27"/>
  <c r="R8" i="27"/>
  <c r="S8" i="27"/>
  <c r="T8" i="27"/>
  <c r="U8" i="27"/>
  <c r="V8" i="27"/>
  <c r="W8" i="27"/>
  <c r="X8" i="27"/>
  <c r="U7" i="27"/>
  <c r="X7" i="27"/>
  <c r="W7" i="27"/>
  <c r="V7" i="27"/>
  <c r="T7" i="27"/>
  <c r="S7" i="27"/>
  <c r="R7" i="27"/>
  <c r="Q7" i="27"/>
  <c r="W6" i="27"/>
  <c r="V6" i="27"/>
  <c r="U6" i="27"/>
  <c r="T6" i="27"/>
  <c r="S6" i="27"/>
  <c r="R6" i="27"/>
  <c r="Q6" i="27"/>
  <c r="X6" i="27"/>
  <c r="R5" i="27"/>
  <c r="X5" i="27"/>
  <c r="W5" i="27"/>
  <c r="V5" i="27"/>
  <c r="U5" i="27"/>
  <c r="T5" i="27"/>
  <c r="S5" i="27"/>
  <c r="Q5" i="27"/>
  <c r="R4" i="27"/>
  <c r="X4" i="27"/>
  <c r="W4" i="27"/>
  <c r="V4" i="27"/>
  <c r="Q4" i="27"/>
  <c r="U4" i="27"/>
  <c r="T4" i="27"/>
  <c r="S4" i="27"/>
  <c r="X15" i="26"/>
  <c r="W15" i="26"/>
  <c r="V15" i="26"/>
  <c r="U15" i="26"/>
  <c r="T15" i="26"/>
  <c r="S15" i="26"/>
  <c r="R15" i="26"/>
  <c r="Q15" i="26"/>
  <c r="X14" i="26"/>
  <c r="Q14" i="26"/>
  <c r="R14" i="26"/>
  <c r="S14" i="26"/>
  <c r="T14" i="26"/>
  <c r="U14" i="26"/>
  <c r="V14" i="26"/>
  <c r="W14" i="26"/>
  <c r="S13" i="26"/>
  <c r="R13" i="26"/>
  <c r="X13" i="26"/>
  <c r="W13" i="26"/>
  <c r="V13" i="26"/>
  <c r="U13" i="26"/>
  <c r="T13" i="26"/>
  <c r="Q13" i="26"/>
  <c r="R12" i="26"/>
  <c r="Q12" i="26"/>
  <c r="V12" i="26"/>
  <c r="X12" i="26"/>
  <c r="W12" i="26"/>
  <c r="U12" i="26"/>
  <c r="T12" i="26"/>
  <c r="S12" i="26"/>
  <c r="V11" i="26"/>
  <c r="W11" i="26"/>
  <c r="X11" i="26"/>
  <c r="Q11" i="26"/>
  <c r="R11" i="26"/>
  <c r="T11" i="26"/>
  <c r="U11" i="26"/>
  <c r="S11" i="26"/>
  <c r="T10" i="26"/>
  <c r="V10" i="26"/>
  <c r="W10" i="26"/>
  <c r="X10" i="26"/>
  <c r="Q10" i="26"/>
  <c r="U10" i="26"/>
  <c r="R10" i="26"/>
  <c r="S10" i="26"/>
  <c r="W9" i="26"/>
  <c r="R9" i="26"/>
  <c r="S9" i="26"/>
  <c r="U9" i="26"/>
  <c r="X9" i="26"/>
  <c r="T9" i="26"/>
  <c r="V9" i="26"/>
  <c r="Q9" i="26"/>
  <c r="T8" i="26"/>
  <c r="S8" i="26"/>
  <c r="R8" i="26"/>
  <c r="Q8" i="26"/>
  <c r="W8" i="26"/>
  <c r="X8" i="26"/>
  <c r="V8" i="26"/>
  <c r="U8" i="26"/>
  <c r="S7" i="26"/>
  <c r="Q7" i="26"/>
  <c r="W7" i="26"/>
  <c r="V7" i="26"/>
  <c r="U7" i="26"/>
  <c r="T7" i="26"/>
  <c r="X7" i="26"/>
  <c r="R7" i="26"/>
  <c r="Q6" i="26"/>
  <c r="W6" i="26"/>
  <c r="X6" i="26"/>
  <c r="T6" i="26"/>
  <c r="R6" i="26"/>
  <c r="S6" i="26"/>
  <c r="U6" i="26"/>
  <c r="V6" i="26"/>
  <c r="R5" i="26"/>
  <c r="S5" i="26"/>
  <c r="T5" i="26"/>
  <c r="U5" i="26"/>
  <c r="V5" i="26"/>
  <c r="W5" i="26"/>
  <c r="X5" i="26"/>
  <c r="X16" i="26" s="1"/>
  <c r="I24" i="3" s="1"/>
  <c r="Q5" i="26"/>
  <c r="U4" i="26"/>
  <c r="U16" i="26" s="1"/>
  <c r="F24" i="3" s="1"/>
  <c r="T4" i="26"/>
  <c r="T16" i="26" s="1"/>
  <c r="E24" i="3" s="1"/>
  <c r="S4" i="26"/>
  <c r="S16" i="26" s="1"/>
  <c r="D24" i="3" s="1"/>
  <c r="Q4" i="26"/>
  <c r="Q16" i="26" s="1"/>
  <c r="B24" i="3" s="1"/>
  <c r="R4" i="26"/>
  <c r="R16" i="26" s="1"/>
  <c r="C24" i="3" s="1"/>
  <c r="W4" i="26"/>
  <c r="V4" i="26"/>
  <c r="Q15" i="25"/>
  <c r="W15" i="25"/>
  <c r="V15" i="25"/>
  <c r="U15" i="25"/>
  <c r="S15" i="25"/>
  <c r="T15" i="25"/>
  <c r="X15" i="25"/>
  <c r="R15" i="25"/>
  <c r="Q14" i="25"/>
  <c r="S14" i="25"/>
  <c r="T14" i="25"/>
  <c r="W14" i="25"/>
  <c r="X14" i="25"/>
  <c r="V14" i="25"/>
  <c r="R14" i="25"/>
  <c r="U14" i="25"/>
  <c r="T13" i="25"/>
  <c r="W13" i="25"/>
  <c r="X13" i="25"/>
  <c r="R13" i="25"/>
  <c r="U13" i="25"/>
  <c r="V13" i="25"/>
  <c r="Q13" i="25"/>
  <c r="S13" i="25"/>
  <c r="W12" i="25"/>
  <c r="T12" i="25"/>
  <c r="Q12" i="25"/>
  <c r="S12" i="25"/>
  <c r="U12" i="25"/>
  <c r="V12" i="25"/>
  <c r="X12" i="25"/>
  <c r="R12" i="25"/>
  <c r="Q11" i="25"/>
  <c r="T11" i="25"/>
  <c r="S11" i="25"/>
  <c r="R11" i="25"/>
  <c r="X11" i="25"/>
  <c r="W11" i="25"/>
  <c r="V11" i="25"/>
  <c r="U11" i="25"/>
  <c r="U10" i="25"/>
  <c r="X10" i="25"/>
  <c r="W10" i="25"/>
  <c r="V10" i="25"/>
  <c r="T10" i="25"/>
  <c r="S10" i="25"/>
  <c r="R10" i="25"/>
  <c r="Q10" i="25"/>
  <c r="Q9" i="25"/>
  <c r="S9" i="25"/>
  <c r="U9" i="25"/>
  <c r="V9" i="25"/>
  <c r="T9" i="25"/>
  <c r="W9" i="25"/>
  <c r="X9" i="25"/>
  <c r="R9" i="25"/>
  <c r="X8" i="25"/>
  <c r="Q8" i="25"/>
  <c r="S8" i="25"/>
  <c r="U8" i="25"/>
  <c r="V8" i="25"/>
  <c r="W8" i="25"/>
  <c r="T8" i="25"/>
  <c r="R8" i="25"/>
  <c r="T7" i="25"/>
  <c r="S7" i="25"/>
  <c r="X7" i="25"/>
  <c r="W7" i="25"/>
  <c r="V7" i="25"/>
  <c r="U7" i="25"/>
  <c r="R7" i="25"/>
  <c r="Q7" i="25"/>
  <c r="X6" i="25"/>
  <c r="W6" i="25"/>
  <c r="V6" i="25"/>
  <c r="U6" i="25"/>
  <c r="T6" i="25"/>
  <c r="S6" i="25"/>
  <c r="R6" i="25"/>
  <c r="Q6" i="25"/>
  <c r="X5" i="25"/>
  <c r="W5" i="25"/>
  <c r="V5" i="25"/>
  <c r="S5" i="25"/>
  <c r="Q5" i="25"/>
  <c r="U5" i="25"/>
  <c r="T5" i="25"/>
  <c r="R5" i="25"/>
  <c r="Q4" i="25"/>
  <c r="R4" i="25"/>
  <c r="T4" i="25"/>
  <c r="V4" i="25"/>
  <c r="W4" i="25"/>
  <c r="X4" i="25"/>
  <c r="U4" i="25"/>
  <c r="S4" i="25"/>
  <c r="S15" i="24"/>
  <c r="W15" i="24"/>
  <c r="Q15" i="24"/>
  <c r="R15" i="24"/>
  <c r="T15" i="24"/>
  <c r="U15" i="24"/>
  <c r="X15" i="24"/>
  <c r="W14" i="24"/>
  <c r="V14" i="24"/>
  <c r="U14" i="24"/>
  <c r="T14" i="24"/>
  <c r="R14" i="24"/>
  <c r="Q14" i="24"/>
  <c r="X14" i="24"/>
  <c r="S14" i="24"/>
  <c r="T13" i="24"/>
  <c r="S13" i="24"/>
  <c r="R13" i="24"/>
  <c r="Q13" i="24"/>
  <c r="X13" i="24"/>
  <c r="W13" i="24"/>
  <c r="V13" i="24"/>
  <c r="U13" i="24"/>
  <c r="U12" i="24"/>
  <c r="Q12" i="24"/>
  <c r="R12" i="24"/>
  <c r="S12" i="24"/>
  <c r="T12" i="24"/>
  <c r="V12" i="24"/>
  <c r="W12" i="24"/>
  <c r="X12" i="24"/>
  <c r="S11" i="24"/>
  <c r="R11" i="24"/>
  <c r="X11" i="24"/>
  <c r="W11" i="24"/>
  <c r="Q11" i="24"/>
  <c r="V11" i="24"/>
  <c r="U11" i="24"/>
  <c r="T11" i="24"/>
  <c r="X10" i="24"/>
  <c r="W10" i="24"/>
  <c r="U10" i="24"/>
  <c r="S10" i="24"/>
  <c r="Q10" i="24"/>
  <c r="R10" i="24"/>
  <c r="T10" i="24"/>
  <c r="V10" i="24"/>
  <c r="V9" i="24"/>
  <c r="U9" i="24"/>
  <c r="W9" i="24"/>
  <c r="X9" i="24"/>
  <c r="T9" i="24"/>
  <c r="R9" i="24"/>
  <c r="Q9" i="24"/>
  <c r="S9" i="24"/>
  <c r="W8" i="24"/>
  <c r="V8" i="24"/>
  <c r="U8" i="24"/>
  <c r="S8" i="24"/>
  <c r="Q8" i="24"/>
  <c r="R8" i="24"/>
  <c r="T8" i="24"/>
  <c r="X8" i="24"/>
  <c r="R7" i="24"/>
  <c r="X7" i="24"/>
  <c r="W7" i="24"/>
  <c r="V7" i="24"/>
  <c r="U7" i="24"/>
  <c r="T7" i="24"/>
  <c r="S7" i="24"/>
  <c r="R6" i="24"/>
  <c r="T6" i="24"/>
  <c r="S6" i="24"/>
  <c r="Q6" i="24"/>
  <c r="U6" i="24"/>
  <c r="V6" i="24"/>
  <c r="W6" i="24"/>
  <c r="X6" i="24"/>
  <c r="W5" i="24"/>
  <c r="V5" i="24"/>
  <c r="U5" i="24"/>
  <c r="R5" i="24"/>
  <c r="T5" i="24"/>
  <c r="Q5" i="24"/>
  <c r="S5" i="24"/>
  <c r="X5" i="24"/>
  <c r="X4" i="24"/>
  <c r="X16" i="24" s="1"/>
  <c r="I22" i="3" s="1"/>
  <c r="V4" i="24"/>
  <c r="V16" i="24" s="1"/>
  <c r="G22" i="3" s="1"/>
  <c r="W4" i="24"/>
  <c r="W16" i="24" s="1"/>
  <c r="H22" i="3" s="1"/>
  <c r="T4" i="24"/>
  <c r="T16" i="24" s="1"/>
  <c r="E22" i="3" s="1"/>
  <c r="R4" i="24"/>
  <c r="R16" i="24" s="1"/>
  <c r="C22" i="3" s="1"/>
  <c r="Q4" i="24"/>
  <c r="S4" i="24"/>
  <c r="U4" i="24"/>
  <c r="R15" i="23"/>
  <c r="Q15" i="23"/>
  <c r="X14" i="23"/>
  <c r="W14" i="23"/>
  <c r="V14" i="23"/>
  <c r="U14" i="23"/>
  <c r="T14" i="23"/>
  <c r="S14" i="23"/>
  <c r="R14" i="23"/>
  <c r="Q14" i="23"/>
  <c r="X13" i="23"/>
  <c r="W13" i="23"/>
  <c r="V13" i="23"/>
  <c r="U13" i="23"/>
  <c r="T13" i="23"/>
  <c r="S13" i="23"/>
  <c r="Q13" i="23"/>
  <c r="R13" i="23"/>
  <c r="U12" i="23"/>
  <c r="V12" i="23"/>
  <c r="X12" i="23"/>
  <c r="Q12" i="23"/>
  <c r="R12" i="23"/>
  <c r="S12" i="23"/>
  <c r="T12" i="23"/>
  <c r="W12" i="23"/>
  <c r="Q11" i="23"/>
  <c r="R11" i="23"/>
  <c r="S11" i="23"/>
  <c r="U11" i="23"/>
  <c r="V11" i="23"/>
  <c r="W11" i="23"/>
  <c r="X11" i="23"/>
  <c r="T11" i="23"/>
  <c r="Q10" i="23"/>
  <c r="X10" i="23"/>
  <c r="T10" i="23"/>
  <c r="S10" i="23"/>
  <c r="U10" i="23"/>
  <c r="V10" i="23"/>
  <c r="W10" i="23"/>
  <c r="R10" i="23"/>
  <c r="Q9" i="23"/>
  <c r="R9" i="23"/>
  <c r="S9" i="23"/>
  <c r="T9" i="23"/>
  <c r="U9" i="23"/>
  <c r="V9" i="23"/>
  <c r="W9" i="23"/>
  <c r="X9" i="23"/>
  <c r="S8" i="23"/>
  <c r="R8" i="23"/>
  <c r="Q8" i="23"/>
  <c r="V8" i="23"/>
  <c r="X8" i="23"/>
  <c r="W8" i="23"/>
  <c r="U8" i="23"/>
  <c r="T8" i="23"/>
  <c r="Q7" i="23"/>
  <c r="R7" i="23"/>
  <c r="S7" i="23"/>
  <c r="T7" i="23"/>
  <c r="V7" i="23"/>
  <c r="W7" i="23"/>
  <c r="X7" i="23"/>
  <c r="U7" i="23"/>
  <c r="W6" i="23"/>
  <c r="X6" i="23"/>
  <c r="S6" i="23"/>
  <c r="Q6" i="23"/>
  <c r="R6" i="23"/>
  <c r="T6" i="23"/>
  <c r="U6" i="23"/>
  <c r="V6" i="23"/>
  <c r="T5" i="23"/>
  <c r="Q5" i="23"/>
  <c r="R5" i="23"/>
  <c r="S5" i="23"/>
  <c r="U5" i="23"/>
  <c r="V5" i="23"/>
  <c r="W5" i="23"/>
  <c r="X5" i="23"/>
  <c r="Q4" i="23"/>
  <c r="R4" i="23"/>
  <c r="S4" i="23"/>
  <c r="T4" i="23"/>
  <c r="V4" i="23"/>
  <c r="W4" i="23"/>
  <c r="X4" i="23"/>
  <c r="U4" i="23"/>
  <c r="X15" i="22"/>
  <c r="T15" i="22"/>
  <c r="V15" i="22"/>
  <c r="S15" i="22"/>
  <c r="Q15" i="22"/>
  <c r="W15" i="22"/>
  <c r="U15" i="22"/>
  <c r="R15" i="22"/>
  <c r="T14" i="22"/>
  <c r="S14" i="22"/>
  <c r="Q14" i="22"/>
  <c r="X14" i="22"/>
  <c r="V14" i="22"/>
  <c r="R14" i="22"/>
  <c r="U14" i="22"/>
  <c r="W14" i="22"/>
  <c r="T13" i="22"/>
  <c r="X13" i="22"/>
  <c r="V13" i="22"/>
  <c r="U13" i="22"/>
  <c r="Q13" i="22"/>
  <c r="S13" i="22"/>
  <c r="W13" i="22"/>
  <c r="R13" i="22"/>
  <c r="R12" i="22"/>
  <c r="W12" i="22"/>
  <c r="X12" i="22"/>
  <c r="V12" i="22"/>
  <c r="U12" i="22"/>
  <c r="T12" i="22"/>
  <c r="S12" i="22"/>
  <c r="Q12" i="22"/>
  <c r="U11" i="22"/>
  <c r="Q11" i="22"/>
  <c r="S11" i="22"/>
  <c r="R11" i="22"/>
  <c r="X11" i="22"/>
  <c r="V11" i="22"/>
  <c r="T11" i="22"/>
  <c r="W11" i="22"/>
  <c r="S10" i="22"/>
  <c r="Q10" i="22"/>
  <c r="R10" i="22"/>
  <c r="T10" i="22"/>
  <c r="U10" i="22"/>
  <c r="X10" i="22"/>
  <c r="W10" i="22"/>
  <c r="V10" i="22"/>
  <c r="Q9" i="22"/>
  <c r="S9" i="22"/>
  <c r="W9" i="22"/>
  <c r="X9" i="22"/>
  <c r="U9" i="22"/>
  <c r="T9" i="22"/>
  <c r="R9" i="22"/>
  <c r="V9" i="22"/>
  <c r="T8" i="22"/>
  <c r="R8" i="22"/>
  <c r="X8" i="22"/>
  <c r="W8" i="22"/>
  <c r="V8" i="22"/>
  <c r="U8" i="22"/>
  <c r="S8" i="22"/>
  <c r="Q8" i="22"/>
  <c r="W7" i="22"/>
  <c r="V7" i="22"/>
  <c r="U7" i="22"/>
  <c r="T7" i="22"/>
  <c r="S7" i="22"/>
  <c r="R7" i="22"/>
  <c r="Q7" i="22"/>
  <c r="X7" i="22"/>
  <c r="S6" i="22"/>
  <c r="Q6" i="22"/>
  <c r="W6" i="22"/>
  <c r="V6" i="22"/>
  <c r="T6" i="22"/>
  <c r="R6" i="22"/>
  <c r="U6" i="22"/>
  <c r="X6" i="22"/>
  <c r="X5" i="22"/>
  <c r="W5" i="22"/>
  <c r="V5" i="22"/>
  <c r="U5" i="22"/>
  <c r="T5" i="22"/>
  <c r="S5" i="22"/>
  <c r="Q5" i="22"/>
  <c r="R5" i="22"/>
  <c r="S4" i="22"/>
  <c r="S16" i="22" s="1"/>
  <c r="D20" i="3" s="1"/>
  <c r="X4" i="22"/>
  <c r="X16" i="22" s="1"/>
  <c r="I20" i="3" s="1"/>
  <c r="W4" i="22"/>
  <c r="W16" i="22" s="1"/>
  <c r="H20" i="3" s="1"/>
  <c r="Q4" i="22"/>
  <c r="Q16" i="22" s="1"/>
  <c r="B20" i="3" s="1"/>
  <c r="V4" i="22"/>
  <c r="V16" i="22" s="1"/>
  <c r="G20" i="3" s="1"/>
  <c r="R4" i="22"/>
  <c r="R16" i="22" s="1"/>
  <c r="C20" i="3" s="1"/>
  <c r="U4" i="22"/>
  <c r="T4" i="22"/>
  <c r="X15" i="21"/>
  <c r="V15" i="21"/>
  <c r="U15" i="21"/>
  <c r="S15" i="21"/>
  <c r="Q15" i="21"/>
  <c r="R15" i="21"/>
  <c r="T15" i="21"/>
  <c r="W15" i="21"/>
  <c r="X14" i="21"/>
  <c r="W14" i="21"/>
  <c r="V14" i="21"/>
  <c r="U14" i="21"/>
  <c r="S14" i="21"/>
  <c r="Q14" i="21"/>
  <c r="R14" i="21"/>
  <c r="T14" i="21"/>
  <c r="W13" i="21"/>
  <c r="V13" i="21"/>
  <c r="S13" i="21"/>
  <c r="Q13" i="21"/>
  <c r="U13" i="21"/>
  <c r="T13" i="21"/>
  <c r="R13" i="21"/>
  <c r="X13" i="21"/>
  <c r="T12" i="21"/>
  <c r="U12" i="21"/>
  <c r="S12" i="21"/>
  <c r="R12" i="21"/>
  <c r="Q12" i="21"/>
  <c r="W12" i="21"/>
  <c r="X12" i="21"/>
  <c r="V12" i="21"/>
  <c r="Q11" i="21"/>
  <c r="R11" i="21"/>
  <c r="T11" i="21"/>
  <c r="U11" i="21"/>
  <c r="V11" i="21"/>
  <c r="W11" i="21"/>
  <c r="X11" i="21"/>
  <c r="S11" i="21"/>
  <c r="V10" i="21"/>
  <c r="U10" i="21"/>
  <c r="T10" i="21"/>
  <c r="S10" i="21"/>
  <c r="R10" i="21"/>
  <c r="Q10" i="21"/>
  <c r="X10" i="21"/>
  <c r="W10" i="21"/>
  <c r="T9" i="21"/>
  <c r="S9" i="21"/>
  <c r="R9" i="21"/>
  <c r="Q9" i="21"/>
  <c r="V9" i="21"/>
  <c r="U9" i="21"/>
  <c r="X9" i="21"/>
  <c r="W9" i="21"/>
  <c r="X8" i="21"/>
  <c r="W8" i="21"/>
  <c r="V8" i="21"/>
  <c r="U8" i="21"/>
  <c r="T8" i="21"/>
  <c r="S8" i="21"/>
  <c r="R8" i="21"/>
  <c r="Q8" i="21"/>
  <c r="X7" i="21"/>
  <c r="W7" i="21"/>
  <c r="V7" i="21"/>
  <c r="U7" i="21"/>
  <c r="T7" i="21"/>
  <c r="S7" i="21"/>
  <c r="R7" i="21"/>
  <c r="Q7" i="21"/>
  <c r="T6" i="21"/>
  <c r="S6" i="21"/>
  <c r="R6" i="21"/>
  <c r="Q6" i="21"/>
  <c r="X6" i="21"/>
  <c r="W6" i="21"/>
  <c r="V6" i="21"/>
  <c r="U6" i="21"/>
  <c r="T5" i="21"/>
  <c r="S5" i="21"/>
  <c r="R5" i="21"/>
  <c r="X5" i="21"/>
  <c r="Q5" i="21"/>
  <c r="W5" i="21"/>
  <c r="V5" i="21"/>
  <c r="U5" i="21"/>
  <c r="X4" i="21"/>
  <c r="W4" i="21"/>
  <c r="V4" i="21"/>
  <c r="U4" i="21"/>
  <c r="T4" i="21"/>
  <c r="R4" i="21"/>
  <c r="Q4" i="21"/>
  <c r="S4" i="21"/>
  <c r="T15" i="20"/>
  <c r="S15" i="20"/>
  <c r="R15" i="20"/>
  <c r="Q15" i="20"/>
  <c r="X15" i="20"/>
  <c r="W15" i="20"/>
  <c r="V15" i="20"/>
  <c r="U15" i="20"/>
  <c r="T14" i="20"/>
  <c r="S14" i="20"/>
  <c r="R14" i="20"/>
  <c r="Q14" i="20"/>
  <c r="X14" i="20"/>
  <c r="W14" i="20"/>
  <c r="V14" i="20"/>
  <c r="U14" i="20"/>
  <c r="X13" i="20"/>
  <c r="W13" i="20"/>
  <c r="V13" i="20"/>
  <c r="U13" i="20"/>
  <c r="T13" i="20"/>
  <c r="R13" i="20"/>
  <c r="Q13" i="20"/>
  <c r="S13" i="20"/>
  <c r="X12" i="20"/>
  <c r="W12" i="20"/>
  <c r="V12" i="20"/>
  <c r="U12" i="20"/>
  <c r="T12" i="20"/>
  <c r="S12" i="20"/>
  <c r="R12" i="20"/>
  <c r="Q12" i="20"/>
  <c r="W11" i="20"/>
  <c r="V11" i="20"/>
  <c r="U11" i="20"/>
  <c r="T11" i="20"/>
  <c r="S11" i="20"/>
  <c r="R11" i="20"/>
  <c r="Q11" i="20"/>
  <c r="X11" i="20"/>
  <c r="U10" i="20"/>
  <c r="T10" i="20"/>
  <c r="S10" i="20"/>
  <c r="R10" i="20"/>
  <c r="Q10" i="20"/>
  <c r="X10" i="20"/>
  <c r="W10" i="20"/>
  <c r="V10" i="20"/>
  <c r="U9" i="20"/>
  <c r="T9" i="20"/>
  <c r="S9" i="20"/>
  <c r="R9" i="20"/>
  <c r="Q9" i="20"/>
  <c r="V9" i="20"/>
  <c r="X9" i="20"/>
  <c r="W9" i="20"/>
  <c r="X8" i="20"/>
  <c r="W8" i="20"/>
  <c r="V8" i="20"/>
  <c r="U8" i="20"/>
  <c r="T8" i="20"/>
  <c r="S8" i="20"/>
  <c r="R8" i="20"/>
  <c r="Q8" i="20"/>
  <c r="X7" i="20"/>
  <c r="W7" i="20"/>
  <c r="V7" i="20"/>
  <c r="U7" i="20"/>
  <c r="T7" i="20"/>
  <c r="S7" i="20"/>
  <c r="R7" i="20"/>
  <c r="Q7" i="20"/>
  <c r="V6" i="20"/>
  <c r="U6" i="20"/>
  <c r="T6" i="20"/>
  <c r="S6" i="20"/>
  <c r="R6" i="20"/>
  <c r="Q6" i="20"/>
  <c r="X6" i="20"/>
  <c r="W6" i="20"/>
  <c r="X5" i="20"/>
  <c r="W5" i="20"/>
  <c r="V5" i="20"/>
  <c r="U5" i="20"/>
  <c r="T5" i="20"/>
  <c r="S5" i="20"/>
  <c r="R5" i="20"/>
  <c r="Q5" i="20"/>
  <c r="U4" i="20"/>
  <c r="U16" i="20" s="1"/>
  <c r="F18" i="3" s="1"/>
  <c r="T4" i="20"/>
  <c r="T16" i="20" s="1"/>
  <c r="E18" i="3" s="1"/>
  <c r="S4" i="20"/>
  <c r="S16" i="20" s="1"/>
  <c r="D18" i="3" s="1"/>
  <c r="R4" i="20"/>
  <c r="R16" i="20" s="1"/>
  <c r="C18" i="3" s="1"/>
  <c r="Q4" i="20"/>
  <c r="Q16" i="20" s="1"/>
  <c r="B18" i="3" s="1"/>
  <c r="X4" i="20"/>
  <c r="W4" i="20"/>
  <c r="V4" i="20"/>
  <c r="U15" i="19"/>
  <c r="T15" i="19"/>
  <c r="S15" i="19"/>
  <c r="R15" i="19"/>
  <c r="Q15" i="19"/>
  <c r="X15" i="19"/>
  <c r="W15" i="19"/>
  <c r="V15" i="19"/>
  <c r="X14" i="19"/>
  <c r="W14" i="19"/>
  <c r="V14" i="19"/>
  <c r="U14" i="19"/>
  <c r="T14" i="19"/>
  <c r="S14" i="19"/>
  <c r="R14" i="19"/>
  <c r="Q14" i="19"/>
  <c r="X13" i="19"/>
  <c r="W13" i="19"/>
  <c r="V13" i="19"/>
  <c r="U13" i="19"/>
  <c r="T13" i="19"/>
  <c r="S13" i="19"/>
  <c r="R13" i="19"/>
  <c r="Q13" i="19"/>
  <c r="X12" i="19"/>
  <c r="W12" i="19"/>
  <c r="V12" i="19"/>
  <c r="U12" i="19"/>
  <c r="T12" i="19"/>
  <c r="R12" i="19"/>
  <c r="Q12" i="19"/>
  <c r="S12" i="19"/>
  <c r="V11" i="19"/>
  <c r="U11" i="19"/>
  <c r="T11" i="19"/>
  <c r="S11" i="19"/>
  <c r="R11" i="19"/>
  <c r="Q11" i="19"/>
  <c r="X11" i="19"/>
  <c r="W11" i="19"/>
  <c r="S10" i="19"/>
  <c r="Q10" i="19"/>
  <c r="R10" i="19"/>
  <c r="T10" i="19"/>
  <c r="Q9" i="19"/>
  <c r="R9" i="19"/>
  <c r="S9" i="19"/>
  <c r="U9" i="19"/>
  <c r="V9" i="19"/>
  <c r="W9" i="19"/>
  <c r="X9" i="19"/>
  <c r="T9" i="19"/>
  <c r="X8" i="19"/>
  <c r="Q8" i="19"/>
  <c r="V8" i="19"/>
  <c r="W8" i="19"/>
  <c r="R8" i="19"/>
  <c r="S8" i="19"/>
  <c r="T8" i="19"/>
  <c r="U8" i="19"/>
  <c r="V7" i="19"/>
  <c r="Q7" i="19"/>
  <c r="X7" i="19"/>
  <c r="W7" i="19"/>
  <c r="U7" i="19"/>
  <c r="T7" i="19"/>
  <c r="S7" i="19"/>
  <c r="R7" i="19"/>
  <c r="V6" i="19"/>
  <c r="X6" i="19"/>
  <c r="W6" i="19"/>
  <c r="T6" i="19"/>
  <c r="Q6" i="19"/>
  <c r="R6" i="19"/>
  <c r="S6" i="19"/>
  <c r="U6" i="19"/>
  <c r="W5" i="19"/>
  <c r="Q5" i="19"/>
  <c r="R5" i="19"/>
  <c r="S5" i="19"/>
  <c r="T5" i="19"/>
  <c r="U5" i="19"/>
  <c r="X5" i="19"/>
  <c r="V5" i="19"/>
  <c r="W4" i="19"/>
  <c r="X4" i="19"/>
  <c r="V4" i="19"/>
  <c r="U4" i="19"/>
  <c r="T4" i="19"/>
  <c r="S4" i="19"/>
  <c r="R4" i="19"/>
  <c r="Q4" i="19"/>
  <c r="Q15" i="18"/>
  <c r="X15" i="18"/>
  <c r="W15" i="18"/>
  <c r="V15" i="18"/>
  <c r="U15" i="18"/>
  <c r="T15" i="18"/>
  <c r="S15" i="18"/>
  <c r="R15" i="18"/>
  <c r="U14" i="18"/>
  <c r="X14" i="18"/>
  <c r="W14" i="18"/>
  <c r="V14" i="18"/>
  <c r="T14" i="18"/>
  <c r="S14" i="18"/>
  <c r="R14" i="18"/>
  <c r="Q14" i="18"/>
  <c r="X13" i="18"/>
  <c r="W13" i="18"/>
  <c r="V13" i="18"/>
  <c r="U13" i="18"/>
  <c r="T13" i="18"/>
  <c r="Q13" i="18"/>
  <c r="R13" i="18"/>
  <c r="S13" i="18"/>
  <c r="Q12" i="18"/>
  <c r="R12" i="18"/>
  <c r="S12" i="18"/>
  <c r="T12" i="18"/>
  <c r="U12" i="18"/>
  <c r="V12" i="18"/>
  <c r="W12" i="18"/>
  <c r="X12" i="18"/>
  <c r="Q11" i="18"/>
  <c r="R11" i="18"/>
  <c r="S11" i="18"/>
  <c r="T11" i="18"/>
  <c r="U11" i="18"/>
  <c r="V11" i="18"/>
  <c r="W11" i="18"/>
  <c r="X11" i="18"/>
  <c r="X10" i="18"/>
  <c r="W10" i="18"/>
  <c r="V10" i="18"/>
  <c r="U10" i="18"/>
  <c r="T10" i="18"/>
  <c r="R10" i="18"/>
  <c r="Q10" i="18"/>
  <c r="S10" i="18"/>
  <c r="X9" i="18"/>
  <c r="W9" i="18"/>
  <c r="V9" i="18"/>
  <c r="R9" i="18"/>
  <c r="Q9" i="18"/>
  <c r="U9" i="18"/>
  <c r="T9" i="18"/>
  <c r="S9" i="18"/>
  <c r="T8" i="18"/>
  <c r="S8" i="18"/>
  <c r="R8" i="18"/>
  <c r="X8" i="18"/>
  <c r="W8" i="18"/>
  <c r="V8" i="18"/>
  <c r="Q8" i="18"/>
  <c r="U8" i="18"/>
  <c r="X7" i="18"/>
  <c r="W7" i="18"/>
  <c r="V7" i="18"/>
  <c r="U7" i="18"/>
  <c r="T7" i="18"/>
  <c r="S7" i="18"/>
  <c r="Q7" i="18"/>
  <c r="R7" i="18"/>
  <c r="T6" i="18"/>
  <c r="X6" i="18"/>
  <c r="W6" i="18"/>
  <c r="V6" i="18"/>
  <c r="U6" i="18"/>
  <c r="S6" i="18"/>
  <c r="R6" i="18"/>
  <c r="Q6" i="18"/>
  <c r="X5" i="18"/>
  <c r="W5" i="18"/>
  <c r="V5" i="18"/>
  <c r="U5" i="18"/>
  <c r="T5" i="18"/>
  <c r="S5" i="18"/>
  <c r="R5" i="18"/>
  <c r="Q5" i="18"/>
  <c r="R4" i="18"/>
  <c r="R16" i="18" s="1"/>
  <c r="C16" i="3" s="1"/>
  <c r="Q4" i="18"/>
  <c r="Q16" i="18" s="1"/>
  <c r="B16" i="3" s="1"/>
  <c r="X4" i="18"/>
  <c r="X16" i="18" s="1"/>
  <c r="I16" i="3" s="1"/>
  <c r="W4" i="18"/>
  <c r="W16" i="18" s="1"/>
  <c r="H16" i="3" s="1"/>
  <c r="V4" i="18"/>
  <c r="V16" i="18" s="1"/>
  <c r="G16" i="3" s="1"/>
  <c r="U4" i="18"/>
  <c r="T4" i="18"/>
  <c r="S4" i="18"/>
  <c r="W15" i="17"/>
  <c r="X15" i="17"/>
  <c r="Q15" i="17"/>
  <c r="R15" i="17"/>
  <c r="S15" i="17"/>
  <c r="T15" i="17"/>
  <c r="U15" i="17"/>
  <c r="V15" i="17"/>
  <c r="T14" i="17"/>
  <c r="X14" i="17"/>
  <c r="W14" i="17"/>
  <c r="V14" i="17"/>
  <c r="U14" i="17"/>
  <c r="S14" i="17"/>
  <c r="R14" i="17"/>
  <c r="Q14" i="17"/>
  <c r="W13" i="17"/>
  <c r="V13" i="17"/>
  <c r="X13" i="17"/>
  <c r="U13" i="17"/>
  <c r="T13" i="17"/>
  <c r="S13" i="17"/>
  <c r="R13" i="17"/>
  <c r="Q13" i="17"/>
  <c r="T12" i="17"/>
  <c r="U12" i="17"/>
  <c r="X12" i="17"/>
  <c r="W12" i="17"/>
  <c r="R12" i="17"/>
  <c r="Q12" i="17"/>
  <c r="V12" i="17"/>
  <c r="S12" i="17"/>
  <c r="U11" i="17"/>
  <c r="S11" i="17"/>
  <c r="Q11" i="17"/>
  <c r="R11" i="17"/>
  <c r="T11" i="17"/>
  <c r="V11" i="17"/>
  <c r="W11" i="17"/>
  <c r="X11" i="17"/>
  <c r="T10" i="17"/>
  <c r="U10" i="17"/>
  <c r="W10" i="17"/>
  <c r="X10" i="17"/>
  <c r="R10" i="17"/>
  <c r="Q10" i="17"/>
  <c r="S10" i="17"/>
  <c r="V10" i="17"/>
  <c r="U9" i="17"/>
  <c r="S9" i="17"/>
  <c r="V9" i="17"/>
  <c r="W9" i="17"/>
  <c r="X9" i="17"/>
  <c r="T9" i="17"/>
  <c r="R9" i="17"/>
  <c r="Q9" i="17"/>
  <c r="R7" i="17"/>
  <c r="S7" i="17"/>
  <c r="T7" i="17"/>
  <c r="U7" i="17"/>
  <c r="V7" i="17"/>
  <c r="X7" i="17"/>
  <c r="W7" i="17"/>
  <c r="Q7" i="17"/>
  <c r="Q6" i="17"/>
  <c r="R6" i="17"/>
  <c r="S6" i="17"/>
  <c r="T6" i="17"/>
  <c r="U6" i="17"/>
  <c r="V6" i="17"/>
  <c r="W6" i="17"/>
  <c r="X6" i="17"/>
  <c r="X5" i="17"/>
  <c r="T5" i="17"/>
  <c r="S5" i="17"/>
  <c r="R5" i="17"/>
  <c r="Q5" i="17"/>
  <c r="W5" i="17"/>
  <c r="V5" i="17"/>
  <c r="U5" i="17"/>
  <c r="T4" i="17"/>
  <c r="V4" i="17"/>
  <c r="W4" i="17"/>
  <c r="X4" i="17"/>
  <c r="U4" i="17"/>
  <c r="Q4" i="17"/>
  <c r="R4" i="17"/>
  <c r="S4" i="17"/>
  <c r="Q15" i="16"/>
  <c r="R15" i="16"/>
  <c r="S15" i="16"/>
  <c r="W15" i="16"/>
  <c r="X15" i="16"/>
  <c r="V15" i="16"/>
  <c r="U15" i="16"/>
  <c r="T15" i="16"/>
  <c r="X14" i="16"/>
  <c r="U14" i="16"/>
  <c r="T14" i="16"/>
  <c r="R14" i="16"/>
  <c r="Q14" i="16"/>
  <c r="W14" i="16"/>
  <c r="V14" i="16"/>
  <c r="S14" i="16"/>
  <c r="U13" i="16"/>
  <c r="T13" i="16"/>
  <c r="S13" i="16"/>
  <c r="R13" i="16"/>
  <c r="Q13" i="16"/>
  <c r="X13" i="16"/>
  <c r="W13" i="16"/>
  <c r="V13" i="16"/>
  <c r="X12" i="16"/>
  <c r="W12" i="16"/>
  <c r="V12" i="16"/>
  <c r="U12" i="16"/>
  <c r="T12" i="16"/>
  <c r="S12" i="16"/>
  <c r="R12" i="16"/>
  <c r="Q12" i="16"/>
  <c r="W11" i="16"/>
  <c r="V11" i="16"/>
  <c r="U11" i="16"/>
  <c r="R11" i="16"/>
  <c r="S11" i="16"/>
  <c r="T11" i="16"/>
  <c r="X11" i="16"/>
  <c r="Q11" i="16"/>
  <c r="X10" i="16"/>
  <c r="W10" i="16"/>
  <c r="V10" i="16"/>
  <c r="U10" i="16"/>
  <c r="T10" i="16"/>
  <c r="S10" i="16"/>
  <c r="R10" i="16"/>
  <c r="Q10" i="16"/>
  <c r="X9" i="16"/>
  <c r="W9" i="16"/>
  <c r="V9" i="16"/>
  <c r="U9" i="16"/>
  <c r="T9" i="16"/>
  <c r="S9" i="16"/>
  <c r="R9" i="16"/>
  <c r="Q9" i="16"/>
  <c r="X8" i="16"/>
  <c r="W8" i="16"/>
  <c r="V8" i="16"/>
  <c r="U8" i="16"/>
  <c r="T8" i="16"/>
  <c r="S8" i="16"/>
  <c r="R8" i="16"/>
  <c r="Q8" i="16"/>
  <c r="X7" i="16"/>
  <c r="W7" i="16"/>
  <c r="V7" i="16"/>
  <c r="U7" i="16"/>
  <c r="T7" i="16"/>
  <c r="S7" i="16"/>
  <c r="R7" i="16"/>
  <c r="Q7" i="16"/>
  <c r="X6" i="16"/>
  <c r="W6" i="16"/>
  <c r="V6" i="16"/>
  <c r="U6" i="16"/>
  <c r="T6" i="16"/>
  <c r="S6" i="16"/>
  <c r="R6" i="16"/>
  <c r="Q6" i="16"/>
  <c r="X5" i="16"/>
  <c r="W5" i="16"/>
  <c r="V5" i="16"/>
  <c r="U5" i="16"/>
  <c r="T5" i="16"/>
  <c r="S5" i="16"/>
  <c r="R5" i="16"/>
  <c r="Q5" i="16"/>
  <c r="V4" i="16"/>
  <c r="V16" i="16" s="1"/>
  <c r="G14" i="3" s="1"/>
  <c r="X4" i="16"/>
  <c r="X16" i="16" s="1"/>
  <c r="I14" i="3" s="1"/>
  <c r="W4" i="16"/>
  <c r="W16" i="16" s="1"/>
  <c r="H14" i="3" s="1"/>
  <c r="U4" i="16"/>
  <c r="U16" i="16" s="1"/>
  <c r="F14" i="3" s="1"/>
  <c r="T4" i="16"/>
  <c r="T16" i="16" s="1"/>
  <c r="E14" i="3" s="1"/>
  <c r="S4" i="16"/>
  <c r="S16" i="16" s="1"/>
  <c r="D14" i="3" s="1"/>
  <c r="R4" i="16"/>
  <c r="R16" i="16" s="1"/>
  <c r="C14" i="3" s="1"/>
  <c r="Q4" i="16"/>
  <c r="Q16" i="16" s="1"/>
  <c r="B14" i="3" s="1"/>
  <c r="X15" i="15"/>
  <c r="T15" i="15"/>
  <c r="S15" i="15"/>
  <c r="R15" i="15"/>
  <c r="Q15" i="15"/>
  <c r="V15" i="15"/>
  <c r="U15" i="15"/>
  <c r="W15" i="15"/>
  <c r="X14" i="15"/>
  <c r="U14" i="15"/>
  <c r="Q14" i="15"/>
  <c r="R14" i="15"/>
  <c r="S14" i="15"/>
  <c r="T14" i="15"/>
  <c r="V14" i="15"/>
  <c r="W14" i="15"/>
  <c r="R13" i="15"/>
  <c r="W13" i="15"/>
  <c r="X13" i="15"/>
  <c r="V13" i="15"/>
  <c r="Q13" i="15"/>
  <c r="S13" i="15"/>
  <c r="T13" i="15"/>
  <c r="U13" i="15"/>
  <c r="V12" i="15"/>
  <c r="W12" i="15"/>
  <c r="X12" i="15"/>
  <c r="T12" i="15"/>
  <c r="Q12" i="15"/>
  <c r="R12" i="15"/>
  <c r="S12" i="15"/>
  <c r="U12" i="15"/>
  <c r="Q11" i="15"/>
  <c r="T11" i="15"/>
  <c r="X11" i="15"/>
  <c r="W11" i="15"/>
  <c r="V11" i="15"/>
  <c r="U11" i="15"/>
  <c r="S11" i="15"/>
  <c r="R11" i="15"/>
  <c r="R10" i="15"/>
  <c r="V10" i="15"/>
  <c r="W10" i="15"/>
  <c r="X10" i="15"/>
  <c r="U10" i="15"/>
  <c r="T10" i="15"/>
  <c r="S10" i="15"/>
  <c r="Q10" i="15"/>
  <c r="T9" i="15"/>
  <c r="X9" i="15"/>
  <c r="W9" i="15"/>
  <c r="V9" i="15"/>
  <c r="U9" i="15"/>
  <c r="S9" i="15"/>
  <c r="R9" i="15"/>
  <c r="Q9" i="15"/>
  <c r="S8" i="15"/>
  <c r="Q8" i="15"/>
  <c r="X8" i="15"/>
  <c r="W8" i="15"/>
  <c r="V8" i="15"/>
  <c r="U8" i="15"/>
  <c r="T8" i="15"/>
  <c r="R8" i="15"/>
  <c r="X7" i="15"/>
  <c r="W7" i="15"/>
  <c r="V7" i="15"/>
  <c r="U7" i="15"/>
  <c r="T7" i="15"/>
  <c r="S7" i="15"/>
  <c r="R7" i="15"/>
  <c r="Q7" i="15"/>
  <c r="T6" i="15"/>
  <c r="V6" i="15"/>
  <c r="W6" i="15"/>
  <c r="X6" i="15"/>
  <c r="Q6" i="15"/>
  <c r="R6" i="15"/>
  <c r="S6" i="15"/>
  <c r="U6" i="15"/>
  <c r="S5" i="15"/>
  <c r="T5" i="15"/>
  <c r="U5" i="15"/>
  <c r="V5" i="15"/>
  <c r="Q5" i="15"/>
  <c r="R5" i="15"/>
  <c r="S4" i="15"/>
  <c r="X4" i="15"/>
  <c r="W4" i="15"/>
  <c r="V4" i="15"/>
  <c r="U4" i="15"/>
  <c r="T4" i="15"/>
  <c r="Q4" i="15"/>
  <c r="R4" i="15"/>
  <c r="X15" i="14"/>
  <c r="W15" i="14"/>
  <c r="V15" i="14"/>
  <c r="U15" i="14"/>
  <c r="T15" i="14"/>
  <c r="S15" i="14"/>
  <c r="Q15" i="14"/>
  <c r="R15" i="14"/>
  <c r="X14" i="14"/>
  <c r="V14" i="14"/>
  <c r="U14" i="14"/>
  <c r="T14" i="14"/>
  <c r="S14" i="14"/>
  <c r="R14" i="14"/>
  <c r="Q14" i="14"/>
  <c r="W14" i="14"/>
  <c r="R13" i="14"/>
  <c r="Q13" i="14"/>
  <c r="X13" i="14"/>
  <c r="W13" i="14"/>
  <c r="V13" i="14"/>
  <c r="U13" i="14"/>
  <c r="T13" i="14"/>
  <c r="S13" i="14"/>
  <c r="R12" i="14"/>
  <c r="Q12" i="14"/>
  <c r="X12" i="14"/>
  <c r="W12" i="14"/>
  <c r="V12" i="14"/>
  <c r="U12" i="14"/>
  <c r="T12" i="14"/>
  <c r="S12" i="14"/>
  <c r="S11" i="14"/>
  <c r="R11" i="14"/>
  <c r="X11" i="14"/>
  <c r="W11" i="14"/>
  <c r="U11" i="14"/>
  <c r="V11" i="14"/>
  <c r="Q11" i="14"/>
  <c r="T11" i="14"/>
  <c r="Q10" i="14"/>
  <c r="R10" i="14"/>
  <c r="S10" i="14"/>
  <c r="T10" i="14"/>
  <c r="U10" i="14"/>
  <c r="V10" i="14"/>
  <c r="W10" i="14"/>
  <c r="X10" i="14"/>
  <c r="X9" i="14"/>
  <c r="W9" i="14"/>
  <c r="V9" i="14"/>
  <c r="T9" i="14"/>
  <c r="S9" i="14"/>
  <c r="R9" i="14"/>
  <c r="Q9" i="14"/>
  <c r="U9" i="14"/>
  <c r="T8" i="14"/>
  <c r="X8" i="14"/>
  <c r="W8" i="14"/>
  <c r="V8" i="14"/>
  <c r="U8" i="14"/>
  <c r="S8" i="14"/>
  <c r="R8" i="14"/>
  <c r="Q8" i="14"/>
  <c r="S7" i="14"/>
  <c r="T7" i="14"/>
  <c r="U7" i="14"/>
  <c r="Q7" i="14"/>
  <c r="X7" i="14"/>
  <c r="W7" i="14"/>
  <c r="V7" i="14"/>
  <c r="R7" i="14"/>
  <c r="Q6" i="14"/>
  <c r="W6" i="14"/>
  <c r="X6" i="14"/>
  <c r="V6" i="14"/>
  <c r="U6" i="14"/>
  <c r="T6" i="14"/>
  <c r="S6" i="14"/>
  <c r="R6" i="14"/>
  <c r="Q5" i="14"/>
  <c r="X5" i="14"/>
  <c r="W5" i="14"/>
  <c r="V5" i="14"/>
  <c r="U5" i="14"/>
  <c r="T5" i="14"/>
  <c r="S5" i="14"/>
  <c r="R5" i="14"/>
  <c r="X4" i="14"/>
  <c r="X16" i="14" s="1"/>
  <c r="I12" i="3" s="1"/>
  <c r="W4" i="14"/>
  <c r="W16" i="14" s="1"/>
  <c r="H12" i="3" s="1"/>
  <c r="V4" i="14"/>
  <c r="V16" i="14" s="1"/>
  <c r="G12" i="3" s="1"/>
  <c r="U4" i="14"/>
  <c r="U16" i="14" s="1"/>
  <c r="F12" i="3" s="1"/>
  <c r="T4" i="14"/>
  <c r="T16" i="14" s="1"/>
  <c r="E12" i="3" s="1"/>
  <c r="S4" i="14"/>
  <c r="S16" i="14" s="1"/>
  <c r="D12" i="3" s="1"/>
  <c r="R4" i="14"/>
  <c r="Q4" i="14"/>
  <c r="W15" i="13"/>
  <c r="X15" i="13"/>
  <c r="V15" i="13"/>
  <c r="S15" i="13"/>
  <c r="U15" i="13"/>
  <c r="T15" i="13"/>
  <c r="Q15" i="13"/>
  <c r="R15" i="13"/>
  <c r="S14" i="13"/>
  <c r="R14" i="13"/>
  <c r="U14" i="13"/>
  <c r="T14" i="13"/>
  <c r="X14" i="13"/>
  <c r="Q14" i="13"/>
  <c r="V14" i="13"/>
  <c r="S13" i="13"/>
  <c r="T13" i="13"/>
  <c r="V13" i="13"/>
  <c r="U13" i="13"/>
  <c r="W13" i="13"/>
  <c r="X13" i="13"/>
  <c r="Q13" i="13"/>
  <c r="R13" i="13"/>
  <c r="Q12" i="13"/>
  <c r="R12" i="13"/>
  <c r="X12" i="13"/>
  <c r="V12" i="13"/>
  <c r="S12" i="13"/>
  <c r="U12" i="13"/>
  <c r="T12" i="13"/>
  <c r="W12" i="13"/>
  <c r="X11" i="13"/>
  <c r="W11" i="13"/>
  <c r="V11" i="13"/>
  <c r="U11" i="13"/>
  <c r="S11" i="13"/>
  <c r="R11" i="13"/>
  <c r="Q11" i="13"/>
  <c r="T11" i="13"/>
  <c r="X10" i="13"/>
  <c r="W10" i="13"/>
  <c r="V10" i="13"/>
  <c r="U10" i="13"/>
  <c r="T10" i="13"/>
  <c r="S10" i="13"/>
  <c r="R10" i="13"/>
  <c r="Q10" i="13"/>
  <c r="X9" i="13"/>
  <c r="W9" i="13"/>
  <c r="V9" i="13"/>
  <c r="U9" i="13"/>
  <c r="T9" i="13"/>
  <c r="S9" i="13"/>
  <c r="R9" i="13"/>
  <c r="Q9" i="13"/>
  <c r="X8" i="13"/>
  <c r="W8" i="13"/>
  <c r="V8" i="13"/>
  <c r="U8" i="13"/>
  <c r="T8" i="13"/>
  <c r="S8" i="13"/>
  <c r="Q8" i="13"/>
  <c r="R8" i="13"/>
  <c r="W7" i="13"/>
  <c r="V7" i="13"/>
  <c r="U7" i="13"/>
  <c r="T7" i="13"/>
  <c r="S7" i="13"/>
  <c r="R7" i="13"/>
  <c r="Q7" i="13"/>
  <c r="X7" i="13"/>
  <c r="V6" i="13"/>
  <c r="X6" i="13"/>
  <c r="W6" i="13"/>
  <c r="Q6" i="13"/>
  <c r="U6" i="13"/>
  <c r="R6" i="13"/>
  <c r="S6" i="13"/>
  <c r="T6" i="13"/>
  <c r="V5" i="13"/>
  <c r="U5" i="13"/>
  <c r="T5" i="13"/>
  <c r="R5" i="13"/>
  <c r="S5" i="13"/>
  <c r="Q5" i="13"/>
  <c r="W5" i="13"/>
  <c r="X5" i="13"/>
  <c r="S4" i="13"/>
  <c r="Q4" i="13"/>
  <c r="R4" i="13"/>
  <c r="T4" i="13"/>
  <c r="U4" i="13"/>
  <c r="V4" i="13"/>
  <c r="W4" i="13"/>
  <c r="X4" i="13"/>
  <c r="V15" i="12"/>
  <c r="W15" i="12"/>
  <c r="R15" i="12"/>
  <c r="Q15" i="12"/>
  <c r="T15" i="12"/>
  <c r="X15" i="12"/>
  <c r="S15" i="12"/>
  <c r="U15" i="12"/>
  <c r="Q14" i="12"/>
  <c r="S14" i="12"/>
  <c r="V14" i="12"/>
  <c r="R14" i="12"/>
  <c r="T14" i="12"/>
  <c r="U14" i="12"/>
  <c r="W14" i="12"/>
  <c r="X14" i="12"/>
  <c r="Q13" i="12"/>
  <c r="R13" i="12"/>
  <c r="T13" i="12"/>
  <c r="U13" i="12"/>
  <c r="V13" i="12"/>
  <c r="W13" i="12"/>
  <c r="S13" i="12"/>
  <c r="X13" i="12"/>
  <c r="S12" i="12"/>
  <c r="W12" i="12"/>
  <c r="X12" i="12"/>
  <c r="V12" i="12"/>
  <c r="U12" i="12"/>
  <c r="T12" i="12"/>
  <c r="R12" i="12"/>
  <c r="Q12" i="12"/>
  <c r="V11" i="12"/>
  <c r="T11" i="12"/>
  <c r="R11" i="12"/>
  <c r="Q11" i="12"/>
  <c r="X11" i="12"/>
  <c r="W11" i="12"/>
  <c r="U11" i="12"/>
  <c r="S11" i="12"/>
  <c r="Q10" i="12"/>
  <c r="S10" i="12"/>
  <c r="T10" i="12"/>
  <c r="X10" i="12"/>
  <c r="W10" i="12"/>
  <c r="V10" i="12"/>
  <c r="R10" i="12"/>
  <c r="U10" i="12"/>
  <c r="Q9" i="12"/>
  <c r="S9" i="12"/>
  <c r="U9" i="12"/>
  <c r="W9" i="12"/>
  <c r="X9" i="12"/>
  <c r="V9" i="12"/>
  <c r="T9" i="12"/>
  <c r="R9" i="12"/>
  <c r="U8" i="12"/>
  <c r="S8" i="12"/>
  <c r="R8" i="12"/>
  <c r="T8" i="12"/>
  <c r="V8" i="12"/>
  <c r="W8" i="12"/>
  <c r="Q8" i="12"/>
  <c r="X8" i="12"/>
  <c r="S7" i="12"/>
  <c r="V7" i="12"/>
  <c r="W7" i="12"/>
  <c r="X7" i="12"/>
  <c r="T7" i="12"/>
  <c r="U7" i="12"/>
  <c r="R7" i="12"/>
  <c r="Q7" i="12"/>
  <c r="Q6" i="12"/>
  <c r="T6" i="12"/>
  <c r="S6" i="12"/>
  <c r="U6" i="12"/>
  <c r="V6" i="12"/>
  <c r="W6" i="12"/>
  <c r="R6" i="12"/>
  <c r="X6" i="12"/>
  <c r="R5" i="12"/>
  <c r="T5" i="12"/>
  <c r="Q5" i="12"/>
  <c r="V5" i="12"/>
  <c r="W5" i="12"/>
  <c r="X5" i="12"/>
  <c r="S5" i="12"/>
  <c r="U5" i="12"/>
  <c r="S4" i="12"/>
  <c r="S16" i="12" s="1"/>
  <c r="D10" i="3" s="1"/>
  <c r="U4" i="12"/>
  <c r="U16" i="12" s="1"/>
  <c r="F10" i="3" s="1"/>
  <c r="T4" i="12"/>
  <c r="T16" i="12" s="1"/>
  <c r="E10" i="3" s="1"/>
  <c r="X4" i="12"/>
  <c r="X16" i="12" s="1"/>
  <c r="I10" i="3" s="1"/>
  <c r="W4" i="12"/>
  <c r="W16" i="12" s="1"/>
  <c r="H10" i="3" s="1"/>
  <c r="V4" i="12"/>
  <c r="Q4" i="12"/>
  <c r="R4" i="12"/>
  <c r="X15" i="11"/>
  <c r="V15" i="11"/>
  <c r="T15" i="11"/>
  <c r="R15" i="11"/>
  <c r="Q15" i="11"/>
  <c r="W15" i="11"/>
  <c r="S15" i="11"/>
  <c r="U15" i="11"/>
  <c r="X14" i="11"/>
  <c r="W14" i="11"/>
  <c r="Q14" i="11"/>
  <c r="R14" i="11"/>
  <c r="S14" i="11"/>
  <c r="T14" i="11"/>
  <c r="V14" i="11"/>
  <c r="U13" i="11"/>
  <c r="W13" i="11"/>
  <c r="Q13" i="11"/>
  <c r="R13" i="11"/>
  <c r="S13" i="11"/>
  <c r="T13" i="11"/>
  <c r="V13" i="11"/>
  <c r="X13" i="11"/>
  <c r="V12" i="11"/>
  <c r="U12" i="11"/>
  <c r="S12" i="11"/>
  <c r="R12" i="11"/>
  <c r="Q12" i="11"/>
  <c r="W12" i="11"/>
  <c r="T12" i="11"/>
  <c r="X12" i="11"/>
  <c r="X11" i="11"/>
  <c r="R11" i="11"/>
  <c r="W11" i="11"/>
  <c r="S11" i="11"/>
  <c r="T11" i="11"/>
  <c r="U11" i="11"/>
  <c r="V11" i="11"/>
  <c r="Q11" i="11"/>
  <c r="T10" i="11"/>
  <c r="X10" i="11"/>
  <c r="R10" i="11"/>
  <c r="V10" i="11"/>
  <c r="W10" i="11"/>
  <c r="Q10" i="11"/>
  <c r="S10" i="11"/>
  <c r="U10" i="11"/>
  <c r="R9" i="11"/>
  <c r="S9" i="11"/>
  <c r="T9" i="11"/>
  <c r="V9" i="11"/>
  <c r="X9" i="11"/>
  <c r="Q9" i="11"/>
  <c r="U9" i="11"/>
  <c r="W9" i="11"/>
  <c r="S8" i="11"/>
  <c r="X8" i="11"/>
  <c r="V8" i="11"/>
  <c r="T8" i="11"/>
  <c r="R8" i="11"/>
  <c r="U8" i="11"/>
  <c r="Q8" i="11"/>
  <c r="W8" i="11"/>
  <c r="S7" i="11"/>
  <c r="T7" i="11"/>
  <c r="V7" i="11"/>
  <c r="Q7" i="11"/>
  <c r="U7" i="11"/>
  <c r="R7" i="11"/>
  <c r="X7" i="11"/>
  <c r="W7" i="11"/>
  <c r="T6" i="11"/>
  <c r="V6" i="11"/>
  <c r="W6" i="11"/>
  <c r="X6" i="11"/>
  <c r="U6" i="11"/>
  <c r="R6" i="11"/>
  <c r="Q6" i="11"/>
  <c r="S6" i="11"/>
  <c r="V5" i="11"/>
  <c r="T5" i="11"/>
  <c r="S5" i="11"/>
  <c r="Q5" i="11"/>
  <c r="U5" i="11"/>
  <c r="W5" i="11"/>
  <c r="R5" i="11"/>
  <c r="X5" i="11"/>
  <c r="S4" i="11"/>
  <c r="Q4" i="11"/>
  <c r="W4" i="11"/>
  <c r="U4" i="11"/>
  <c r="X4" i="11"/>
  <c r="V4" i="11"/>
  <c r="R4" i="11"/>
  <c r="T4" i="11"/>
  <c r="R15" i="10"/>
  <c r="V15" i="10"/>
  <c r="X15" i="10"/>
  <c r="W15" i="10"/>
  <c r="T15" i="10"/>
  <c r="Q15" i="10"/>
  <c r="U15" i="10"/>
  <c r="S15" i="10"/>
  <c r="S14" i="10"/>
  <c r="W14" i="10"/>
  <c r="U14" i="10"/>
  <c r="Q14" i="10"/>
  <c r="X14" i="10"/>
  <c r="V14" i="10"/>
  <c r="T14" i="10"/>
  <c r="R14" i="10"/>
  <c r="T13" i="10"/>
  <c r="Q13" i="10"/>
  <c r="R13" i="10"/>
  <c r="S13" i="10"/>
  <c r="U13" i="10"/>
  <c r="V13" i="10"/>
  <c r="S12" i="10"/>
  <c r="R12" i="10"/>
  <c r="Q12" i="10"/>
  <c r="X12" i="10"/>
  <c r="W12" i="10"/>
  <c r="V12" i="10"/>
  <c r="U12" i="10"/>
  <c r="T12" i="10"/>
  <c r="U11" i="10"/>
  <c r="W11" i="10"/>
  <c r="V11" i="10"/>
  <c r="T11" i="10"/>
  <c r="S11" i="10"/>
  <c r="R11" i="10"/>
  <c r="Q11" i="10"/>
  <c r="X11" i="10"/>
  <c r="Q10" i="10"/>
  <c r="R10" i="10"/>
  <c r="S10" i="10"/>
  <c r="T10" i="10"/>
  <c r="V10" i="10"/>
  <c r="W10" i="10"/>
  <c r="X10" i="10"/>
  <c r="U10" i="10"/>
  <c r="T9" i="10"/>
  <c r="U9" i="10"/>
  <c r="V9" i="10"/>
  <c r="W9" i="10"/>
  <c r="X9" i="10"/>
  <c r="S9" i="10"/>
  <c r="Q9" i="10"/>
  <c r="R9" i="10"/>
  <c r="R8" i="10"/>
  <c r="Q8" i="10"/>
  <c r="W8" i="10"/>
  <c r="X8" i="10"/>
  <c r="V8" i="10"/>
  <c r="U8" i="10"/>
  <c r="T8" i="10"/>
  <c r="S8" i="10"/>
  <c r="T7" i="10"/>
  <c r="U7" i="10"/>
  <c r="X7" i="10"/>
  <c r="W7" i="10"/>
  <c r="S7" i="10"/>
  <c r="V7" i="10"/>
  <c r="R7" i="10"/>
  <c r="Q7" i="10"/>
  <c r="U6" i="10"/>
  <c r="S6" i="10"/>
  <c r="R6" i="10"/>
  <c r="Q6" i="10"/>
  <c r="T6" i="10"/>
  <c r="V6" i="10"/>
  <c r="X6" i="10"/>
  <c r="W6" i="10"/>
  <c r="U5" i="10"/>
  <c r="V5" i="10"/>
  <c r="W5" i="10"/>
  <c r="S5" i="10"/>
  <c r="R5" i="10"/>
  <c r="Q5" i="10"/>
  <c r="T5" i="10"/>
  <c r="X5" i="10"/>
  <c r="X4" i="10"/>
  <c r="X16" i="10" s="1"/>
  <c r="I8" i="3" s="1"/>
  <c r="W4" i="10"/>
  <c r="W16" i="10" s="1"/>
  <c r="H8" i="3" s="1"/>
  <c r="V4" i="10"/>
  <c r="V16" i="10" s="1"/>
  <c r="G8" i="3" s="1"/>
  <c r="U4" i="10"/>
  <c r="U16" i="10" s="1"/>
  <c r="F8" i="3" s="1"/>
  <c r="S4" i="10"/>
  <c r="S16" i="10" s="1"/>
  <c r="D8" i="3" s="1"/>
  <c r="R4" i="10"/>
  <c r="Q4" i="10"/>
  <c r="T4" i="10"/>
  <c r="R15" i="9"/>
  <c r="U15" i="9"/>
  <c r="S15" i="9"/>
  <c r="Q15" i="9"/>
  <c r="V15" i="9"/>
  <c r="W15" i="9"/>
  <c r="X15" i="9"/>
  <c r="T15" i="9"/>
  <c r="Q14" i="9"/>
  <c r="R14" i="9"/>
  <c r="S14" i="9"/>
  <c r="T14" i="9"/>
  <c r="U14" i="9"/>
  <c r="X14" i="9"/>
  <c r="W14" i="9"/>
  <c r="V14" i="9"/>
  <c r="T13" i="9"/>
  <c r="U13" i="9"/>
  <c r="V13" i="9"/>
  <c r="W13" i="9"/>
  <c r="X13" i="9"/>
  <c r="R13" i="9"/>
  <c r="X12" i="9"/>
  <c r="W12" i="9"/>
  <c r="V12" i="9"/>
  <c r="U12" i="9"/>
  <c r="T12" i="9"/>
  <c r="S12" i="9"/>
  <c r="R12" i="9"/>
  <c r="Q12" i="9"/>
  <c r="X11" i="9"/>
  <c r="W11" i="9"/>
  <c r="V11" i="9"/>
  <c r="U11" i="9"/>
  <c r="T11" i="9"/>
  <c r="S11" i="9"/>
  <c r="R11" i="9"/>
  <c r="Q11" i="9"/>
  <c r="X10" i="9"/>
  <c r="W10" i="9"/>
  <c r="Q10" i="9"/>
  <c r="R10" i="9"/>
  <c r="S10" i="9"/>
  <c r="T10" i="9"/>
  <c r="U10" i="9"/>
  <c r="V10" i="9"/>
  <c r="T9" i="9"/>
  <c r="U9" i="9"/>
  <c r="W9" i="9"/>
  <c r="X9" i="9"/>
  <c r="Q9" i="9"/>
  <c r="R9" i="9"/>
  <c r="S9" i="9"/>
  <c r="V9" i="9"/>
  <c r="Q8" i="9"/>
  <c r="U8" i="9"/>
  <c r="V8" i="9"/>
  <c r="W8" i="9"/>
  <c r="X8" i="9"/>
  <c r="S8" i="9"/>
  <c r="R8" i="9"/>
  <c r="T8" i="9"/>
  <c r="Q7" i="9"/>
  <c r="R7" i="9"/>
  <c r="V7" i="9"/>
  <c r="T7" i="9"/>
  <c r="U7" i="9"/>
  <c r="X7" i="9"/>
  <c r="W7" i="9"/>
  <c r="S7" i="9"/>
  <c r="W6" i="9"/>
  <c r="V6" i="9"/>
  <c r="R6" i="9"/>
  <c r="S6" i="9"/>
  <c r="T6" i="9"/>
  <c r="X6" i="9"/>
  <c r="U6" i="9"/>
  <c r="Q6" i="9"/>
  <c r="W5" i="9"/>
  <c r="T5" i="9"/>
  <c r="X5" i="9"/>
  <c r="R5" i="9"/>
  <c r="V5" i="9"/>
  <c r="Q5" i="9"/>
  <c r="S5" i="9"/>
  <c r="U5" i="9"/>
  <c r="R4" i="9"/>
  <c r="Q4" i="9"/>
  <c r="X4" i="9"/>
  <c r="T4" i="9"/>
  <c r="V4" i="9"/>
  <c r="U4" i="9"/>
  <c r="S4" i="9"/>
  <c r="W4" i="9"/>
  <c r="X15" i="8"/>
  <c r="T15" i="8"/>
  <c r="W15" i="8"/>
  <c r="Q15" i="8"/>
  <c r="U15" i="8"/>
  <c r="V15" i="8"/>
  <c r="R15" i="8"/>
  <c r="S15" i="8"/>
  <c r="S14" i="8"/>
  <c r="X14" i="8"/>
  <c r="W14" i="8"/>
  <c r="T14" i="8"/>
  <c r="Q14" i="8"/>
  <c r="R14" i="8"/>
  <c r="V14" i="8"/>
  <c r="U14" i="8"/>
  <c r="S13" i="8"/>
  <c r="V13" i="8"/>
  <c r="X13" i="8"/>
  <c r="R13" i="8"/>
  <c r="W13" i="8"/>
  <c r="T13" i="8"/>
  <c r="U13" i="8"/>
  <c r="Q13" i="8"/>
  <c r="R12" i="8"/>
  <c r="W12" i="8"/>
  <c r="Q12" i="8"/>
  <c r="S12" i="8"/>
  <c r="U12" i="8"/>
  <c r="V12" i="8"/>
  <c r="X12" i="8"/>
  <c r="T12" i="8"/>
  <c r="Q11" i="8"/>
  <c r="R11" i="8"/>
  <c r="S11" i="8"/>
  <c r="X10" i="8"/>
  <c r="W10" i="8"/>
  <c r="V10" i="8"/>
  <c r="U10" i="8"/>
  <c r="S10" i="8"/>
  <c r="R10" i="8"/>
  <c r="Q10" i="8"/>
  <c r="T10" i="8"/>
  <c r="X9" i="8"/>
  <c r="W9" i="8"/>
  <c r="V9" i="8"/>
  <c r="U9" i="8"/>
  <c r="T9" i="8"/>
  <c r="S9" i="8"/>
  <c r="R9" i="8"/>
  <c r="Q9" i="8"/>
  <c r="X8" i="8"/>
  <c r="W8" i="8"/>
  <c r="V8" i="8"/>
  <c r="U8" i="8"/>
  <c r="T8" i="8"/>
  <c r="S8" i="8"/>
  <c r="R8" i="8"/>
  <c r="Q8" i="8"/>
  <c r="X7" i="8"/>
  <c r="W7" i="8"/>
  <c r="V7" i="8"/>
  <c r="U7" i="8"/>
  <c r="T7" i="8"/>
  <c r="S7" i="8"/>
  <c r="R7" i="8"/>
  <c r="Q7" i="8"/>
  <c r="X6" i="8"/>
  <c r="W6" i="8"/>
  <c r="V6" i="8"/>
  <c r="U6" i="8"/>
  <c r="T6" i="8"/>
  <c r="S6" i="8"/>
  <c r="R6" i="8"/>
  <c r="Q6" i="8"/>
  <c r="X5" i="8"/>
  <c r="W5" i="8"/>
  <c r="V5" i="8"/>
  <c r="T5" i="8"/>
  <c r="S5" i="8"/>
  <c r="R5" i="8"/>
  <c r="Q5" i="8"/>
  <c r="U5" i="8"/>
  <c r="S4" i="8"/>
  <c r="S16" i="8" s="1"/>
  <c r="D6" i="3" s="1"/>
  <c r="Q4" i="8"/>
  <c r="Q16" i="8" s="1"/>
  <c r="B6" i="3" s="1"/>
  <c r="R4" i="8"/>
  <c r="R16" i="8" s="1"/>
  <c r="C6" i="3" s="1"/>
  <c r="T4" i="8"/>
  <c r="T16" i="8" s="1"/>
  <c r="E6" i="3" s="1"/>
  <c r="U4" i="8"/>
  <c r="U16" i="8" s="1"/>
  <c r="F6" i="3" s="1"/>
  <c r="V4" i="8"/>
  <c r="V16" i="8" s="1"/>
  <c r="G6" i="3" s="1"/>
  <c r="W4" i="8"/>
  <c r="X4" i="8"/>
  <c r="W15" i="7"/>
  <c r="R15" i="7"/>
  <c r="S15" i="7"/>
  <c r="T15" i="7"/>
  <c r="U15" i="7"/>
  <c r="V15" i="7"/>
  <c r="X15" i="7"/>
  <c r="Q15" i="7"/>
  <c r="U14" i="7"/>
  <c r="V14" i="7"/>
  <c r="W14" i="7"/>
  <c r="X14" i="7"/>
  <c r="T14" i="7"/>
  <c r="Q14" i="7"/>
  <c r="R14" i="7"/>
  <c r="S14" i="7"/>
  <c r="W13" i="7"/>
  <c r="U13" i="7"/>
  <c r="T13" i="7"/>
  <c r="V13" i="7"/>
  <c r="S13" i="7"/>
  <c r="R13" i="7"/>
  <c r="Q13" i="7"/>
  <c r="X13" i="7"/>
  <c r="V12" i="7"/>
  <c r="U12" i="7"/>
  <c r="T12" i="7"/>
  <c r="S12" i="7"/>
  <c r="R12" i="7"/>
  <c r="Q12" i="7"/>
  <c r="X12" i="7"/>
  <c r="W12" i="7"/>
  <c r="V11" i="7"/>
  <c r="U11" i="7"/>
  <c r="T11" i="7"/>
  <c r="S11" i="7"/>
  <c r="R11" i="7"/>
  <c r="Q11" i="7"/>
  <c r="X11" i="7"/>
  <c r="W11" i="7"/>
  <c r="V10" i="7"/>
  <c r="U10" i="7"/>
  <c r="T10" i="7"/>
  <c r="S10" i="7"/>
  <c r="R10" i="7"/>
  <c r="Q10" i="7"/>
  <c r="X10" i="7"/>
  <c r="W10" i="7"/>
  <c r="X9" i="7"/>
  <c r="W9" i="7"/>
  <c r="V9" i="7"/>
  <c r="U9" i="7"/>
  <c r="Q9" i="7"/>
  <c r="T9" i="7"/>
  <c r="S9" i="7"/>
  <c r="R9" i="7"/>
  <c r="V8" i="7"/>
  <c r="X8" i="7"/>
  <c r="W8" i="7"/>
  <c r="U8" i="7"/>
  <c r="T8" i="7"/>
  <c r="S8" i="7"/>
  <c r="R8" i="7"/>
  <c r="Q8" i="7"/>
  <c r="V7" i="7"/>
  <c r="T7" i="7"/>
  <c r="S7" i="7"/>
  <c r="R7" i="7"/>
  <c r="Q7" i="7"/>
  <c r="X7" i="7"/>
  <c r="W7" i="7"/>
  <c r="U7" i="7"/>
  <c r="V6" i="7"/>
  <c r="U6" i="7"/>
  <c r="T6" i="7"/>
  <c r="S6" i="7"/>
  <c r="R6" i="7"/>
  <c r="Q6" i="7"/>
  <c r="X6" i="7"/>
  <c r="W6" i="7"/>
  <c r="Q5" i="7"/>
  <c r="R5" i="7"/>
  <c r="S5" i="7"/>
  <c r="T5" i="7"/>
  <c r="U5" i="7"/>
  <c r="V5" i="7"/>
  <c r="W5" i="7"/>
  <c r="X5" i="7"/>
  <c r="Q4" i="7"/>
  <c r="T4" i="7"/>
  <c r="R4" i="7"/>
  <c r="S4" i="7"/>
  <c r="U4" i="7"/>
  <c r="V4" i="7"/>
  <c r="W4" i="7"/>
  <c r="X4" i="7"/>
  <c r="Q15" i="6"/>
  <c r="R15" i="6"/>
  <c r="S15" i="6"/>
  <c r="T15" i="6"/>
  <c r="U15" i="6"/>
  <c r="V15" i="6"/>
  <c r="W15" i="6"/>
  <c r="X15" i="6"/>
  <c r="V14" i="6"/>
  <c r="U14" i="6"/>
  <c r="T14" i="6"/>
  <c r="S14" i="6"/>
  <c r="R14" i="6"/>
  <c r="Q14" i="6"/>
  <c r="W14" i="6"/>
  <c r="X14" i="6"/>
  <c r="X13" i="6"/>
  <c r="W13" i="6"/>
  <c r="V13" i="6"/>
  <c r="U13" i="6"/>
  <c r="S13" i="6"/>
  <c r="R13" i="6"/>
  <c r="Q13" i="6"/>
  <c r="T13" i="6"/>
  <c r="X12" i="6"/>
  <c r="R12" i="6"/>
  <c r="S12" i="6"/>
  <c r="T12" i="6"/>
  <c r="U12" i="6"/>
  <c r="V12" i="6"/>
  <c r="W12" i="6"/>
  <c r="Q12" i="6"/>
  <c r="X11" i="6"/>
  <c r="S11" i="6"/>
  <c r="T11" i="6"/>
  <c r="U11" i="6"/>
  <c r="V11" i="6"/>
  <c r="W11" i="6"/>
  <c r="Q11" i="6"/>
  <c r="R11" i="6"/>
  <c r="Q10" i="6"/>
  <c r="R10" i="6"/>
  <c r="S10" i="6"/>
  <c r="U10" i="6"/>
  <c r="V10" i="6"/>
  <c r="W10" i="6"/>
  <c r="X10" i="6"/>
  <c r="T10" i="6"/>
  <c r="U9" i="6"/>
  <c r="T9" i="6"/>
  <c r="S9" i="6"/>
  <c r="R9" i="6"/>
  <c r="Q9" i="6"/>
  <c r="W9" i="6"/>
  <c r="X9" i="6"/>
  <c r="V9" i="6"/>
  <c r="X8" i="6"/>
  <c r="W8" i="6"/>
  <c r="V8" i="6"/>
  <c r="U8" i="6"/>
  <c r="T8" i="6"/>
  <c r="S8" i="6"/>
  <c r="R8" i="6"/>
  <c r="Q8" i="6"/>
  <c r="V7" i="6"/>
  <c r="U7" i="6"/>
  <c r="T7" i="6"/>
  <c r="S7" i="6"/>
  <c r="R7" i="6"/>
  <c r="Q7" i="6"/>
  <c r="X7" i="6"/>
  <c r="W7" i="6"/>
  <c r="T6" i="6"/>
  <c r="S6" i="6"/>
  <c r="R6" i="6"/>
  <c r="Q6" i="6"/>
  <c r="X6" i="6"/>
  <c r="W6" i="6"/>
  <c r="V6" i="6"/>
  <c r="U6" i="6"/>
  <c r="X5" i="6"/>
  <c r="W5" i="6"/>
  <c r="V5" i="6"/>
  <c r="U5" i="6"/>
  <c r="T5" i="6"/>
  <c r="S5" i="6"/>
  <c r="R5" i="6"/>
  <c r="Q5" i="6"/>
  <c r="X4" i="6"/>
  <c r="W4" i="6"/>
  <c r="W16" i="6" s="1"/>
  <c r="V4" i="6"/>
  <c r="V16" i="6" s="1"/>
  <c r="U4" i="6"/>
  <c r="U16" i="6" s="1"/>
  <c r="T4" i="6"/>
  <c r="T16" i="6" s="1"/>
  <c r="R4" i="6"/>
  <c r="Q4" i="6"/>
  <c r="S4" i="6"/>
  <c r="S16" i="6" s="1"/>
  <c r="W16" i="35" l="1"/>
  <c r="H33" i="3" s="1"/>
  <c r="Q16" i="35"/>
  <c r="B33" i="3" s="1"/>
  <c r="X16" i="35"/>
  <c r="I33" i="3" s="1"/>
  <c r="U16" i="35"/>
  <c r="F33" i="3" s="1"/>
  <c r="R16" i="35"/>
  <c r="C33" i="3" s="1"/>
  <c r="S16" i="35"/>
  <c r="D33" i="3" s="1"/>
  <c r="T16" i="35"/>
  <c r="E33" i="3" s="1"/>
  <c r="V16" i="35"/>
  <c r="G33" i="3" s="1"/>
  <c r="V16" i="31"/>
  <c r="G29" i="3" s="1"/>
  <c r="U16" i="31"/>
  <c r="F29" i="3" s="1"/>
  <c r="T16" i="31"/>
  <c r="E29" i="3" s="1"/>
  <c r="S16" i="31"/>
  <c r="D29" i="3" s="1"/>
  <c r="R16" i="31"/>
  <c r="C29" i="3" s="1"/>
  <c r="R16" i="29"/>
  <c r="C27" i="3" s="1"/>
  <c r="S16" i="29"/>
  <c r="D27" i="3" s="1"/>
  <c r="T16" i="29"/>
  <c r="E27" i="3" s="1"/>
  <c r="R16" i="27"/>
  <c r="C25" i="3" s="1"/>
  <c r="X16" i="27"/>
  <c r="I25" i="3" s="1"/>
  <c r="W16" i="27"/>
  <c r="H25" i="3" s="1"/>
  <c r="V16" i="27"/>
  <c r="G25" i="3" s="1"/>
  <c r="Q16" i="27"/>
  <c r="B25" i="3" s="1"/>
  <c r="U16" i="27"/>
  <c r="F25" i="3" s="1"/>
  <c r="T16" i="27"/>
  <c r="E25" i="3" s="1"/>
  <c r="S16" i="27"/>
  <c r="D25" i="3" s="1"/>
  <c r="W16" i="26"/>
  <c r="H24" i="3" s="1"/>
  <c r="V16" i="26"/>
  <c r="G24" i="3" s="1"/>
  <c r="Q16" i="24"/>
  <c r="B22" i="3" s="1"/>
  <c r="S16" i="24"/>
  <c r="D22" i="3" s="1"/>
  <c r="U16" i="24"/>
  <c r="F22" i="3" s="1"/>
  <c r="U16" i="22"/>
  <c r="F20" i="3" s="1"/>
  <c r="T16" i="22"/>
  <c r="E20" i="3" s="1"/>
  <c r="X16" i="20"/>
  <c r="I18" i="3" s="1"/>
  <c r="W16" i="20"/>
  <c r="H18" i="3" s="1"/>
  <c r="V16" i="20"/>
  <c r="G18" i="3" s="1"/>
  <c r="U16" i="18"/>
  <c r="F16" i="3" s="1"/>
  <c r="T16" i="18"/>
  <c r="E16" i="3" s="1"/>
  <c r="S16" i="18"/>
  <c r="D16" i="3" s="1"/>
  <c r="R16" i="14"/>
  <c r="C12" i="3" s="1"/>
  <c r="Q16" i="14"/>
  <c r="B12" i="3" s="1"/>
  <c r="V16" i="12"/>
  <c r="G10" i="3" s="1"/>
  <c r="Q16" i="12"/>
  <c r="B10" i="3" s="1"/>
  <c r="R16" i="12"/>
  <c r="C10" i="3" s="1"/>
  <c r="R16" i="10"/>
  <c r="C8" i="3" s="1"/>
  <c r="Q16" i="10"/>
  <c r="B8" i="3" s="1"/>
  <c r="T16" i="10"/>
  <c r="E8" i="3" s="1"/>
  <c r="W16" i="8"/>
  <c r="H6" i="3" s="1"/>
  <c r="X16" i="8"/>
  <c r="I6" i="3" s="1"/>
  <c r="F4" i="2"/>
  <c r="X16" i="6"/>
  <c r="H4" i="3"/>
  <c r="G4" i="3"/>
  <c r="F4" i="3"/>
  <c r="E4" i="3"/>
  <c r="D4" i="2"/>
  <c r="R16" i="6"/>
  <c r="C4" i="2"/>
  <c r="Q16" i="6"/>
  <c r="D4" i="3"/>
  <c r="Q16" i="33"/>
  <c r="B31" i="3" s="1"/>
  <c r="U16" i="33"/>
  <c r="F31" i="3" s="1"/>
  <c r="T16" i="33"/>
  <c r="E31" i="3" s="1"/>
  <c r="Q16" i="31"/>
  <c r="B29" i="3" s="1"/>
  <c r="X16" i="31"/>
  <c r="I29" i="3" s="1"/>
  <c r="W16" i="31"/>
  <c r="H29" i="3" s="1"/>
  <c r="U16" i="29"/>
  <c r="F27" i="3" s="1"/>
  <c r="V16" i="29"/>
  <c r="G27" i="3" s="1"/>
  <c r="W16" i="29"/>
  <c r="H27" i="3" s="1"/>
  <c r="X16" i="29"/>
  <c r="I27" i="3" s="1"/>
  <c r="Q16" i="29"/>
  <c r="B27" i="3" s="1"/>
  <c r="Q16" i="25"/>
  <c r="B23" i="3" s="1"/>
  <c r="R16" i="25"/>
  <c r="C23" i="3" s="1"/>
  <c r="T16" i="25"/>
  <c r="E23" i="3" s="1"/>
  <c r="V16" i="25"/>
  <c r="G23" i="3" s="1"/>
  <c r="W16" i="25"/>
  <c r="H23" i="3" s="1"/>
  <c r="X16" i="25"/>
  <c r="I23" i="3" s="1"/>
  <c r="U16" i="25"/>
  <c r="F23" i="3" s="1"/>
  <c r="S16" i="25"/>
  <c r="D23" i="3" s="1"/>
  <c r="Q16" i="23"/>
  <c r="B21" i="3" s="1"/>
  <c r="R16" i="23"/>
  <c r="C21" i="3" s="1"/>
  <c r="S16" i="23"/>
  <c r="D21" i="3" s="1"/>
  <c r="T16" i="23"/>
  <c r="E21" i="3" s="1"/>
  <c r="V16" i="23"/>
  <c r="G21" i="3" s="1"/>
  <c r="W16" i="23"/>
  <c r="H21" i="3" s="1"/>
  <c r="X16" i="23"/>
  <c r="I21" i="3" s="1"/>
  <c r="U16" i="23"/>
  <c r="F21" i="3" s="1"/>
  <c r="X16" i="21"/>
  <c r="I19" i="3" s="1"/>
  <c r="W16" i="21"/>
  <c r="H19" i="3" s="1"/>
  <c r="V16" i="21"/>
  <c r="G19" i="3" s="1"/>
  <c r="U16" i="21"/>
  <c r="F19" i="3" s="1"/>
  <c r="T16" i="21"/>
  <c r="E19" i="3" s="1"/>
  <c r="R16" i="21"/>
  <c r="C19" i="3" s="1"/>
  <c r="Q16" i="21"/>
  <c r="B19" i="3" s="1"/>
  <c r="S16" i="21"/>
  <c r="D19" i="3" s="1"/>
  <c r="W16" i="19"/>
  <c r="H17" i="3" s="1"/>
  <c r="X16" i="19"/>
  <c r="I17" i="3" s="1"/>
  <c r="V16" i="19"/>
  <c r="G17" i="3" s="1"/>
  <c r="U16" i="19"/>
  <c r="F17" i="3" s="1"/>
  <c r="T16" i="19"/>
  <c r="E17" i="3" s="1"/>
  <c r="S16" i="19"/>
  <c r="D17" i="3" s="1"/>
  <c r="R16" i="19"/>
  <c r="C17" i="3" s="1"/>
  <c r="Q16" i="19"/>
  <c r="B17" i="3" s="1"/>
  <c r="T16" i="17"/>
  <c r="E15" i="3" s="1"/>
  <c r="V16" i="17"/>
  <c r="G15" i="3" s="1"/>
  <c r="W16" i="17"/>
  <c r="H15" i="3" s="1"/>
  <c r="X16" i="17"/>
  <c r="I15" i="3" s="1"/>
  <c r="U16" i="17"/>
  <c r="F15" i="3" s="1"/>
  <c r="Q16" i="17"/>
  <c r="B15" i="3" s="1"/>
  <c r="R16" i="17"/>
  <c r="C15" i="3" s="1"/>
  <c r="S16" i="17"/>
  <c r="D15" i="3" s="1"/>
  <c r="S16" i="15"/>
  <c r="D13" i="3" s="1"/>
  <c r="X16" i="15"/>
  <c r="I13" i="3" s="1"/>
  <c r="W16" i="15"/>
  <c r="H13" i="3" s="1"/>
  <c r="V16" i="15"/>
  <c r="G13" i="3" s="1"/>
  <c r="U16" i="15"/>
  <c r="F13" i="3" s="1"/>
  <c r="T16" i="15"/>
  <c r="E13" i="3" s="1"/>
  <c r="Q16" i="15"/>
  <c r="B13" i="3" s="1"/>
  <c r="R16" i="15"/>
  <c r="C13" i="3" s="1"/>
  <c r="S16" i="13"/>
  <c r="D11" i="3" s="1"/>
  <c r="Q16" i="13"/>
  <c r="B11" i="3" s="1"/>
  <c r="R16" i="13"/>
  <c r="C11" i="3" s="1"/>
  <c r="T16" i="13"/>
  <c r="E11" i="3" s="1"/>
  <c r="U16" i="13"/>
  <c r="F11" i="3" s="1"/>
  <c r="V16" i="13"/>
  <c r="G11" i="3" s="1"/>
  <c r="W16" i="13"/>
  <c r="H11" i="3" s="1"/>
  <c r="X16" i="13"/>
  <c r="I11" i="3" s="1"/>
  <c r="S16" i="11"/>
  <c r="D9" i="3" s="1"/>
  <c r="Q16" i="11"/>
  <c r="B9" i="3" s="1"/>
  <c r="W16" i="11"/>
  <c r="H9" i="3" s="1"/>
  <c r="U16" i="11"/>
  <c r="F9" i="3" s="1"/>
  <c r="X16" i="11"/>
  <c r="I9" i="3" s="1"/>
  <c r="V16" i="11"/>
  <c r="G9" i="3" s="1"/>
  <c r="R16" i="11"/>
  <c r="C9" i="3" s="1"/>
  <c r="T16" i="11"/>
  <c r="E9" i="3" s="1"/>
  <c r="R16" i="9"/>
  <c r="C7" i="3" s="1"/>
  <c r="Q16" i="9"/>
  <c r="B7" i="3" s="1"/>
  <c r="X16" i="9"/>
  <c r="I7" i="3" s="1"/>
  <c r="T16" i="9"/>
  <c r="E7" i="3" s="1"/>
  <c r="V16" i="9"/>
  <c r="G7" i="3" s="1"/>
  <c r="U16" i="9"/>
  <c r="F7" i="3" s="1"/>
  <c r="S16" i="9"/>
  <c r="D7" i="3" s="1"/>
  <c r="W16" i="9"/>
  <c r="H7" i="3" s="1"/>
  <c r="Q16" i="7"/>
  <c r="B5" i="3" s="1"/>
  <c r="T16" i="7"/>
  <c r="R16" i="7"/>
  <c r="C5" i="3" s="1"/>
  <c r="S16" i="7"/>
  <c r="U16" i="7"/>
  <c r="V16" i="7"/>
  <c r="W16" i="7"/>
  <c r="X16" i="7"/>
  <c r="I5" i="3" s="1"/>
  <c r="C15" i="2"/>
  <c r="D15" i="2"/>
  <c r="F15" i="2"/>
  <c r="D14" i="2"/>
  <c r="C14" i="2"/>
  <c r="E14" i="2" s="1"/>
  <c r="F14" i="2"/>
  <c r="F13" i="2"/>
  <c r="D13" i="2"/>
  <c r="C13" i="2"/>
  <c r="F12" i="2"/>
  <c r="D12" i="2"/>
  <c r="C12" i="2"/>
  <c r="E12" i="2" s="1"/>
  <c r="F11" i="2"/>
  <c r="C11" i="2"/>
  <c r="D11" i="2"/>
  <c r="C10" i="2"/>
  <c r="E10" i="2" s="1"/>
  <c r="D10" i="2"/>
  <c r="F10" i="2"/>
  <c r="D9" i="2"/>
  <c r="C9" i="2"/>
  <c r="F9" i="2"/>
  <c r="F8" i="2"/>
  <c r="D8" i="2"/>
  <c r="C8" i="2"/>
  <c r="E8" i="2" s="1"/>
  <c r="D7" i="2"/>
  <c r="C7" i="2"/>
  <c r="E7" i="2" s="1"/>
  <c r="F7" i="2"/>
  <c r="D6" i="2"/>
  <c r="C6" i="2"/>
  <c r="E6" i="2" s="1"/>
  <c r="F6" i="2"/>
  <c r="F5" i="2"/>
  <c r="D5" i="2"/>
  <c r="C5" i="2"/>
  <c r="E5" i="2" s="1"/>
  <c r="E4" i="2" l="1"/>
  <c r="E13" i="2"/>
  <c r="I4" i="3"/>
  <c r="B11" i="4"/>
  <c r="C4" i="3"/>
  <c r="B5" i="4"/>
  <c r="AU3" i="1"/>
  <c r="AU10" i="1"/>
  <c r="AU8" i="1"/>
  <c r="AU9" i="1"/>
  <c r="AU2" i="1"/>
  <c r="AU7" i="1"/>
  <c r="AU4" i="1"/>
  <c r="AU5" i="1"/>
  <c r="AU6" i="1"/>
  <c r="B4" i="3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B4" i="4"/>
  <c r="A14" i="2"/>
  <c r="AY11" i="1"/>
  <c r="A13" i="2"/>
  <c r="AY10" i="1"/>
  <c r="A12" i="2"/>
  <c r="AY9" i="1"/>
  <c r="A10" i="2"/>
  <c r="AY7" i="1"/>
  <c r="A8" i="2"/>
  <c r="AY5" i="1"/>
  <c r="AY4" i="1"/>
  <c r="AY3" i="1"/>
  <c r="AY2" i="1"/>
  <c r="E9" i="2"/>
  <c r="E15" i="2"/>
  <c r="E11" i="2"/>
  <c r="E5" i="3"/>
  <c r="B7" i="4"/>
  <c r="D5" i="3"/>
  <c r="B6" i="4"/>
  <c r="F5" i="3"/>
  <c r="B8" i="4"/>
  <c r="G5" i="3"/>
  <c r="B9" i="4"/>
  <c r="H5" i="3"/>
  <c r="B10" i="4"/>
  <c r="AY1" i="1" l="1"/>
  <c r="A7" i="2"/>
  <c r="D11" i="4"/>
  <c r="E11" i="4"/>
  <c r="AJ16" i="1"/>
  <c r="D5" i="4"/>
  <c r="E5" i="4"/>
  <c r="N16" i="1"/>
  <c r="D4" i="4"/>
  <c r="E4" i="4"/>
  <c r="C11" i="1"/>
  <c r="C10" i="1"/>
  <c r="K10" i="1"/>
  <c r="C7" i="1"/>
  <c r="C16" i="1"/>
  <c r="AY6" i="1"/>
  <c r="A9" i="2"/>
  <c r="AY12" i="1"/>
  <c r="A15" i="2"/>
  <c r="AY8" i="1"/>
  <c r="A11" i="2"/>
  <c r="C22" i="1"/>
  <c r="E7" i="4"/>
  <c r="D7" i="4"/>
  <c r="Y22" i="1"/>
  <c r="E6" i="4"/>
  <c r="D6" i="4"/>
  <c r="N22" i="1"/>
  <c r="E8" i="4"/>
  <c r="D8" i="4"/>
  <c r="AJ22" i="1"/>
  <c r="E9" i="4"/>
  <c r="D9" i="4"/>
  <c r="Y16" i="1"/>
  <c r="E10" i="4"/>
  <c r="D10" i="4"/>
  <c r="A4" i="2"/>
  <c r="A6" i="2"/>
  <c r="A5" i="2"/>
  <c r="AP15" i="1" l="1"/>
  <c r="AJ17" i="1"/>
  <c r="T15" i="1"/>
  <c r="N17" i="1"/>
  <c r="I15" i="1"/>
  <c r="C17" i="1"/>
  <c r="I21" i="1"/>
  <c r="C23" i="1"/>
  <c r="AE21" i="1"/>
  <c r="Y23" i="1"/>
  <c r="T21" i="1"/>
  <c r="N23" i="1"/>
  <c r="AP21" i="1"/>
  <c r="AJ23" i="1"/>
  <c r="AE15" i="1"/>
  <c r="Y17" i="1"/>
  <c r="AA9" i="1"/>
  <c r="AA8" i="1"/>
  <c r="AA7" i="1"/>
  <c r="T7" i="1"/>
  <c r="T9" i="1"/>
  <c r="T11" i="1"/>
  <c r="AA11" i="1"/>
  <c r="T8" i="1"/>
</calcChain>
</file>

<file path=xl/sharedStrings.xml><?xml version="1.0" encoding="utf-8"?>
<sst xmlns="http://schemas.openxmlformats.org/spreadsheetml/2006/main" count="4855" uniqueCount="1667">
  <si>
    <t>Day</t>
  </si>
  <si>
    <t>Actual</t>
  </si>
  <si>
    <t>Pace</t>
  </si>
  <si>
    <t>STORE PERFORMANCE</t>
  </si>
  <si>
    <t>MOCK DATA</t>
  </si>
  <si>
    <t>Monthly tracker  ·  all figures generated, not real</t>
  </si>
  <si>
    <t>ACTS + PRE  —  MONTH TO DATE</t>
  </si>
  <si>
    <t>TEAM</t>
  </si>
  <si>
    <t>GOAL</t>
  </si>
  <si>
    <t>ACTIVATIONS</t>
  </si>
  <si>
    <t>PREPAID</t>
  </si>
  <si>
    <t>DEVICES</t>
  </si>
  <si>
    <t>ACCESSORY $</t>
  </si>
  <si>
    <t>BTS</t>
  </si>
  <si>
    <t>HOME INTERNET</t>
  </si>
  <si>
    <t>TFB</t>
  </si>
  <si>
    <t>VALUE-ADD $</t>
  </si>
  <si>
    <t>PACE TO GOAL  —  cumulative Acts + Pre vs required pace</t>
  </si>
  <si>
    <t>Team Leaderboard  —  ranked by Acts + Pre</t>
  </si>
  <si>
    <t>MOCK DATA — generated for portfolio use. No real employees, customers, device identifiers, or store numbers appear in this file.</t>
  </si>
  <si>
    <t>Rank</t>
  </si>
  <si>
    <t>Mobile Expert</t>
  </si>
  <si>
    <t>Acts</t>
  </si>
  <si>
    <t>Pre</t>
  </si>
  <si>
    <t>Acts + Pre</t>
  </si>
  <si>
    <t>Acc $</t>
  </si>
  <si>
    <t>Daily Trend  —  heatmap by day</t>
  </si>
  <si>
    <t>Hint</t>
  </si>
  <si>
    <t>VAF $</t>
  </si>
  <si>
    <t>Devices</t>
  </si>
  <si>
    <t>Store Total  —  month to date vs goal</t>
  </si>
  <si>
    <t>Metric</t>
  </si>
  <si>
    <t>Month Total</t>
  </si>
  <si>
    <t>Monthly Goal</t>
  </si>
  <si>
    <t>% to Goal</t>
  </si>
  <si>
    <t>vs Goal</t>
  </si>
  <si>
    <t>Setup  —  edit these lists; every dropdown and roll-up follows them</t>
  </si>
  <si>
    <t>Mobile Experts</t>
  </si>
  <si>
    <t>Device Catalog</t>
  </si>
  <si>
    <t>Expert 01</t>
  </si>
  <si>
    <t>iPhone 17 Pro Max</t>
  </si>
  <si>
    <t>Expert 02</t>
  </si>
  <si>
    <t>iPhone 17 Pro</t>
  </si>
  <si>
    <t>Expert 03</t>
  </si>
  <si>
    <t>iPhone 17 Air</t>
  </si>
  <si>
    <t>Expert 04</t>
  </si>
  <si>
    <t>iPhone 17</t>
  </si>
  <si>
    <t>Expert 05</t>
  </si>
  <si>
    <t>iPad (11th Gen)</t>
  </si>
  <si>
    <t>Expert 06</t>
  </si>
  <si>
    <t>Apple Watch Series 11</t>
  </si>
  <si>
    <t>Expert 07</t>
  </si>
  <si>
    <t>Apple Watch SE</t>
  </si>
  <si>
    <t>Expert 08</t>
  </si>
  <si>
    <t>Apple Watch Ultra 3</t>
  </si>
  <si>
    <t>Expert 09</t>
  </si>
  <si>
    <t>Galaxy S26 Ultra</t>
  </si>
  <si>
    <t>Expert 10</t>
  </si>
  <si>
    <t>Galaxy S26+</t>
  </si>
  <si>
    <t>Expert 11</t>
  </si>
  <si>
    <t>Galaxy S26</t>
  </si>
  <si>
    <t>Expert 12</t>
  </si>
  <si>
    <t>Galaxy Z Fold 7</t>
  </si>
  <si>
    <t>Galaxy Z Flip 7</t>
  </si>
  <si>
    <t>Galaxy A37</t>
  </si>
  <si>
    <t>Add or rename people in column A and devices in column C — the daily tabs pick the changes up automatically. Never type a device by hand; that is what broke the old sheet.</t>
  </si>
  <si>
    <t>Galaxy A17</t>
  </si>
  <si>
    <t>Galaxy Tab A11</t>
  </si>
  <si>
    <t>Galaxy Watch 8</t>
  </si>
  <si>
    <t>Pixel 10 Pro</t>
  </si>
  <si>
    <t>Pixel 10</t>
  </si>
  <si>
    <t>Pixel 10a</t>
  </si>
  <si>
    <t>moto g power</t>
  </si>
  <si>
    <t>5G Home Internet Gateway</t>
  </si>
  <si>
    <t>5G Hotspot</t>
  </si>
  <si>
    <t>SIM Only</t>
  </si>
  <si>
    <t>BYOD</t>
  </si>
  <si>
    <t>Accessory Only</t>
  </si>
  <si>
    <t>Day 1  —  Daily Entry</t>
  </si>
  <si>
    <t>ME</t>
  </si>
  <si>
    <t>SKU (mock)</t>
  </si>
  <si>
    <t>IMEI / SIM (mock)</t>
  </si>
  <si>
    <t>Device</t>
  </si>
  <si>
    <t>Complete</t>
  </si>
  <si>
    <t>SKU-7148</t>
  </si>
  <si>
    <t>MOCK-926629</t>
  </si>
  <si>
    <t>Y</t>
  </si>
  <si>
    <t>SKU-4615</t>
  </si>
  <si>
    <t>MOCK-140093</t>
  </si>
  <si>
    <t>SKU-2399</t>
  </si>
  <si>
    <t>MOCK-837234</t>
  </si>
  <si>
    <t>SKU-6283</t>
  </si>
  <si>
    <t>MOCK-307883</t>
  </si>
  <si>
    <t>SKU-6239</t>
  </si>
  <si>
    <t>MOCK-334994</t>
  </si>
  <si>
    <t>SKU-4410</t>
  </si>
  <si>
    <t>MOCK-995961</t>
  </si>
  <si>
    <t>SKU-4412</t>
  </si>
  <si>
    <t>MOCK-648891</t>
  </si>
  <si>
    <t>SKU-7107</t>
  </si>
  <si>
    <t>MOCK-483314</t>
  </si>
  <si>
    <t>SKU-7381</t>
  </si>
  <si>
    <t>MOCK-967923</t>
  </si>
  <si>
    <t>SKU-2226</t>
  </si>
  <si>
    <t>MOCK-890465</t>
  </si>
  <si>
    <t>SKU-2548</t>
  </si>
  <si>
    <t>MOCK-738205</t>
  </si>
  <si>
    <t>SKU-1653</t>
  </si>
  <si>
    <t>MOCK-206689</t>
  </si>
  <si>
    <t>SKU-7882</t>
  </si>
  <si>
    <t>MOCK-373803</t>
  </si>
  <si>
    <t>N</t>
  </si>
  <si>
    <t>STORE TOTAL</t>
  </si>
  <si>
    <t>SKU-7914</t>
  </si>
  <si>
    <t>MOCK-801671</t>
  </si>
  <si>
    <t>SKU-8389</t>
  </si>
  <si>
    <t>MOCK-108383</t>
  </si>
  <si>
    <t>SKU-1548</t>
  </si>
  <si>
    <t>MOCK-401291</t>
  </si>
  <si>
    <t>SKU-5729</t>
  </si>
  <si>
    <t>MOCK-407822</t>
  </si>
  <si>
    <t>SKU-4801</t>
  </si>
  <si>
    <t>MOCK-937364</t>
  </si>
  <si>
    <t>SKU-8275</t>
  </si>
  <si>
    <t>MOCK-627721</t>
  </si>
  <si>
    <t>SKU-7137</t>
  </si>
  <si>
    <t>MOCK-580944</t>
  </si>
  <si>
    <t>SKU-1658</t>
  </si>
  <si>
    <t>MOCK-991136</t>
  </si>
  <si>
    <t>SKU-8902</t>
  </si>
  <si>
    <t>MOCK-221411</t>
  </si>
  <si>
    <t>SKU-2453</t>
  </si>
  <si>
    <t>MOCK-269140</t>
  </si>
  <si>
    <t>SKU-2758</t>
  </si>
  <si>
    <t>MOCK-572529</t>
  </si>
  <si>
    <t>SKU-9094</t>
  </si>
  <si>
    <t>MOCK-674744</t>
  </si>
  <si>
    <t>SKU-7054</t>
  </si>
  <si>
    <t>MOCK-525821</t>
  </si>
  <si>
    <t>SKU-6346</t>
  </si>
  <si>
    <t>MOCK-465247</t>
  </si>
  <si>
    <t>Day 2  —  Daily Entry</t>
  </si>
  <si>
    <t>SKU-8476</t>
  </si>
  <si>
    <t>MOCK-567258</t>
  </si>
  <si>
    <t>SKU-9943</t>
  </si>
  <si>
    <t>MOCK-815524</t>
  </si>
  <si>
    <t>SKU-4472</t>
  </si>
  <si>
    <t>MOCK-836100</t>
  </si>
  <si>
    <t>SKU-1114</t>
  </si>
  <si>
    <t>MOCK-336279</t>
  </si>
  <si>
    <t>SKU-4933</t>
  </si>
  <si>
    <t>MOCK-517548</t>
  </si>
  <si>
    <t>SKU-6153</t>
  </si>
  <si>
    <t>MOCK-348615</t>
  </si>
  <si>
    <t>SKU-8525</t>
  </si>
  <si>
    <t>MOCK-961726</t>
  </si>
  <si>
    <t>SKU-9015</t>
  </si>
  <si>
    <t>MOCK-426151</t>
  </si>
  <si>
    <t>SKU-9886</t>
  </si>
  <si>
    <t>MOCK-227133</t>
  </si>
  <si>
    <t>SKU-6521</t>
  </si>
  <si>
    <t>MOCK-613709</t>
  </si>
  <si>
    <t>SKU-5464</t>
  </si>
  <si>
    <t>MOCK-939388</t>
  </si>
  <si>
    <t>SKU-7076</t>
  </si>
  <si>
    <t>MOCK-855141</t>
  </si>
  <si>
    <t>SKU-1480</t>
  </si>
  <si>
    <t>MOCK-755871</t>
  </si>
  <si>
    <t>SKU-9121</t>
  </si>
  <si>
    <t>MOCK-689871</t>
  </si>
  <si>
    <t>SKU-5468</t>
  </si>
  <si>
    <t>MOCK-488724</t>
  </si>
  <si>
    <t>SKU-7337</t>
  </si>
  <si>
    <t>MOCK-545522</t>
  </si>
  <si>
    <t>SKU-9810</t>
  </si>
  <si>
    <t>MOCK-187619</t>
  </si>
  <si>
    <t>SKU-7087</t>
  </si>
  <si>
    <t>MOCK-546338</t>
  </si>
  <si>
    <t>SKU-6585</t>
  </si>
  <si>
    <t>MOCK-417604</t>
  </si>
  <si>
    <t>SKU-8072</t>
  </si>
  <si>
    <t>MOCK-705283</t>
  </si>
  <si>
    <t>SKU-3152</t>
  </si>
  <si>
    <t>MOCK-721608</t>
  </si>
  <si>
    <t>SKU-3733</t>
  </si>
  <si>
    <t>MOCK-221851</t>
  </si>
  <si>
    <t>SKU-1740</t>
  </si>
  <si>
    <t>MOCK-511237</t>
  </si>
  <si>
    <t>Day 3  —  Daily Entry</t>
  </si>
  <si>
    <t>SKU-6334</t>
  </si>
  <si>
    <t>MOCK-190905</t>
  </si>
  <si>
    <t>SKU-9300</t>
  </si>
  <si>
    <t>MOCK-855774</t>
  </si>
  <si>
    <t>SKU-4001</t>
  </si>
  <si>
    <t>MOCK-913351</t>
  </si>
  <si>
    <t>SKU-1690</t>
  </si>
  <si>
    <t>MOCK-540725</t>
  </si>
  <si>
    <t>SKU-4737</t>
  </si>
  <si>
    <t>MOCK-909584</t>
  </si>
  <si>
    <t>SKU-5582</t>
  </si>
  <si>
    <t>MOCK-292542</t>
  </si>
  <si>
    <t>SKU-1939</t>
  </si>
  <si>
    <t>MOCK-340025</t>
  </si>
  <si>
    <t>SKU-9459</t>
  </si>
  <si>
    <t>MOCK-319280</t>
  </si>
  <si>
    <t>SKU-7698</t>
  </si>
  <si>
    <t>MOCK-680674</t>
  </si>
  <si>
    <t>SKU-4941</t>
  </si>
  <si>
    <t>MOCK-721874</t>
  </si>
  <si>
    <t>SKU-6477</t>
  </si>
  <si>
    <t>MOCK-147008</t>
  </si>
  <si>
    <t>SKU-4763</t>
  </si>
  <si>
    <t>MOCK-495313</t>
  </si>
  <si>
    <t>SKU-8639</t>
  </si>
  <si>
    <t>MOCK-688758</t>
  </si>
  <si>
    <t>SKU-9658</t>
  </si>
  <si>
    <t>MOCK-654697</t>
  </si>
  <si>
    <t>SKU-5840</t>
  </si>
  <si>
    <t>MOCK-845574</t>
  </si>
  <si>
    <t>SKU-5814</t>
  </si>
  <si>
    <t>MOCK-253978</t>
  </si>
  <si>
    <t>SKU-8515</t>
  </si>
  <si>
    <t>MOCK-190537</t>
  </si>
  <si>
    <t>SKU-5844</t>
  </si>
  <si>
    <t>MOCK-441927</t>
  </si>
  <si>
    <t>SKU-3274</t>
  </si>
  <si>
    <t>MOCK-189141</t>
  </si>
  <si>
    <t>SKU-6425</t>
  </si>
  <si>
    <t>MOCK-230120</t>
  </si>
  <si>
    <t>SKU-1951</t>
  </si>
  <si>
    <t>MOCK-642811</t>
  </si>
  <si>
    <t>SKU-7669</t>
  </si>
  <si>
    <t>MOCK-288926</t>
  </si>
  <si>
    <t>SKU-2963</t>
  </si>
  <si>
    <t>MOCK-263588</t>
  </si>
  <si>
    <t>SKU-1457</t>
  </si>
  <si>
    <t>MOCK-112471</t>
  </si>
  <si>
    <t>SKU-1855</t>
  </si>
  <si>
    <t>MOCK-178975</t>
  </si>
  <si>
    <t>SKU-4950</t>
  </si>
  <si>
    <t>MOCK-459726</t>
  </si>
  <si>
    <t>SKU-5901</t>
  </si>
  <si>
    <t>MOCK-709461</t>
  </si>
  <si>
    <t>SKU-7133</t>
  </si>
  <si>
    <t>MOCK-894764</t>
  </si>
  <si>
    <t>SKU-9333</t>
  </si>
  <si>
    <t>MOCK-418678</t>
  </si>
  <si>
    <t>SKU-3500</t>
  </si>
  <si>
    <t>MOCK-521700</t>
  </si>
  <si>
    <t>MOCK-373929</t>
  </si>
  <si>
    <t>SKU-5687</t>
  </si>
  <si>
    <t>MOCK-413869</t>
  </si>
  <si>
    <t>SKU-8788</t>
  </si>
  <si>
    <t>MOCK-195947</t>
  </si>
  <si>
    <t>Day 4  —  Daily Entry</t>
  </si>
  <si>
    <t>SKU-7997</t>
  </si>
  <si>
    <t>MOCK-542213</t>
  </si>
  <si>
    <t>SKU-2843</t>
  </si>
  <si>
    <t>MOCK-875939</t>
  </si>
  <si>
    <t>SKU-2989</t>
  </si>
  <si>
    <t>MOCK-767236</t>
  </si>
  <si>
    <t>SKU-6223</t>
  </si>
  <si>
    <t>MOCK-773163</t>
  </si>
  <si>
    <t>SKU-5413</t>
  </si>
  <si>
    <t>MOCK-724730</t>
  </si>
  <si>
    <t>SKU-5223</t>
  </si>
  <si>
    <t>MOCK-989714</t>
  </si>
  <si>
    <t>SKU-6431</t>
  </si>
  <si>
    <t>MOCK-518283</t>
  </si>
  <si>
    <t>SKU-1495</t>
  </si>
  <si>
    <t>MOCK-454601</t>
  </si>
  <si>
    <t>SKU-6977</t>
  </si>
  <si>
    <t>MOCK-136053</t>
  </si>
  <si>
    <t>SKU-2731</t>
  </si>
  <si>
    <t>MOCK-550403</t>
  </si>
  <si>
    <t>SKU-9577</t>
  </si>
  <si>
    <t>MOCK-420304</t>
  </si>
  <si>
    <t>SKU-6465</t>
  </si>
  <si>
    <t>MOCK-412828</t>
  </si>
  <si>
    <t>SKU-2269</t>
  </si>
  <si>
    <t>MOCK-546434</t>
  </si>
  <si>
    <t>SKU-8197</t>
  </si>
  <si>
    <t>MOCK-368140</t>
  </si>
  <si>
    <t>SKU-4050</t>
  </si>
  <si>
    <t>MOCK-805968</t>
  </si>
  <si>
    <t>SKU-5003</t>
  </si>
  <si>
    <t>MOCK-292005</t>
  </si>
  <si>
    <t>SKU-9139</t>
  </si>
  <si>
    <t>MOCK-557336</t>
  </si>
  <si>
    <t>SKU-5178</t>
  </si>
  <si>
    <t>MOCK-692118</t>
  </si>
  <si>
    <t>SKU-3402</t>
  </si>
  <si>
    <t>MOCK-169926</t>
  </si>
  <si>
    <t>SKU-1432</t>
  </si>
  <si>
    <t>MOCK-920688</t>
  </si>
  <si>
    <t>SKU-3322</t>
  </si>
  <si>
    <t>MOCK-357866</t>
  </si>
  <si>
    <t>SKU-4156</t>
  </si>
  <si>
    <t>MOCK-871515</t>
  </si>
  <si>
    <t>Day 5  —  Daily Entry</t>
  </si>
  <si>
    <t>SKU-5192</t>
  </si>
  <si>
    <t>MOCK-825363</t>
  </si>
  <si>
    <t>SKU-6618</t>
  </si>
  <si>
    <t>MOCK-419260</t>
  </si>
  <si>
    <t>SKU-1470</t>
  </si>
  <si>
    <t>MOCK-608404</t>
  </si>
  <si>
    <t>MOCK-287347</t>
  </si>
  <si>
    <t>SKU-3837</t>
  </si>
  <si>
    <t>MOCK-763495</t>
  </si>
  <si>
    <t>SKU-6449</t>
  </si>
  <si>
    <t>MOCK-668456</t>
  </si>
  <si>
    <t>SKU-5922</t>
  </si>
  <si>
    <t>MOCK-883713</t>
  </si>
  <si>
    <t>SKU-8861</t>
  </si>
  <si>
    <t>MOCK-256642</t>
  </si>
  <si>
    <t>SKU-3305</t>
  </si>
  <si>
    <t>MOCK-545413</t>
  </si>
  <si>
    <t>SKU-6705</t>
  </si>
  <si>
    <t>MOCK-228623</t>
  </si>
  <si>
    <t>SKU-4821</t>
  </si>
  <si>
    <t>MOCK-617463</t>
  </si>
  <si>
    <t>SKU-5053</t>
  </si>
  <si>
    <t>MOCK-849664</t>
  </si>
  <si>
    <t>SKU-2130</t>
  </si>
  <si>
    <t>MOCK-855319</t>
  </si>
  <si>
    <t>SKU-9273</t>
  </si>
  <si>
    <t>MOCK-384450</t>
  </si>
  <si>
    <t>SKU-6541</t>
  </si>
  <si>
    <t>MOCK-703468</t>
  </si>
  <si>
    <t>SKU-1466</t>
  </si>
  <si>
    <t>MOCK-645754</t>
  </si>
  <si>
    <t>SKU-2729</t>
  </si>
  <si>
    <t>MOCK-171163</t>
  </si>
  <si>
    <t>SKU-5792</t>
  </si>
  <si>
    <t>MOCK-266360</t>
  </si>
  <si>
    <t>SKU-6949</t>
  </si>
  <si>
    <t>MOCK-775907</t>
  </si>
  <si>
    <t>SKU-1581</t>
  </si>
  <si>
    <t>MOCK-170636</t>
  </si>
  <si>
    <t>SKU-8473</t>
  </si>
  <si>
    <t>MOCK-669629</t>
  </si>
  <si>
    <t>SKU-7326</t>
  </si>
  <si>
    <t>MOCK-892523</t>
  </si>
  <si>
    <t>SKU-3743</t>
  </si>
  <si>
    <t>MOCK-414364</t>
  </si>
  <si>
    <t>SKU-3285</t>
  </si>
  <si>
    <t>MOCK-161369</t>
  </si>
  <si>
    <t>SKU-2800</t>
  </si>
  <si>
    <t>MOCK-549958</t>
  </si>
  <si>
    <t>SKU-6543</t>
  </si>
  <si>
    <t>MOCK-539444</t>
  </si>
  <si>
    <t>SKU-7218</t>
  </si>
  <si>
    <t>MOCK-294954</t>
  </si>
  <si>
    <t>SKU-9682</t>
  </si>
  <si>
    <t>MOCK-872787</t>
  </si>
  <si>
    <t>SKU-7256</t>
  </si>
  <si>
    <t>MOCK-391680</t>
  </si>
  <si>
    <t>Day 6  —  Daily Entry</t>
  </si>
  <si>
    <t>SKU-8307</t>
  </si>
  <si>
    <t>MOCK-773530</t>
  </si>
  <si>
    <t>SKU-4457</t>
  </si>
  <si>
    <t>MOCK-230918</t>
  </si>
  <si>
    <t>SKU-8866</t>
  </si>
  <si>
    <t>MOCK-512852</t>
  </si>
  <si>
    <t>SKU-8118</t>
  </si>
  <si>
    <t>MOCK-937130</t>
  </si>
  <si>
    <t>SKU-6582</t>
  </si>
  <si>
    <t>MOCK-245127</t>
  </si>
  <si>
    <t>SKU-2997</t>
  </si>
  <si>
    <t>MOCK-915416</t>
  </si>
  <si>
    <t>SKU-2407</t>
  </si>
  <si>
    <t>MOCK-224461</t>
  </si>
  <si>
    <t>SKU-1487</t>
  </si>
  <si>
    <t>MOCK-814869</t>
  </si>
  <si>
    <t>SKU-4286</t>
  </si>
  <si>
    <t>MOCK-526607</t>
  </si>
  <si>
    <t>SKU-3446</t>
  </si>
  <si>
    <t>MOCK-321808</t>
  </si>
  <si>
    <t>SKU-6517</t>
  </si>
  <si>
    <t>MOCK-725355</t>
  </si>
  <si>
    <t>SKU-9971</t>
  </si>
  <si>
    <t>MOCK-803931</t>
  </si>
  <si>
    <t>SKU-7450</t>
  </si>
  <si>
    <t>MOCK-364903</t>
  </si>
  <si>
    <t>SKU-6042</t>
  </si>
  <si>
    <t>MOCK-114482</t>
  </si>
  <si>
    <t>SKU-4373</t>
  </si>
  <si>
    <t>MOCK-584332</t>
  </si>
  <si>
    <t>SKU-4730</t>
  </si>
  <si>
    <t>MOCK-212367</t>
  </si>
  <si>
    <t>SKU-9666</t>
  </si>
  <si>
    <t>MOCK-319010</t>
  </si>
  <si>
    <t>SKU-8256</t>
  </si>
  <si>
    <t>MOCK-915792</t>
  </si>
  <si>
    <t>SKU-7809</t>
  </si>
  <si>
    <t>MOCK-962315</t>
  </si>
  <si>
    <t>SKU-4789</t>
  </si>
  <si>
    <t>MOCK-587120</t>
  </si>
  <si>
    <t>Day 7  —  Daily Entry</t>
  </si>
  <si>
    <t>SKU-8616</t>
  </si>
  <si>
    <t>MOCK-309717</t>
  </si>
  <si>
    <t>SKU-5526</t>
  </si>
  <si>
    <t>MOCK-138189</t>
  </si>
  <si>
    <t>SKU-2922</t>
  </si>
  <si>
    <t>MOCK-678161</t>
  </si>
  <si>
    <t>SKU-3481</t>
  </si>
  <si>
    <t>MOCK-890534</t>
  </si>
  <si>
    <t>SKU-2931</t>
  </si>
  <si>
    <t>MOCK-468228</t>
  </si>
  <si>
    <t>SKU-9540</t>
  </si>
  <si>
    <t>MOCK-136224</t>
  </si>
  <si>
    <t>SKU-9703</t>
  </si>
  <si>
    <t>MOCK-778043</t>
  </si>
  <si>
    <t>SKU-7419</t>
  </si>
  <si>
    <t>MOCK-495328</t>
  </si>
  <si>
    <t>SKU-8154</t>
  </si>
  <si>
    <t>MOCK-294401</t>
  </si>
  <si>
    <t>SKU-3780</t>
  </si>
  <si>
    <t>MOCK-519496</t>
  </si>
  <si>
    <t>SKU-5518</t>
  </si>
  <si>
    <t>MOCK-688067</t>
  </si>
  <si>
    <t>SKU-5229</t>
  </si>
  <si>
    <t>MOCK-547768</t>
  </si>
  <si>
    <t>SKU-4884</t>
  </si>
  <si>
    <t>MOCK-416737</t>
  </si>
  <si>
    <t>SKU-2254</t>
  </si>
  <si>
    <t>MOCK-677531</t>
  </si>
  <si>
    <t>SKU-2688</t>
  </si>
  <si>
    <t>MOCK-668930</t>
  </si>
  <si>
    <t>SKU-9527</t>
  </si>
  <si>
    <t>MOCK-377565</t>
  </si>
  <si>
    <t>SKU-7151</t>
  </si>
  <si>
    <t>MOCK-997227</t>
  </si>
  <si>
    <t>SKU-7816</t>
  </si>
  <si>
    <t>MOCK-112064</t>
  </si>
  <si>
    <t>SKU-3189</t>
  </si>
  <si>
    <t>MOCK-908598</t>
  </si>
  <si>
    <t>SKU-6444</t>
  </si>
  <si>
    <t>MOCK-458826</t>
  </si>
  <si>
    <t>SKU-7538</t>
  </si>
  <si>
    <t>MOCK-791590</t>
  </si>
  <si>
    <t>Day 8  —  Daily Entry</t>
  </si>
  <si>
    <t>SKU-2593</t>
  </si>
  <si>
    <t>MOCK-723160</t>
  </si>
  <si>
    <t>SKU-9676</t>
  </si>
  <si>
    <t>MOCK-408004</t>
  </si>
  <si>
    <t>SKU-6830</t>
  </si>
  <si>
    <t>MOCK-525584</t>
  </si>
  <si>
    <t>SKU-4111</t>
  </si>
  <si>
    <t>MOCK-704058</t>
  </si>
  <si>
    <t>SKU-3797</t>
  </si>
  <si>
    <t>MOCK-568385</t>
  </si>
  <si>
    <t>SKU-9726</t>
  </si>
  <si>
    <t>MOCK-459563</t>
  </si>
  <si>
    <t>SKU-3789</t>
  </si>
  <si>
    <t>MOCK-181820</t>
  </si>
  <si>
    <t>SKU-9344</t>
  </si>
  <si>
    <t>MOCK-213570</t>
  </si>
  <si>
    <t>SKU-4899</t>
  </si>
  <si>
    <t>MOCK-488877</t>
  </si>
  <si>
    <t>SKU-5075</t>
  </si>
  <si>
    <t>MOCK-924019</t>
  </si>
  <si>
    <t>SKU-5714</t>
  </si>
  <si>
    <t>MOCK-405788</t>
  </si>
  <si>
    <t>SKU-3914</t>
  </si>
  <si>
    <t>MOCK-319660</t>
  </si>
  <si>
    <t>SKU-4561</t>
  </si>
  <si>
    <t>MOCK-541793</t>
  </si>
  <si>
    <t>SKU-9881</t>
  </si>
  <si>
    <t>MOCK-655517</t>
  </si>
  <si>
    <t>SKU-8385</t>
  </si>
  <si>
    <t>MOCK-495753</t>
  </si>
  <si>
    <t>SKU-5286</t>
  </si>
  <si>
    <t>MOCK-615190</t>
  </si>
  <si>
    <t>SKU-4421</t>
  </si>
  <si>
    <t>MOCK-658156</t>
  </si>
  <si>
    <t>SKU-5425</t>
  </si>
  <si>
    <t>MOCK-329934</t>
  </si>
  <si>
    <t>SKU-8811</t>
  </si>
  <si>
    <t>MOCK-952435</t>
  </si>
  <si>
    <t>SKU-3213</t>
  </si>
  <si>
    <t>MOCK-804224</t>
  </si>
  <si>
    <t>SKU-3438</t>
  </si>
  <si>
    <t>MOCK-645391</t>
  </si>
  <si>
    <t>SKU-1436</t>
  </si>
  <si>
    <t>MOCK-181905</t>
  </si>
  <si>
    <t>SKU-5770</t>
  </si>
  <si>
    <t>MOCK-668216</t>
  </si>
  <si>
    <t>SKU-5841</t>
  </si>
  <si>
    <t>MOCK-972453</t>
  </si>
  <si>
    <t>SKU-3234</t>
  </si>
  <si>
    <t>MOCK-242290</t>
  </si>
  <si>
    <t>SKU-8499</t>
  </si>
  <si>
    <t>MOCK-507423</t>
  </si>
  <si>
    <t>SKU-3181</t>
  </si>
  <si>
    <t>MOCK-210730</t>
  </si>
  <si>
    <t>SKU-7561</t>
  </si>
  <si>
    <t>MOCK-501513</t>
  </si>
  <si>
    <t>SKU-6635</t>
  </si>
  <si>
    <t>MOCK-137733</t>
  </si>
  <si>
    <t>SKU-2107</t>
  </si>
  <si>
    <t>MOCK-636859</t>
  </si>
  <si>
    <t>SKU-1262</t>
  </si>
  <si>
    <t>MOCK-260182</t>
  </si>
  <si>
    <t>Day 9  —  Daily Entry</t>
  </si>
  <si>
    <t>SKU-5242</t>
  </si>
  <si>
    <t>MOCK-216911</t>
  </si>
  <si>
    <t>MOCK-579849</t>
  </si>
  <si>
    <t>SKU-9618</t>
  </si>
  <si>
    <t>MOCK-594489</t>
  </si>
  <si>
    <t>SKU-4188</t>
  </si>
  <si>
    <t>MOCK-697372</t>
  </si>
  <si>
    <t>SKU-3063</t>
  </si>
  <si>
    <t>MOCK-156888</t>
  </si>
  <si>
    <t>SKU-9829</t>
  </si>
  <si>
    <t>MOCK-711920</t>
  </si>
  <si>
    <t>SKU-7941</t>
  </si>
  <si>
    <t>MOCK-592235</t>
  </si>
  <si>
    <t>SKU-3184</t>
  </si>
  <si>
    <t>MOCK-507334</t>
  </si>
  <si>
    <t>SKU-5346</t>
  </si>
  <si>
    <t>MOCK-474395</t>
  </si>
  <si>
    <t>SKU-7146</t>
  </si>
  <si>
    <t>MOCK-353711</t>
  </si>
  <si>
    <t>SKU-6019</t>
  </si>
  <si>
    <t>MOCK-868650</t>
  </si>
  <si>
    <t>SKU-7807</t>
  </si>
  <si>
    <t>MOCK-151977</t>
  </si>
  <si>
    <t>SKU-4626</t>
  </si>
  <si>
    <t>MOCK-824613</t>
  </si>
  <si>
    <t>SKU-1798</t>
  </si>
  <si>
    <t>MOCK-516741</t>
  </si>
  <si>
    <t>SKU-1421</t>
  </si>
  <si>
    <t>MOCK-682386</t>
  </si>
  <si>
    <t>SKU-4344</t>
  </si>
  <si>
    <t>MOCK-910795</t>
  </si>
  <si>
    <t>SKU-1624</t>
  </si>
  <si>
    <t>MOCK-459022</t>
  </si>
  <si>
    <t>SKU-8481</t>
  </si>
  <si>
    <t>MOCK-995537</t>
  </si>
  <si>
    <t>SKU-5711</t>
  </si>
  <si>
    <t>MOCK-306995</t>
  </si>
  <si>
    <t>SKU-7504</t>
  </si>
  <si>
    <t>MOCK-812302</t>
  </si>
  <si>
    <t>SKU-8034</t>
  </si>
  <si>
    <t>MOCK-829642</t>
  </si>
  <si>
    <t>SKU-7113</t>
  </si>
  <si>
    <t>MOCK-937731</t>
  </si>
  <si>
    <t>SKU-4515</t>
  </si>
  <si>
    <t>MOCK-134227</t>
  </si>
  <si>
    <t>Day 10  —  Daily Entry</t>
  </si>
  <si>
    <t>SKU-4122</t>
  </si>
  <si>
    <t>MOCK-411807</t>
  </si>
  <si>
    <t>SKU-4891</t>
  </si>
  <si>
    <t>MOCK-362754</t>
  </si>
  <si>
    <t>SKU-5913</t>
  </si>
  <si>
    <t>MOCK-787703</t>
  </si>
  <si>
    <t>SKU-9068</t>
  </si>
  <si>
    <t>MOCK-797678</t>
  </si>
  <si>
    <t>SKU-8115</t>
  </si>
  <si>
    <t>MOCK-878087</t>
  </si>
  <si>
    <t>SKU-1753</t>
  </si>
  <si>
    <t>MOCK-791692</t>
  </si>
  <si>
    <t>SKU-1194</t>
  </si>
  <si>
    <t>MOCK-599482</t>
  </si>
  <si>
    <t>SKU-4137</t>
  </si>
  <si>
    <t>MOCK-396007</t>
  </si>
  <si>
    <t>SKU-7981</t>
  </si>
  <si>
    <t>MOCK-377898</t>
  </si>
  <si>
    <t>SKU-9052</t>
  </si>
  <si>
    <t>MOCK-412607</t>
  </si>
  <si>
    <t>SKU-3844</t>
  </si>
  <si>
    <t>MOCK-202119</t>
  </si>
  <si>
    <t>SKU-2958</t>
  </si>
  <si>
    <t>MOCK-504628</t>
  </si>
  <si>
    <t>SKU-9478</t>
  </si>
  <si>
    <t>MOCK-661435</t>
  </si>
  <si>
    <t>SKU-9003</t>
  </si>
  <si>
    <t>MOCK-340738</t>
  </si>
  <si>
    <t>SKU-8469</t>
  </si>
  <si>
    <t>MOCK-893167</t>
  </si>
  <si>
    <t>SKU-7787</t>
  </si>
  <si>
    <t>MOCK-283049</t>
  </si>
  <si>
    <t>SKU-2624</t>
  </si>
  <si>
    <t>MOCK-565029</t>
  </si>
  <si>
    <t>SKU-4400</t>
  </si>
  <si>
    <t>MOCK-121509</t>
  </si>
  <si>
    <t>SKU-2636</t>
  </si>
  <si>
    <t>MOCK-625223</t>
  </si>
  <si>
    <t>SKU-1453</t>
  </si>
  <si>
    <t>MOCK-764871</t>
  </si>
  <si>
    <t>SKU-4563</t>
  </si>
  <si>
    <t>MOCK-785584</t>
  </si>
  <si>
    <t>SKU-4036</t>
  </si>
  <si>
    <t>MOCK-874220</t>
  </si>
  <si>
    <t>SKU-8758</t>
  </si>
  <si>
    <t>MOCK-490244</t>
  </si>
  <si>
    <t>SKU-7365</t>
  </si>
  <si>
    <t>MOCK-941355</t>
  </si>
  <si>
    <t>SKU-7876</t>
  </si>
  <si>
    <t>MOCK-659681</t>
  </si>
  <si>
    <t>Day 11  —  Daily Entry</t>
  </si>
  <si>
    <t>MOCK-452953</t>
  </si>
  <si>
    <t>SKU-3533</t>
  </si>
  <si>
    <t>MOCK-976231</t>
  </si>
  <si>
    <t>SKU-9749</t>
  </si>
  <si>
    <t>MOCK-973425</t>
  </si>
  <si>
    <t>SKU-8929</t>
  </si>
  <si>
    <t>MOCK-339169</t>
  </si>
  <si>
    <t>SKU-5812</t>
  </si>
  <si>
    <t>MOCK-609198</t>
  </si>
  <si>
    <t>SKU-4534</t>
  </si>
  <si>
    <t>MOCK-922631</t>
  </si>
  <si>
    <t>SKU-2036</t>
  </si>
  <si>
    <t>MOCK-861769</t>
  </si>
  <si>
    <t>SKU-3388</t>
  </si>
  <si>
    <t>MOCK-710957</t>
  </si>
  <si>
    <t>SKU-4774</t>
  </si>
  <si>
    <t>MOCK-245744</t>
  </si>
  <si>
    <t>SKU-7288</t>
  </si>
  <si>
    <t>MOCK-923558</t>
  </si>
  <si>
    <t>SKU-2324</t>
  </si>
  <si>
    <t>MOCK-104214</t>
  </si>
  <si>
    <t>SKU-7025</t>
  </si>
  <si>
    <t>MOCK-547663</t>
  </si>
  <si>
    <t>SKU-9965</t>
  </si>
  <si>
    <t>MOCK-329216</t>
  </si>
  <si>
    <t>SKU-9547</t>
  </si>
  <si>
    <t>MOCK-881209</t>
  </si>
  <si>
    <t>SKU-9764</t>
  </si>
  <si>
    <t>MOCK-387504</t>
  </si>
  <si>
    <t>SKU-9448</t>
  </si>
  <si>
    <t>MOCK-464945</t>
  </si>
  <si>
    <t>SKU-1342</t>
  </si>
  <si>
    <t>MOCK-605143</t>
  </si>
  <si>
    <t>SKU-1800</t>
  </si>
  <si>
    <t>MOCK-185009</t>
  </si>
  <si>
    <t>Day 12  —  Daily Entry</t>
  </si>
  <si>
    <t>SKU-9234</t>
  </si>
  <si>
    <t>MOCK-581617</t>
  </si>
  <si>
    <t>SKU-5748</t>
  </si>
  <si>
    <t>MOCK-181545</t>
  </si>
  <si>
    <t>SKU-9898</t>
  </si>
  <si>
    <t>MOCK-298791</t>
  </si>
  <si>
    <t>SKU-1967</t>
  </si>
  <si>
    <t>MOCK-466222</t>
  </si>
  <si>
    <t>SKU-4260</t>
  </si>
  <si>
    <t>MOCK-996162</t>
  </si>
  <si>
    <t>SKU-2546</t>
  </si>
  <si>
    <t>MOCK-428714</t>
  </si>
  <si>
    <t>SKU-2748</t>
  </si>
  <si>
    <t>MOCK-348870</t>
  </si>
  <si>
    <t>SKU-6609</t>
  </si>
  <si>
    <t>MOCK-464442</t>
  </si>
  <si>
    <t>SKU-8615</t>
  </si>
  <si>
    <t>MOCK-470507</t>
  </si>
  <si>
    <t>SKU-3182</t>
  </si>
  <si>
    <t>MOCK-285370</t>
  </si>
  <si>
    <t>SKU-1872</t>
  </si>
  <si>
    <t>MOCK-795595</t>
  </si>
  <si>
    <t>SKU-6771</t>
  </si>
  <si>
    <t>MOCK-411502</t>
  </si>
  <si>
    <t>SKU-7523</t>
  </si>
  <si>
    <t>MOCK-616686</t>
  </si>
  <si>
    <t>SKU-5145</t>
  </si>
  <si>
    <t>MOCK-664854</t>
  </si>
  <si>
    <t>SKU-8906</t>
  </si>
  <si>
    <t>MOCK-631319</t>
  </si>
  <si>
    <t>SKU-3695</t>
  </si>
  <si>
    <t>MOCK-801616</t>
  </si>
  <si>
    <t>SKU-8865</t>
  </si>
  <si>
    <t>MOCK-818634</t>
  </si>
  <si>
    <t>SKU-3291</t>
  </si>
  <si>
    <t>MOCK-127213</t>
  </si>
  <si>
    <t>SKU-5433</t>
  </si>
  <si>
    <t>MOCK-341905</t>
  </si>
  <si>
    <t>SKU-5046</t>
  </si>
  <si>
    <t>MOCK-744281</t>
  </si>
  <si>
    <t>SKU-7615</t>
  </si>
  <si>
    <t>MOCK-767903</t>
  </si>
  <si>
    <t>SKU-4165</t>
  </si>
  <si>
    <t>MOCK-705312</t>
  </si>
  <si>
    <t>SKU-2428</t>
  </si>
  <si>
    <t>MOCK-858127</t>
  </si>
  <si>
    <t>SKU-5379</t>
  </si>
  <si>
    <t>MOCK-559056</t>
  </si>
  <si>
    <t>SKU-2418</t>
  </si>
  <si>
    <t>MOCK-768234</t>
  </si>
  <si>
    <t>SKU-3190</t>
  </si>
  <si>
    <t>MOCK-142493</t>
  </si>
  <si>
    <t>SKU-3590</t>
  </si>
  <si>
    <t>MOCK-742151</t>
  </si>
  <si>
    <t>Day 13  —  Daily Entry</t>
  </si>
  <si>
    <t>SKU-3551</t>
  </si>
  <si>
    <t>MOCK-298635</t>
  </si>
  <si>
    <t>SKU-5626</t>
  </si>
  <si>
    <t>MOCK-148927</t>
  </si>
  <si>
    <t>SKU-9817</t>
  </si>
  <si>
    <t>MOCK-808564</t>
  </si>
  <si>
    <t>SKU-3276</t>
  </si>
  <si>
    <t>MOCK-847083</t>
  </si>
  <si>
    <t>SKU-2235</t>
  </si>
  <si>
    <t>MOCK-745205</t>
  </si>
  <si>
    <t>SKU-8731</t>
  </si>
  <si>
    <t>MOCK-290234</t>
  </si>
  <si>
    <t>SKU-9188</t>
  </si>
  <si>
    <t>MOCK-165539</t>
  </si>
  <si>
    <t>SKU-9535</t>
  </si>
  <si>
    <t>MOCK-450168</t>
  </si>
  <si>
    <t>SKU-4853</t>
  </si>
  <si>
    <t>MOCK-532268</t>
  </si>
  <si>
    <t>SKU-3270</t>
  </si>
  <si>
    <t>MOCK-186817</t>
  </si>
  <si>
    <t>SKU-7318</t>
  </si>
  <si>
    <t>MOCK-234609</t>
  </si>
  <si>
    <t>SKU-9449</t>
  </si>
  <si>
    <t>MOCK-953301</t>
  </si>
  <si>
    <t>SKU-9664</t>
  </si>
  <si>
    <t>MOCK-855508</t>
  </si>
  <si>
    <t>MOCK-958973</t>
  </si>
  <si>
    <t>SKU-6452</t>
  </si>
  <si>
    <t>MOCK-140876</t>
  </si>
  <si>
    <t>SKU-5559</t>
  </si>
  <si>
    <t>SKU-4255</t>
  </si>
  <si>
    <t>MOCK-310950</t>
  </si>
  <si>
    <t>SKU-4153</t>
  </si>
  <si>
    <t>MOCK-518028</t>
  </si>
  <si>
    <t>SKU-8706</t>
  </si>
  <si>
    <t>MOCK-249141</t>
  </si>
  <si>
    <t>SKU-2001</t>
  </si>
  <si>
    <t>MOCK-406412</t>
  </si>
  <si>
    <t>SKU-5774</t>
  </si>
  <si>
    <t>MOCK-141021</t>
  </si>
  <si>
    <t>SKU-6825</t>
  </si>
  <si>
    <t>MOCK-612400</t>
  </si>
  <si>
    <t>SKU-5247</t>
  </si>
  <si>
    <t>MOCK-911988</t>
  </si>
  <si>
    <t>SKU-6478</t>
  </si>
  <si>
    <t>MOCK-450411</t>
  </si>
  <si>
    <t>SKU-6980</t>
  </si>
  <si>
    <t>MOCK-140178</t>
  </si>
  <si>
    <t>SKU-4282</t>
  </si>
  <si>
    <t>MOCK-320532</t>
  </si>
  <si>
    <t>SKU-1474</t>
  </si>
  <si>
    <t>MOCK-682145</t>
  </si>
  <si>
    <t>SKU-6000</t>
  </si>
  <si>
    <t>MOCK-314090</t>
  </si>
  <si>
    <t>SKU-3760</t>
  </si>
  <si>
    <t>MOCK-132194</t>
  </si>
  <si>
    <t>SKU-5396</t>
  </si>
  <si>
    <t>MOCK-770469</t>
  </si>
  <si>
    <t>SKU-1447</t>
  </si>
  <si>
    <t>MOCK-273187</t>
  </si>
  <si>
    <t>SKU-4683</t>
  </si>
  <si>
    <t>MOCK-719497</t>
  </si>
  <si>
    <t>SKU-1305</t>
  </si>
  <si>
    <t>MOCK-318577</t>
  </si>
  <si>
    <t>SKU-8450</t>
  </si>
  <si>
    <t>MOCK-980343</t>
  </si>
  <si>
    <t>Day 14  —  Daily Entry</t>
  </si>
  <si>
    <t>SKU-1785</t>
  </si>
  <si>
    <t>MOCK-630432</t>
  </si>
  <si>
    <t>SKU-1818</t>
  </si>
  <si>
    <t>MOCK-503434</t>
  </si>
  <si>
    <t>SKU-1959</t>
  </si>
  <si>
    <t>MOCK-828432</t>
  </si>
  <si>
    <t>MOCK-610158</t>
  </si>
  <si>
    <t>MOCK-793892</t>
  </si>
  <si>
    <t>SKU-9524</t>
  </si>
  <si>
    <t>MOCK-988932</t>
  </si>
  <si>
    <t>SKU-7095</t>
  </si>
  <si>
    <t>MOCK-609948</t>
  </si>
  <si>
    <t>SKU-3108</t>
  </si>
  <si>
    <t>MOCK-868902</t>
  </si>
  <si>
    <t>SKU-7377</t>
  </si>
  <si>
    <t>MOCK-566374</t>
  </si>
  <si>
    <t>SKU-9744</t>
  </si>
  <si>
    <t>MOCK-737460</t>
  </si>
  <si>
    <t>MOCK-989243</t>
  </si>
  <si>
    <t>SKU-2301</t>
  </si>
  <si>
    <t>MOCK-220927</t>
  </si>
  <si>
    <t>SKU-3778</t>
  </si>
  <si>
    <t>MOCK-486963</t>
  </si>
  <si>
    <t>SKU-9172</t>
  </si>
  <si>
    <t>MOCK-828328</t>
  </si>
  <si>
    <t>SKU-4743</t>
  </si>
  <si>
    <t>MOCK-704663</t>
  </si>
  <si>
    <t>SKU-9184</t>
  </si>
  <si>
    <t>MOCK-565959</t>
  </si>
  <si>
    <t>SKU-4729</t>
  </si>
  <si>
    <t>MOCK-584311</t>
  </si>
  <si>
    <t>SKU-4067</t>
  </si>
  <si>
    <t>MOCK-695982</t>
  </si>
  <si>
    <t>SKU-5720</t>
  </si>
  <si>
    <t>MOCK-432138</t>
  </si>
  <si>
    <t>SKU-9691</t>
  </si>
  <si>
    <t>MOCK-661183</t>
  </si>
  <si>
    <t>SKU-2389</t>
  </si>
  <si>
    <t>MOCK-571279</t>
  </si>
  <si>
    <t>SKU-1554</t>
  </si>
  <si>
    <t>MOCK-186141</t>
  </si>
  <si>
    <t>MOCK-426040</t>
  </si>
  <si>
    <t>SKU-1977</t>
  </si>
  <si>
    <t>MOCK-435181</t>
  </si>
  <si>
    <t>SKU-2190</t>
  </si>
  <si>
    <t>MOCK-441054</t>
  </si>
  <si>
    <t>SKU-5094</t>
  </si>
  <si>
    <t>MOCK-453114</t>
  </si>
  <si>
    <t>SKU-7946</t>
  </si>
  <si>
    <t>MOCK-769700</t>
  </si>
  <si>
    <t>SKU-3709</t>
  </si>
  <si>
    <t>MOCK-916106</t>
  </si>
  <si>
    <t>SKU-9717</t>
  </si>
  <si>
    <t>MOCK-620595</t>
  </si>
  <si>
    <t>SKU-8146</t>
  </si>
  <si>
    <t>MOCK-131024</t>
  </si>
  <si>
    <t>SKU-3209</t>
  </si>
  <si>
    <t>MOCK-279086</t>
  </si>
  <si>
    <t>Day 15  —  Daily Entry</t>
  </si>
  <si>
    <t>SKU-6897</t>
  </si>
  <si>
    <t>MOCK-997926</t>
  </si>
  <si>
    <t>MOCK-194772</t>
  </si>
  <si>
    <t>SKU-4212</t>
  </si>
  <si>
    <t>MOCK-190138</t>
  </si>
  <si>
    <t>SKU-9376</t>
  </si>
  <si>
    <t>MOCK-494731</t>
  </si>
  <si>
    <t>SKU-4951</t>
  </si>
  <si>
    <t>MOCK-767154</t>
  </si>
  <si>
    <t>SKU-4029</t>
  </si>
  <si>
    <t>MOCK-604063</t>
  </si>
  <si>
    <t>SKU-2202</t>
  </si>
  <si>
    <t>MOCK-307250</t>
  </si>
  <si>
    <t>SKU-6133</t>
  </si>
  <si>
    <t>MOCK-691906</t>
  </si>
  <si>
    <t>SKU-2954</t>
  </si>
  <si>
    <t>MOCK-669392</t>
  </si>
  <si>
    <t>SKU-7372</t>
  </si>
  <si>
    <t>MOCK-931489</t>
  </si>
  <si>
    <t>SKU-9873</t>
  </si>
  <si>
    <t>MOCK-836384</t>
  </si>
  <si>
    <t>SKU-3697</t>
  </si>
  <si>
    <t>MOCK-628783</t>
  </si>
  <si>
    <t>SKU-7262</t>
  </si>
  <si>
    <t>MOCK-519504</t>
  </si>
  <si>
    <t>SKU-3324</t>
  </si>
  <si>
    <t>MOCK-269783</t>
  </si>
  <si>
    <t>SKU-5887</t>
  </si>
  <si>
    <t>MOCK-629828</t>
  </si>
  <si>
    <t>SKU-5434</t>
  </si>
  <si>
    <t>MOCK-196435</t>
  </si>
  <si>
    <t>SKU-1892</t>
  </si>
  <si>
    <t>MOCK-695214</t>
  </si>
  <si>
    <t>MOCK-509064</t>
  </si>
  <si>
    <t>SKU-8898</t>
  </si>
  <si>
    <t>MOCK-523682</t>
  </si>
  <si>
    <t>SKU-3559</t>
  </si>
  <si>
    <t>MOCK-464399</t>
  </si>
  <si>
    <t>SKU-7382</t>
  </si>
  <si>
    <t>MOCK-735407</t>
  </si>
  <si>
    <t>SKU-6835</t>
  </si>
  <si>
    <t>MOCK-148884</t>
  </si>
  <si>
    <t>SKU-8869</t>
  </si>
  <si>
    <t>MOCK-170670</t>
  </si>
  <si>
    <t>SKU-1556</t>
  </si>
  <si>
    <t>MOCK-354152</t>
  </si>
  <si>
    <t>SKU-9073</t>
  </si>
  <si>
    <t>MOCK-396199</t>
  </si>
  <si>
    <t>SKU-4287</t>
  </si>
  <si>
    <t>MOCK-519144</t>
  </si>
  <si>
    <t>Day 16  —  Daily Entry</t>
  </si>
  <si>
    <t>SKU-7121</t>
  </si>
  <si>
    <t>MOCK-865934</t>
  </si>
  <si>
    <t>SKU-3254</t>
  </si>
  <si>
    <t>MOCK-861199</t>
  </si>
  <si>
    <t>SKU-1071</t>
  </si>
  <si>
    <t>MOCK-277006</t>
  </si>
  <si>
    <t>SKU-4047</t>
  </si>
  <si>
    <t>MOCK-599697</t>
  </si>
  <si>
    <t>SKU-3381</t>
  </si>
  <si>
    <t>MOCK-529587</t>
  </si>
  <si>
    <t>SKU-4331</t>
  </si>
  <si>
    <t>MOCK-373554</t>
  </si>
  <si>
    <t>SKU-2012</t>
  </si>
  <si>
    <t>MOCK-530309</t>
  </si>
  <si>
    <t>SKU-4323</t>
  </si>
  <si>
    <t>MOCK-452052</t>
  </si>
  <si>
    <t>SKU-5940</t>
  </si>
  <si>
    <t>MOCK-130081</t>
  </si>
  <si>
    <t>SKU-9859</t>
  </si>
  <si>
    <t>MOCK-915354</t>
  </si>
  <si>
    <t>SKU-2848</t>
  </si>
  <si>
    <t>MOCK-246552</t>
  </si>
  <si>
    <t>SKU-1970</t>
  </si>
  <si>
    <t>MOCK-508899</t>
  </si>
  <si>
    <t>SKU-8948</t>
  </si>
  <si>
    <t>MOCK-670495</t>
  </si>
  <si>
    <t>SKU-5426</t>
  </si>
  <si>
    <t>MOCK-902218</t>
  </si>
  <si>
    <t>SKU-1381</t>
  </si>
  <si>
    <t>MOCK-482527</t>
  </si>
  <si>
    <t>SKU-2283</t>
  </si>
  <si>
    <t>MOCK-957147</t>
  </si>
  <si>
    <t>SKU-1660</t>
  </si>
  <si>
    <t>MOCK-975662</t>
  </si>
  <si>
    <t>SKU-7103</t>
  </si>
  <si>
    <t>MOCK-191420</t>
  </si>
  <si>
    <t>SKU-6832</t>
  </si>
  <si>
    <t>MOCK-353199</t>
  </si>
  <si>
    <t>SKU-8512</t>
  </si>
  <si>
    <t>MOCK-486445</t>
  </si>
  <si>
    <t>SKU-3667</t>
  </si>
  <si>
    <t>MOCK-566719</t>
  </si>
  <si>
    <t>SKU-3682</t>
  </si>
  <si>
    <t>MOCK-976573</t>
  </si>
  <si>
    <t>SKU-3290</t>
  </si>
  <si>
    <t>MOCK-829630</t>
  </si>
  <si>
    <t>SKU-5783</t>
  </si>
  <si>
    <t>MOCK-267835</t>
  </si>
  <si>
    <t>SKU-1922</t>
  </si>
  <si>
    <t>MOCK-951322</t>
  </si>
  <si>
    <t>SKU-3629</t>
  </si>
  <si>
    <t>MOCK-674753</t>
  </si>
  <si>
    <t>SKU-1347</t>
  </si>
  <si>
    <t>MOCK-905694</t>
  </si>
  <si>
    <t>SKU-2238</t>
  </si>
  <si>
    <t>MOCK-532086</t>
  </si>
  <si>
    <t>SKU-9249</t>
  </si>
  <si>
    <t>MOCK-578621</t>
  </si>
  <si>
    <t>SKU-1295</t>
  </si>
  <si>
    <t>MOCK-553951</t>
  </si>
  <si>
    <t>SKU-6859</t>
  </si>
  <si>
    <t>MOCK-891803</t>
  </si>
  <si>
    <t>SKU-5265</t>
  </si>
  <si>
    <t>MOCK-238546</t>
  </si>
  <si>
    <t>SKU-9750</t>
  </si>
  <si>
    <t>MOCK-517287</t>
  </si>
  <si>
    <t>SKU-8166</t>
  </si>
  <si>
    <t>MOCK-303685</t>
  </si>
  <si>
    <t>Day 17  —  Daily Entry</t>
  </si>
  <si>
    <t>SKU-6321</t>
  </si>
  <si>
    <t>MOCK-948815</t>
  </si>
  <si>
    <t>SKU-7433</t>
  </si>
  <si>
    <t>MOCK-698479</t>
  </si>
  <si>
    <t>SKU-9470</t>
  </si>
  <si>
    <t>MOCK-575811</t>
  </si>
  <si>
    <t>SKU-4355</t>
  </si>
  <si>
    <t>MOCK-202946</t>
  </si>
  <si>
    <t>SKU-1522</t>
  </si>
  <si>
    <t>MOCK-407449</t>
  </si>
  <si>
    <t>MOCK-890555</t>
  </si>
  <si>
    <t>MOCK-583398</t>
  </si>
  <si>
    <t>SKU-9247</t>
  </si>
  <si>
    <t>MOCK-222937</t>
  </si>
  <si>
    <t>SKU-4311</t>
  </si>
  <si>
    <t>MOCK-354470</t>
  </si>
  <si>
    <t>SKU-9533</t>
  </si>
  <si>
    <t>MOCK-869822</t>
  </si>
  <si>
    <t>SKU-7294</t>
  </si>
  <si>
    <t>MOCK-358928</t>
  </si>
  <si>
    <t>SKU-5521</t>
  </si>
  <si>
    <t>MOCK-796974</t>
  </si>
  <si>
    <t>SKU-7569</t>
  </si>
  <si>
    <t>MOCK-697548</t>
  </si>
  <si>
    <t>SKU-3619</t>
  </si>
  <si>
    <t>MOCK-968158</t>
  </si>
  <si>
    <t>SKU-8798</t>
  </si>
  <si>
    <t>MOCK-582335</t>
  </si>
  <si>
    <t>SKU-3798</t>
  </si>
  <si>
    <t>MOCK-602345</t>
  </si>
  <si>
    <t>SKU-1019</t>
  </si>
  <si>
    <t>MOCK-609735</t>
  </si>
  <si>
    <t>SKU-8117</t>
  </si>
  <si>
    <t>MOCK-135229</t>
  </si>
  <si>
    <t>SKU-8159</t>
  </si>
  <si>
    <t>MOCK-365063</t>
  </si>
  <si>
    <t>SKU-7949</t>
  </si>
  <si>
    <t>MOCK-560315</t>
  </si>
  <si>
    <t>MOCK-513080</t>
  </si>
  <si>
    <t>SKU-9152</t>
  </si>
  <si>
    <t>MOCK-487714</t>
  </si>
  <si>
    <t>SKU-3075</t>
  </si>
  <si>
    <t>MOCK-502195</t>
  </si>
  <si>
    <t>SKU-1541</t>
  </si>
  <si>
    <t>MOCK-540603</t>
  </si>
  <si>
    <t>SKU-9495</t>
  </si>
  <si>
    <t>MOCK-772929</t>
  </si>
  <si>
    <t>SKU-4167</t>
  </si>
  <si>
    <t>MOCK-252086</t>
  </si>
  <si>
    <t>SKU-7361</t>
  </si>
  <si>
    <t>MOCK-172214</t>
  </si>
  <si>
    <t>SKU-3072</t>
  </si>
  <si>
    <t>MOCK-426342</t>
  </si>
  <si>
    <t>Day 18  —  Daily Entry</t>
  </si>
  <si>
    <t>SKU-6361</t>
  </si>
  <si>
    <t>MOCK-649148</t>
  </si>
  <si>
    <t>SKU-4610</t>
  </si>
  <si>
    <t>MOCK-516900</t>
  </si>
  <si>
    <t>SKU-1536</t>
  </si>
  <si>
    <t>MOCK-305356</t>
  </si>
  <si>
    <t>SKU-6117</t>
  </si>
  <si>
    <t>MOCK-325583</t>
  </si>
  <si>
    <t>MOCK-360464</t>
  </si>
  <si>
    <t>SKU-2677</t>
  </si>
  <si>
    <t>MOCK-952758</t>
  </si>
  <si>
    <t>SKU-8504</t>
  </si>
  <si>
    <t>MOCK-982628</t>
  </si>
  <si>
    <t>SKU-1117</t>
  </si>
  <si>
    <t>MOCK-657495</t>
  </si>
  <si>
    <t>SKU-4879</t>
  </si>
  <si>
    <t>MOCK-283671</t>
  </si>
  <si>
    <t>SKU-4486</t>
  </si>
  <si>
    <t>MOCK-405899</t>
  </si>
  <si>
    <t>SKU-5811</t>
  </si>
  <si>
    <t>MOCK-528527</t>
  </si>
  <si>
    <t>SKU-2354</t>
  </si>
  <si>
    <t>MOCK-607186</t>
  </si>
  <si>
    <t>SKU-6322</t>
  </si>
  <si>
    <t>MOCK-670067</t>
  </si>
  <si>
    <t>SKU-7769</t>
  </si>
  <si>
    <t>MOCK-880486</t>
  </si>
  <si>
    <t>SKU-4828</t>
  </si>
  <si>
    <t>MOCK-775282</t>
  </si>
  <si>
    <t>SKU-4265</t>
  </si>
  <si>
    <t>MOCK-946307</t>
  </si>
  <si>
    <t>MOCK-861361</t>
  </si>
  <si>
    <t>SKU-7089</t>
  </si>
  <si>
    <t>MOCK-339678</t>
  </si>
  <si>
    <t>SKU-4786</t>
  </si>
  <si>
    <t>MOCK-396311</t>
  </si>
  <si>
    <t>SKU-5052</t>
  </si>
  <si>
    <t>MOCK-459755</t>
  </si>
  <si>
    <t>SKU-4246</t>
  </si>
  <si>
    <t>MOCK-147842</t>
  </si>
  <si>
    <t>SKU-7563</t>
  </si>
  <si>
    <t>MOCK-188349</t>
  </si>
  <si>
    <t>SKU-4723</t>
  </si>
  <si>
    <t>MOCK-710264</t>
  </si>
  <si>
    <t>SKU-9816</t>
  </si>
  <si>
    <t>MOCK-947641</t>
  </si>
  <si>
    <t>SKU-7430</t>
  </si>
  <si>
    <t>MOCK-619001</t>
  </si>
  <si>
    <t>SKU-3292</t>
  </si>
  <si>
    <t>MOCK-115602</t>
  </si>
  <si>
    <t>SKU-5860</t>
  </si>
  <si>
    <t>MOCK-601260</t>
  </si>
  <si>
    <t>SKU-3131</t>
  </si>
  <si>
    <t>MOCK-339341</t>
  </si>
  <si>
    <t>SKU-3429</t>
  </si>
  <si>
    <t>MOCK-963966</t>
  </si>
  <si>
    <t>SKU-7005</t>
  </si>
  <si>
    <t>MOCK-473683</t>
  </si>
  <si>
    <t>Day 19  —  Daily Entry</t>
  </si>
  <si>
    <t>SKU-2647</t>
  </si>
  <si>
    <t>MOCK-679605</t>
  </si>
  <si>
    <t>SKU-7106</t>
  </si>
  <si>
    <t>MOCK-992131</t>
  </si>
  <si>
    <t>SKU-3222</t>
  </si>
  <si>
    <t>MOCK-731598</t>
  </si>
  <si>
    <t>SKU-2918</t>
  </si>
  <si>
    <t>MOCK-981845</t>
  </si>
  <si>
    <t>SKU-4674</t>
  </si>
  <si>
    <t>MOCK-749278</t>
  </si>
  <si>
    <t>SKU-3051</t>
  </si>
  <si>
    <t>MOCK-817350</t>
  </si>
  <si>
    <t>SKU-2985</t>
  </si>
  <si>
    <t>MOCK-506721</t>
  </si>
  <si>
    <t>SKU-3679</t>
  </si>
  <si>
    <t>MOCK-471960</t>
  </si>
  <si>
    <t>SKU-7024</t>
  </si>
  <si>
    <t>MOCK-662294</t>
  </si>
  <si>
    <t>SKU-1217</t>
  </si>
  <si>
    <t>MOCK-713881</t>
  </si>
  <si>
    <t>SKU-5808</t>
  </si>
  <si>
    <t>MOCK-919370</t>
  </si>
  <si>
    <t>SKU-1234</t>
  </si>
  <si>
    <t>MOCK-393817</t>
  </si>
  <si>
    <t>SKU-2847</t>
  </si>
  <si>
    <t>MOCK-831842</t>
  </si>
  <si>
    <t>SKU-1550</t>
  </si>
  <si>
    <t>MOCK-404312</t>
  </si>
  <si>
    <t>SKU-6812</t>
  </si>
  <si>
    <t>MOCK-621939</t>
  </si>
  <si>
    <t>SKU-9407</t>
  </si>
  <si>
    <t>MOCK-558465</t>
  </si>
  <si>
    <t>SKU-9718</t>
  </si>
  <si>
    <t>MOCK-841358</t>
  </si>
  <si>
    <t>SKU-4740</t>
  </si>
  <si>
    <t>MOCK-287824</t>
  </si>
  <si>
    <t>SKU-2521</t>
  </si>
  <si>
    <t>MOCK-863217</t>
  </si>
  <si>
    <t>SKU-9057</t>
  </si>
  <si>
    <t>MOCK-151828</t>
  </si>
  <si>
    <t>SKU-9525</t>
  </si>
  <si>
    <t>MOCK-556434</t>
  </si>
  <si>
    <t>SKU-9340</t>
  </si>
  <si>
    <t>MOCK-346498</t>
  </si>
  <si>
    <t>SKU-3339</t>
  </si>
  <si>
    <t>MOCK-587082</t>
  </si>
  <si>
    <t>SKU-7626</t>
  </si>
  <si>
    <t>MOCK-816290</t>
  </si>
  <si>
    <t>SKU-8877</t>
  </si>
  <si>
    <t>MOCK-757734</t>
  </si>
  <si>
    <t>SKU-5833</t>
  </si>
  <si>
    <t>MOCK-721613</t>
  </si>
  <si>
    <t>SKU-8893</t>
  </si>
  <si>
    <t>MOCK-354689</t>
  </si>
  <si>
    <t>Day 20  —  Daily Entry</t>
  </si>
  <si>
    <t>SKU-9044</t>
  </si>
  <si>
    <t>MOCK-441121</t>
  </si>
  <si>
    <t>SKU-2201</t>
  </si>
  <si>
    <t>MOCK-530071</t>
  </si>
  <si>
    <t>SKU-4839</t>
  </si>
  <si>
    <t>MOCK-840861</t>
  </si>
  <si>
    <t>SKU-4257</t>
  </si>
  <si>
    <t>MOCK-387315</t>
  </si>
  <si>
    <t>SKU-6461</t>
  </si>
  <si>
    <t>MOCK-853622</t>
  </si>
  <si>
    <t>SKU-7436</t>
  </si>
  <si>
    <t>MOCK-154288</t>
  </si>
  <si>
    <t>SKU-5542</t>
  </si>
  <si>
    <t>MOCK-606595</t>
  </si>
  <si>
    <t>SKU-1793</t>
  </si>
  <si>
    <t>MOCK-558784</t>
  </si>
  <si>
    <t>SKU-9879</t>
  </si>
  <si>
    <t>MOCK-842545</t>
  </si>
  <si>
    <t>SKU-3891</t>
  </si>
  <si>
    <t>MOCK-762480</t>
  </si>
  <si>
    <t>SKU-3187</t>
  </si>
  <si>
    <t>MOCK-681578</t>
  </si>
  <si>
    <t>SKU-5051</t>
  </si>
  <si>
    <t>MOCK-245262</t>
  </si>
  <si>
    <t>SKU-2708</t>
  </si>
  <si>
    <t>MOCK-923202</t>
  </si>
  <si>
    <t>SKU-3161</t>
  </si>
  <si>
    <t>MOCK-162077</t>
  </si>
  <si>
    <t>SKU-8566</t>
  </si>
  <si>
    <t>MOCK-378892</t>
  </si>
  <si>
    <t>SKU-6231</t>
  </si>
  <si>
    <t>MOCK-280533</t>
  </si>
  <si>
    <t>SKU-9119</t>
  </si>
  <si>
    <t>MOCK-610693</t>
  </si>
  <si>
    <t>SKU-1775</t>
  </si>
  <si>
    <t>MOCK-861396</t>
  </si>
  <si>
    <t>SKU-9132</t>
  </si>
  <si>
    <t>MOCK-760648</t>
  </si>
  <si>
    <t>SKU-8767</t>
  </si>
  <si>
    <t>MOCK-174938</t>
  </si>
  <si>
    <t>SKU-1228</t>
  </si>
  <si>
    <t>MOCK-965737</t>
  </si>
  <si>
    <t>SKU-5187</t>
  </si>
  <si>
    <t>MOCK-531083</t>
  </si>
  <si>
    <t>SKU-8962</t>
  </si>
  <si>
    <t>MOCK-790855</t>
  </si>
  <si>
    <t>SKU-4616</t>
  </si>
  <si>
    <t>MOCK-777236</t>
  </si>
  <si>
    <t>SKU-8105</t>
  </si>
  <si>
    <t>MOCK-456854</t>
  </si>
  <si>
    <t>SKU-1555</t>
  </si>
  <si>
    <t>MOCK-100057</t>
  </si>
  <si>
    <t>SKU-3070</t>
  </si>
  <si>
    <t>MOCK-317355</t>
  </si>
  <si>
    <t>SKU-8011</t>
  </si>
  <si>
    <t>MOCK-250502</t>
  </si>
  <si>
    <t>SKU-8393</t>
  </si>
  <si>
    <t>MOCK-626338</t>
  </si>
  <si>
    <t>MOCK-412558</t>
  </si>
  <si>
    <t>Day 21  —  Daily Entry</t>
  </si>
  <si>
    <t>SKU-6210</t>
  </si>
  <si>
    <t>MOCK-368443</t>
  </si>
  <si>
    <t>SKU-1306</t>
  </si>
  <si>
    <t>MOCK-431290</t>
  </si>
  <si>
    <t>SKU-8882</t>
  </si>
  <si>
    <t>MOCK-868799</t>
  </si>
  <si>
    <t>SKU-1638</t>
  </si>
  <si>
    <t>MOCK-174295</t>
  </si>
  <si>
    <t>MOCK-127645</t>
  </si>
  <si>
    <t>SKU-7670</t>
  </si>
  <si>
    <t>MOCK-652050</t>
  </si>
  <si>
    <t>SKU-4635</t>
  </si>
  <si>
    <t>MOCK-355545</t>
  </si>
  <si>
    <t>SKU-3498</t>
  </si>
  <si>
    <t>MOCK-334153</t>
  </si>
  <si>
    <t>SKU-3835</t>
  </si>
  <si>
    <t>MOCK-504399</t>
  </si>
  <si>
    <t>SKU-5177</t>
  </si>
  <si>
    <t>MOCK-638639</t>
  </si>
  <si>
    <t>SKU-4230</t>
  </si>
  <si>
    <t>MOCK-600451</t>
  </si>
  <si>
    <t>SKU-8963</t>
  </si>
  <si>
    <t>MOCK-295483</t>
  </si>
  <si>
    <t>SKU-2094</t>
  </si>
  <si>
    <t>MOCK-111497</t>
  </si>
  <si>
    <t>SKU-6689</t>
  </si>
  <si>
    <t>MOCK-951744</t>
  </si>
  <si>
    <t>SKU-3901</t>
  </si>
  <si>
    <t>MOCK-429394</t>
  </si>
  <si>
    <t>SKU-9838</t>
  </si>
  <si>
    <t>MOCK-457068</t>
  </si>
  <si>
    <t>SKU-7818</t>
  </si>
  <si>
    <t>MOCK-395991</t>
  </si>
  <si>
    <t>SKU-9850</t>
  </si>
  <si>
    <t>MOCK-109814</t>
  </si>
  <si>
    <t>SKU-1530</t>
  </si>
  <si>
    <t>MOCK-405891</t>
  </si>
  <si>
    <t>SKU-5448</t>
  </si>
  <si>
    <t>MOCK-999745</t>
  </si>
  <si>
    <t>SKU-1093</t>
  </si>
  <si>
    <t>MOCK-526245</t>
  </si>
  <si>
    <t>SKU-9888</t>
  </si>
  <si>
    <t>MOCK-198991</t>
  </si>
  <si>
    <t>SKU-8296</t>
  </si>
  <si>
    <t>MOCK-113688</t>
  </si>
  <si>
    <t>Day 22  —  Daily Entry</t>
  </si>
  <si>
    <t>SKU-1961</t>
  </si>
  <si>
    <t>MOCK-946797</t>
  </si>
  <si>
    <t>SKU-7352</t>
  </si>
  <si>
    <t>MOCK-273175</t>
  </si>
  <si>
    <t>SKU-5965</t>
  </si>
  <si>
    <t>MOCK-480967</t>
  </si>
  <si>
    <t>SKU-6306</t>
  </si>
  <si>
    <t>MOCK-201543</t>
  </si>
  <si>
    <t>MOCK-922372</t>
  </si>
  <si>
    <t>SKU-8060</t>
  </si>
  <si>
    <t>MOCK-635269</t>
  </si>
  <si>
    <t>SKU-3606</t>
  </si>
  <si>
    <t>MOCK-577949</t>
  </si>
  <si>
    <t>SKU-9562</t>
  </si>
  <si>
    <t>MOCK-479972</t>
  </si>
  <si>
    <t>SKU-4044</t>
  </si>
  <si>
    <t>MOCK-897416</t>
  </si>
  <si>
    <t>SKU-8926</t>
  </si>
  <si>
    <t>MOCK-406956</t>
  </si>
  <si>
    <t>MOCK-752953</t>
  </si>
  <si>
    <t>SKU-3547</t>
  </si>
  <si>
    <t>MOCK-543194</t>
  </si>
  <si>
    <t>SKU-8875</t>
  </si>
  <si>
    <t>MOCK-627896</t>
  </si>
  <si>
    <t>SKU-6769</t>
  </si>
  <si>
    <t>MOCK-344443</t>
  </si>
  <si>
    <t>SKU-2151</t>
  </si>
  <si>
    <t>MOCK-885022</t>
  </si>
  <si>
    <t>SKU-4747</t>
  </si>
  <si>
    <t>MOCK-440488</t>
  </si>
  <si>
    <t>MOCK-415210</t>
  </si>
  <si>
    <t>SKU-5671</t>
  </si>
  <si>
    <t>MOCK-226626</t>
  </si>
  <si>
    <t>SKU-7029</t>
  </si>
  <si>
    <t>MOCK-986629</t>
  </si>
  <si>
    <t>SKU-8567</t>
  </si>
  <si>
    <t>MOCK-328991</t>
  </si>
  <si>
    <t>SKU-4925</t>
  </si>
  <si>
    <t>MOCK-183340</t>
  </si>
  <si>
    <t>SKU-9614</t>
  </si>
  <si>
    <t>MOCK-867358</t>
  </si>
  <si>
    <t>MOCK-521694</t>
  </si>
  <si>
    <t>SKU-6294</t>
  </si>
  <si>
    <t>MOCK-772723</t>
  </si>
  <si>
    <t>SKU-3909</t>
  </si>
  <si>
    <t>MOCK-646006</t>
  </si>
  <si>
    <t>SKU-4977</t>
  </si>
  <si>
    <t>MOCK-545326</t>
  </si>
  <si>
    <t>SKU-7348</t>
  </si>
  <si>
    <t>MOCK-979305</t>
  </si>
  <si>
    <t>SKU-9924</t>
  </si>
  <si>
    <t>MOCK-201344</t>
  </si>
  <si>
    <t>SKU-8251</t>
  </si>
  <si>
    <t>MOCK-162707</t>
  </si>
  <si>
    <t>Day 23  —  Daily Entry</t>
  </si>
  <si>
    <t>SKU-5573</t>
  </si>
  <si>
    <t>MOCK-870956</t>
  </si>
  <si>
    <t>SKU-9395</t>
  </si>
  <si>
    <t>MOCK-685664</t>
  </si>
  <si>
    <t>MOCK-896233</t>
  </si>
  <si>
    <t>SKU-2449</t>
  </si>
  <si>
    <t>MOCK-974302</t>
  </si>
  <si>
    <t>SKU-4316</t>
  </si>
  <si>
    <t>MOCK-194392</t>
  </si>
  <si>
    <t>SKU-2253</t>
  </si>
  <si>
    <t>MOCK-797037</t>
  </si>
  <si>
    <t>SKU-6170</t>
  </si>
  <si>
    <t>MOCK-143608</t>
  </si>
  <si>
    <t>SKU-3648</t>
  </si>
  <si>
    <t>MOCK-963520</t>
  </si>
  <si>
    <t>SKU-2823</t>
  </si>
  <si>
    <t>MOCK-131629</t>
  </si>
  <si>
    <t>SKU-7996</t>
  </si>
  <si>
    <t>MOCK-802451</t>
  </si>
  <si>
    <t>SKU-4514</t>
  </si>
  <si>
    <t>MOCK-248531</t>
  </si>
  <si>
    <t>SKU-6683</t>
  </si>
  <si>
    <t>MOCK-671802</t>
  </si>
  <si>
    <t>SKU-8544</t>
  </si>
  <si>
    <t>MOCK-983102</t>
  </si>
  <si>
    <t>SKU-7472</t>
  </si>
  <si>
    <t>MOCK-284593</t>
  </si>
  <si>
    <t>SKU-6911</t>
  </si>
  <si>
    <t>MOCK-853012</t>
  </si>
  <si>
    <t>SKU-1344</t>
  </si>
  <si>
    <t>MOCK-356836</t>
  </si>
  <si>
    <t>SKU-7179</t>
  </si>
  <si>
    <t>MOCK-566450</t>
  </si>
  <si>
    <t>SKU-1568</t>
  </si>
  <si>
    <t>MOCK-749782</t>
  </si>
  <si>
    <t>SKU-2702</t>
  </si>
  <si>
    <t>MOCK-764713</t>
  </si>
  <si>
    <t>SKU-7303</t>
  </si>
  <si>
    <t>MOCK-279907</t>
  </si>
  <si>
    <t>SKU-8569</t>
  </si>
  <si>
    <t>MOCK-900600</t>
  </si>
  <si>
    <t>SKU-5980</t>
  </si>
  <si>
    <t>MOCK-504634</t>
  </si>
  <si>
    <t>SKU-1422</t>
  </si>
  <si>
    <t>MOCK-801941</t>
  </si>
  <si>
    <t>SKU-1188</t>
  </si>
  <si>
    <t>MOCK-290089</t>
  </si>
  <si>
    <t>SKU-6754</t>
  </si>
  <si>
    <t>MOCK-702875</t>
  </si>
  <si>
    <t>SKU-1792</t>
  </si>
  <si>
    <t>MOCK-234033</t>
  </si>
  <si>
    <t>SKU-1665</t>
  </si>
  <si>
    <t>MOCK-717822</t>
  </si>
  <si>
    <t>SKU-8382</t>
  </si>
  <si>
    <t>MOCK-448598</t>
  </si>
  <si>
    <t>SKU-9037</t>
  </si>
  <si>
    <t>MOCK-224076</t>
  </si>
  <si>
    <t>Day 24  —  Daily Entry</t>
  </si>
  <si>
    <t>MOCK-919340</t>
  </si>
  <si>
    <t>SKU-1426</t>
  </si>
  <si>
    <t>MOCK-858493</t>
  </si>
  <si>
    <t>SKU-4585</t>
  </si>
  <si>
    <t>MOCK-128757</t>
  </si>
  <si>
    <t>SKU-1920</t>
  </si>
  <si>
    <t>MOCK-859339</t>
  </si>
  <si>
    <t>SKU-5409</t>
  </si>
  <si>
    <t>MOCK-961862</t>
  </si>
  <si>
    <t>MOCK-663263</t>
  </si>
  <si>
    <t>SKU-6707</t>
  </si>
  <si>
    <t>MOCK-988141</t>
  </si>
  <si>
    <t>SKU-1505</t>
  </si>
  <si>
    <t>MOCK-791254</t>
  </si>
  <si>
    <t>SKU-9260</t>
  </si>
  <si>
    <t>MOCK-186208</t>
  </si>
  <si>
    <t>SKU-3571</t>
  </si>
  <si>
    <t>MOCK-686645</t>
  </si>
  <si>
    <t>MOCK-562770</t>
  </si>
  <si>
    <t>SKU-9532</t>
  </si>
  <si>
    <t>MOCK-829144</t>
  </si>
  <si>
    <t>MOCK-194812</t>
  </si>
  <si>
    <t>SKU-9672</t>
  </si>
  <si>
    <t>MOCK-628293</t>
  </si>
  <si>
    <t>SKU-3494</t>
  </si>
  <si>
    <t>MOCK-857967</t>
  </si>
  <si>
    <t>SKU-1384</t>
  </si>
  <si>
    <t>MOCK-472871</t>
  </si>
  <si>
    <t>SKU-3813</t>
  </si>
  <si>
    <t>MOCK-525885</t>
  </si>
  <si>
    <t>SKU-9235</t>
  </si>
  <si>
    <t>MOCK-196055</t>
  </si>
  <si>
    <t>Day 25  —  Daily Entry</t>
  </si>
  <si>
    <t>SKU-5847</t>
  </si>
  <si>
    <t>MOCK-599334</t>
  </si>
  <si>
    <t>SKU-1907</t>
  </si>
  <si>
    <t>MOCK-172346</t>
  </si>
  <si>
    <t>SKU-5690</t>
  </si>
  <si>
    <t>MOCK-435740</t>
  </si>
  <si>
    <t>SKU-8177</t>
  </si>
  <si>
    <t>MOCK-828925</t>
  </si>
  <si>
    <t>SKU-3326</t>
  </si>
  <si>
    <t>MOCK-626510</t>
  </si>
  <si>
    <t>SKU-6020</t>
  </si>
  <si>
    <t>MOCK-690739</t>
  </si>
  <si>
    <t>SKU-6370</t>
  </si>
  <si>
    <t>MOCK-390363</t>
  </si>
  <si>
    <t>SKU-7058</t>
  </si>
  <si>
    <t>MOCK-453414</t>
  </si>
  <si>
    <t>SKU-4437</t>
  </si>
  <si>
    <t>MOCK-641321</t>
  </si>
  <si>
    <t>SKU-4646</t>
  </si>
  <si>
    <t>MOCK-758221</t>
  </si>
  <si>
    <t>SKU-1629</t>
  </si>
  <si>
    <t>MOCK-937782</t>
  </si>
  <si>
    <t>SKU-6318</t>
  </si>
  <si>
    <t>MOCK-537954</t>
  </si>
  <si>
    <t>SKU-5516</t>
  </si>
  <si>
    <t>MOCK-500268</t>
  </si>
  <si>
    <t>SKU-2108</t>
  </si>
  <si>
    <t>MOCK-400594</t>
  </si>
  <si>
    <t>SKU-2638</t>
  </si>
  <si>
    <t>MOCK-171070</t>
  </si>
  <si>
    <t>SKU-1454</t>
  </si>
  <si>
    <t>MOCK-944987</t>
  </si>
  <si>
    <t>SKU-5225</t>
  </si>
  <si>
    <t>MOCK-499477</t>
  </si>
  <si>
    <t>SKU-2159</t>
  </si>
  <si>
    <t>MOCK-312070</t>
  </si>
  <si>
    <t>SKU-2155</t>
  </si>
  <si>
    <t>MOCK-860141</t>
  </si>
  <si>
    <t>SKU-6846</t>
  </si>
  <si>
    <t>MOCK-397019</t>
  </si>
  <si>
    <t>SKU-5269</t>
  </si>
  <si>
    <t>MOCK-761644</t>
  </si>
  <si>
    <t>Day 26  —  Daily Entry</t>
  </si>
  <si>
    <t>SKU-4608</t>
  </si>
  <si>
    <t>MOCK-822344</t>
  </si>
  <si>
    <t>SKU-4810</t>
  </si>
  <si>
    <t>MOCK-661613</t>
  </si>
  <si>
    <t>SKU-1999</t>
  </si>
  <si>
    <t>MOCK-904248</t>
  </si>
  <si>
    <t>SKU-5484</t>
  </si>
  <si>
    <t>MOCK-841482</t>
  </si>
  <si>
    <t>SKU-1246</t>
  </si>
  <si>
    <t>MOCK-426777</t>
  </si>
  <si>
    <t>SKU-9027</t>
  </si>
  <si>
    <t>MOCK-272991</t>
  </si>
  <si>
    <t>MOCK-639431</t>
  </si>
  <si>
    <t>SKU-6568</t>
  </si>
  <si>
    <t>MOCK-951275</t>
  </si>
  <si>
    <t>SKU-1300</t>
  </si>
  <si>
    <t>MOCK-968479</t>
  </si>
  <si>
    <t>SKU-1064</t>
  </si>
  <si>
    <t>MOCK-514935</t>
  </si>
  <si>
    <t>SKU-1686</t>
  </si>
  <si>
    <t>MOCK-833118</t>
  </si>
  <si>
    <t>SKU-8674</t>
  </si>
  <si>
    <t>MOCK-936608</t>
  </si>
  <si>
    <t>SKU-7622</t>
  </si>
  <si>
    <t>MOCK-893931</t>
  </si>
  <si>
    <t>SKU-6781</t>
  </si>
  <si>
    <t>MOCK-359140</t>
  </si>
  <si>
    <t>SKU-5471</t>
  </si>
  <si>
    <t>MOCK-442634</t>
  </si>
  <si>
    <t>SKU-2284</t>
  </si>
  <si>
    <t>MOCK-925425</t>
  </si>
  <si>
    <t>SKU-4777</t>
  </si>
  <si>
    <t>MOCK-416683</t>
  </si>
  <si>
    <t>MOCK-592246</t>
  </si>
  <si>
    <t>SKU-8282</t>
  </si>
  <si>
    <t>MOCK-376010</t>
  </si>
  <si>
    <t>SKU-7259</t>
  </si>
  <si>
    <t>MOCK-371678</t>
  </si>
  <si>
    <t>Day 27  —  Daily Entry</t>
  </si>
  <si>
    <t>SKU-2299</t>
  </si>
  <si>
    <t>MOCK-461088</t>
  </si>
  <si>
    <t>SKU-7732</t>
  </si>
  <si>
    <t>MOCK-312131</t>
  </si>
  <si>
    <t>SKU-6630</t>
  </si>
  <si>
    <t>MOCK-827048</t>
  </si>
  <si>
    <t>SKU-2491</t>
  </si>
  <si>
    <t>MOCK-978400</t>
  </si>
  <si>
    <t>SKU-5497</t>
  </si>
  <si>
    <t>MOCK-369303</t>
  </si>
  <si>
    <t>SKU-5444</t>
  </si>
  <si>
    <t>MOCK-335903</t>
  </si>
  <si>
    <t>SKU-8555</t>
  </si>
  <si>
    <t>MOCK-242346</t>
  </si>
  <si>
    <t>SKU-3896</t>
  </si>
  <si>
    <t>MOCK-320321</t>
  </si>
  <si>
    <t>SKU-3965</t>
  </si>
  <si>
    <t>MOCK-473436</t>
  </si>
  <si>
    <t>SKU-8399</t>
  </si>
  <si>
    <t>MOCK-687042</t>
  </si>
  <si>
    <t>MOCK-740703</t>
  </si>
  <si>
    <t>SKU-9312</t>
  </si>
  <si>
    <t>MOCK-486624</t>
  </si>
  <si>
    <t>SKU-3843</t>
  </si>
  <si>
    <t>MOCK-689647</t>
  </si>
  <si>
    <t>SKU-8497</t>
  </si>
  <si>
    <t>MOCK-464656</t>
  </si>
  <si>
    <t>SKU-5105</t>
  </si>
  <si>
    <t>MOCK-447212</t>
  </si>
  <si>
    <t>SKU-2901</t>
  </si>
  <si>
    <t>MOCK-620572</t>
  </si>
  <si>
    <t>SKU-3293</t>
  </si>
  <si>
    <t>MOCK-878183</t>
  </si>
  <si>
    <t>SKU-7098</t>
  </si>
  <si>
    <t>MOCK-702966</t>
  </si>
  <si>
    <t>MOCK-582369</t>
  </si>
  <si>
    <t>SKU-7666</t>
  </si>
  <si>
    <t>MOCK-158557</t>
  </si>
  <si>
    <t>Day 28  —  Daily Entry</t>
  </si>
  <si>
    <t>SKU-4418</t>
  </si>
  <si>
    <t>MOCK-715264</t>
  </si>
  <si>
    <t>SKU-6083</t>
  </si>
  <si>
    <t>MOCK-881273</t>
  </si>
  <si>
    <t>SKU-3466</t>
  </si>
  <si>
    <t>MOCK-201693</t>
  </si>
  <si>
    <t>SKU-6349</t>
  </si>
  <si>
    <t>MOCK-405849</t>
  </si>
  <si>
    <t>SKU-8626</t>
  </si>
  <si>
    <t>MOCK-451580</t>
  </si>
  <si>
    <t>SKU-6651</t>
  </si>
  <si>
    <t>MOCK-967052</t>
  </si>
  <si>
    <t>SKU-9650</t>
  </si>
  <si>
    <t>MOCK-854711</t>
  </si>
  <si>
    <t>SKU-7988</t>
  </si>
  <si>
    <t>MOCK-195328</t>
  </si>
  <si>
    <t>SKU-6633</t>
  </si>
  <si>
    <t>MOCK-768628</t>
  </si>
  <si>
    <t>MOCK-914701</t>
  </si>
  <si>
    <t>SKU-2753</t>
  </si>
  <si>
    <t>MOCK-670076</t>
  </si>
  <si>
    <t>SKU-1471</t>
  </si>
  <si>
    <t>MOCK-866606</t>
  </si>
  <si>
    <t>SKU-4612</t>
  </si>
  <si>
    <t>MOCK-720135</t>
  </si>
  <si>
    <t>SKU-7403</t>
  </si>
  <si>
    <t>MOCK-935969</t>
  </si>
  <si>
    <t>SKU-8881</t>
  </si>
  <si>
    <t>MOCK-161254</t>
  </si>
  <si>
    <t>SKU-8260</t>
  </si>
  <si>
    <t>MOCK-733660</t>
  </si>
  <si>
    <t>MOCK-679567</t>
  </si>
  <si>
    <t>SKU-6023</t>
  </si>
  <si>
    <t>MOCK-343717</t>
  </si>
  <si>
    <t>SKU-9503</t>
  </si>
  <si>
    <t>MOCK-890051</t>
  </si>
  <si>
    <t>SKU-5048</t>
  </si>
  <si>
    <t>MOCK-702826</t>
  </si>
  <si>
    <t>SKU-6657</t>
  </si>
  <si>
    <t>MOCK-324817</t>
  </si>
  <si>
    <t>SKU-9612</t>
  </si>
  <si>
    <t>MOCK-585110</t>
  </si>
  <si>
    <t>SKU-3726</t>
  </si>
  <si>
    <t>MOCK-378404</t>
  </si>
  <si>
    <t>SKU-6572</t>
  </si>
  <si>
    <t>MOCK-387377</t>
  </si>
  <si>
    <t>SKU-6259</t>
  </si>
  <si>
    <t>MOCK-611813</t>
  </si>
  <si>
    <t>SKU-9246</t>
  </si>
  <si>
    <t>MOCK-197351</t>
  </si>
  <si>
    <t>SKU-3311</t>
  </si>
  <si>
    <t>MOCK-550207</t>
  </si>
  <si>
    <t>SKU-5663</t>
  </si>
  <si>
    <t>MOCK-423494</t>
  </si>
  <si>
    <t>SKU-4043</t>
  </si>
  <si>
    <t>MOCK-627114</t>
  </si>
  <si>
    <t>SKU-3609</t>
  </si>
  <si>
    <t>MOCK-261287</t>
  </si>
  <si>
    <t>Day 29  —  Daily Entry</t>
  </si>
  <si>
    <t>SKU-4927</t>
  </si>
  <si>
    <t>MOCK-758326</t>
  </si>
  <si>
    <t>SKU-2866</t>
  </si>
  <si>
    <t>MOCK-611578</t>
  </si>
  <si>
    <t>SKU-5172</t>
  </si>
  <si>
    <t>MOCK-643764</t>
  </si>
  <si>
    <t>MOCK-245705</t>
  </si>
  <si>
    <t>SKU-7727</t>
  </si>
  <si>
    <t>MOCK-776253</t>
  </si>
  <si>
    <t>SKU-2961</t>
  </si>
  <si>
    <t>MOCK-552649</t>
  </si>
  <si>
    <t>SKU-4314</t>
  </si>
  <si>
    <t>MOCK-259135</t>
  </si>
  <si>
    <t>SKU-6087</t>
  </si>
  <si>
    <t>MOCK-108656</t>
  </si>
  <si>
    <t>SKU-9225</t>
  </si>
  <si>
    <t>MOCK-422918</t>
  </si>
  <si>
    <t>SKU-9104</t>
  </si>
  <si>
    <t>MOCK-960865</t>
  </si>
  <si>
    <t>SKU-7356</t>
  </si>
  <si>
    <t>MOCK-942391</t>
  </si>
  <si>
    <t>SKU-1623</t>
  </si>
  <si>
    <t>MOCK-717296</t>
  </si>
  <si>
    <t>SKU-3643</t>
  </si>
  <si>
    <t>MOCK-662454</t>
  </si>
  <si>
    <t>SKU-6450</t>
  </si>
  <si>
    <t>MOCK-867528</t>
  </si>
  <si>
    <t>SKU-6481</t>
  </si>
  <si>
    <t>MOCK-425271</t>
  </si>
  <si>
    <t>SKU-6787</t>
  </si>
  <si>
    <t>MOCK-698095</t>
  </si>
  <si>
    <t>SKU-1401</t>
  </si>
  <si>
    <t>MOCK-194884</t>
  </si>
  <si>
    <t>SKU-8610</t>
  </si>
  <si>
    <t>MOCK-786125</t>
  </si>
  <si>
    <t>SKU-6329</t>
  </si>
  <si>
    <t>MOCK-287491</t>
  </si>
  <si>
    <t>MOCK-825834</t>
  </si>
  <si>
    <t>SKU-2856</t>
  </si>
  <si>
    <t>MOCK-303105</t>
  </si>
  <si>
    <t>SKU-8852</t>
  </si>
  <si>
    <t>MOCK-323040</t>
  </si>
  <si>
    <t>SKU-9447</t>
  </si>
  <si>
    <t>MOCK-769112</t>
  </si>
  <si>
    <t>Day 30  —  Daily Entry</t>
  </si>
  <si>
    <t>SKU-1462</t>
  </si>
  <si>
    <t>MOCK-213491</t>
  </si>
  <si>
    <t>SKU-9754</t>
  </si>
  <si>
    <t>MOCK-264674</t>
  </si>
  <si>
    <t>SKU-9310</t>
  </si>
  <si>
    <t>MOCK-592593</t>
  </si>
  <si>
    <t>SKU-9032</t>
  </si>
  <si>
    <t>MOCK-569033</t>
  </si>
  <si>
    <t>SKU-6412</t>
  </si>
  <si>
    <t>MOCK-809432</t>
  </si>
  <si>
    <t>SKU-2377</t>
  </si>
  <si>
    <t>MOCK-318070</t>
  </si>
  <si>
    <t>SKU-7826</t>
  </si>
  <si>
    <t>MOCK-653201</t>
  </si>
  <si>
    <t>SKU-1247</t>
  </si>
  <si>
    <t>MOCK-368053</t>
  </si>
  <si>
    <t>SKU-5313</t>
  </si>
  <si>
    <t>MOCK-623911</t>
  </si>
  <si>
    <t>MOCK-935800</t>
  </si>
  <si>
    <t>SKU-7737</t>
  </si>
  <si>
    <t>MOCK-748331</t>
  </si>
  <si>
    <t>SKU-9113</t>
  </si>
  <si>
    <t>MOCK-979454</t>
  </si>
  <si>
    <t>SKU-5112</t>
  </si>
  <si>
    <t>MOCK-727593</t>
  </si>
  <si>
    <t>SKU-6650</t>
  </si>
  <si>
    <t>MOCK-159562</t>
  </si>
  <si>
    <t>SKU-5737</t>
  </si>
  <si>
    <t>MOCK-554943</t>
  </si>
  <si>
    <t>SKU-2793</t>
  </si>
  <si>
    <t>MOCK-960829</t>
  </si>
  <si>
    <t>SKU-4938</t>
  </si>
  <si>
    <t>MOCK-281405</t>
  </si>
  <si>
    <t>SKU-8647</t>
  </si>
  <si>
    <t>MOCK-855064</t>
  </si>
  <si>
    <t>SKU-5556</t>
  </si>
  <si>
    <t>MOCK-420269</t>
  </si>
  <si>
    <t>SKU-8095</t>
  </si>
  <si>
    <t>MOCK-956694</t>
  </si>
  <si>
    <t>SKU-1523</t>
  </si>
  <si>
    <t>MOCK-909187</t>
  </si>
  <si>
    <t>SKU-2252</t>
  </si>
  <si>
    <t>MOCK-898921</t>
  </si>
  <si>
    <t>SKU-6400</t>
  </si>
  <si>
    <t>MOCK-273921</t>
  </si>
  <si>
    <t>Day 31  —  Daily Entry</t>
  </si>
  <si>
    <t>SKU-1477</t>
  </si>
  <si>
    <t>MOCK-851506</t>
  </si>
  <si>
    <t>SKU-7104</t>
  </si>
  <si>
    <t>MOCK-165798</t>
  </si>
  <si>
    <t>MOCK-737556</t>
  </si>
  <si>
    <t>SKU-6954</t>
  </si>
  <si>
    <t>MOCK-615637</t>
  </si>
  <si>
    <t>SKU-2275</t>
  </si>
  <si>
    <t>MOCK-728195</t>
  </si>
  <si>
    <t>MOCK-317920</t>
  </si>
  <si>
    <t>SKU-4261</t>
  </si>
  <si>
    <t>MOCK-933910</t>
  </si>
  <si>
    <t>MOCK-346792</t>
  </si>
  <si>
    <t>SKU-9051</t>
  </si>
  <si>
    <t>MOCK-117690</t>
  </si>
  <si>
    <t>SKU-9519</t>
  </si>
  <si>
    <t>MOCK-366152</t>
  </si>
  <si>
    <t>SKU-6508</t>
  </si>
  <si>
    <t>MOCK-655180</t>
  </si>
  <si>
    <t>SKU-4392</t>
  </si>
  <si>
    <t>MOCK-639930</t>
  </si>
  <si>
    <t>SKU-5894</t>
  </si>
  <si>
    <t>MOCK-710531</t>
  </si>
  <si>
    <t>SKU-2599</t>
  </si>
  <si>
    <t>MOCK-992069</t>
  </si>
  <si>
    <t>SKU-9919</t>
  </si>
  <si>
    <t>MOCK-544260</t>
  </si>
  <si>
    <t>SKU-8061</t>
  </si>
  <si>
    <t>MOCK-342152</t>
  </si>
  <si>
    <t>SKU-7237</t>
  </si>
  <si>
    <t>MOCK-819227</t>
  </si>
  <si>
    <t>SKU-5546</t>
  </si>
  <si>
    <t>MOCK-444838</t>
  </si>
  <si>
    <t>SKU-5734</t>
  </si>
  <si>
    <t>MOCK-837705</t>
  </si>
  <si>
    <t>SKU-9809</t>
  </si>
  <si>
    <t>MOCK-712883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</si>
</sst>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;;;"/>
  </numFmts>
  <fonts count="2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8"/>
      <color rgb="FF7A5300"/>
      <name val="Calibri"/>
    </font>
    <font>
      <b/>
      <sz val="9"/>
      <color rgb="FFFFFFFF"/>
      <name val="Calibri"/>
    </font>
    <font>
      <i/>
      <sz val="9"/>
      <color rgb="FF777777"/>
      <name val="Calibri"/>
    </font>
    <font>
      <b/>
      <sz val="11"/>
      <color rgb="FFFFFFFF"/>
      <name val="Calibri"/>
    </font>
    <font>
      <b/>
      <sz val="11"/>
      <name val="Calibri"/>
    </font>
    <font>
      <b/>
      <sz val="20"/>
      <color rgb="FFE8EEF5"/>
      <name val="Segoe UI"/>
    </font>
    <font>
      <i/>
      <sz val="9"/>
      <color rgb="FF8A97A6"/>
      <name val="Segoe UI"/>
    </font>
    <font>
      <b/>
      <sz val="9"/>
      <color rgb="FF7A5300"/>
      <name val="Segoe UI"/>
    </font>
    <font>
      <b/>
      <sz val="9"/>
      <color rgb="FFE20074"/>
      <name val="Segoe UI"/>
    </font>
    <font>
      <b/>
      <sz val="34"/>
      <color rgb="FFE8EEF5"/>
      <name val="Segoe UI"/>
    </font>
    <font>
      <sz val="8"/>
      <color rgb="FF8A97A6"/>
      <name val="Segoe UI"/>
    </font>
    <font>
      <b/>
      <sz val="13"/>
      <color rgb="FF8A97A6"/>
      <name val="Segoe UI"/>
    </font>
    <font>
      <b/>
      <sz val="11"/>
      <color rgb="FF3FD07A"/>
      <name val="Segoe UI"/>
    </font>
    <font>
      <b/>
      <sz val="10"/>
      <color rgb="FF8A97A6"/>
      <name val="Segoe UI"/>
    </font>
    <font>
      <sz val="10"/>
      <color rgb="FFE8EEF5"/>
      <name val="Segoe UI"/>
    </font>
    <font>
      <b/>
      <sz val="10"/>
      <color rgb="FF3FD07A"/>
      <name val="Segoe UI"/>
    </font>
    <font>
      <sz val="10"/>
      <color rgb="FF8A97A6"/>
      <name val="Segoe UI"/>
    </font>
    <font>
      <b/>
      <sz val="10"/>
      <color rgb="FFF5A623"/>
      <name val="Segoe UI"/>
    </font>
    <font>
      <b/>
      <sz val="8"/>
      <color rgb="FF8A97A6"/>
      <name val="Segoe UI"/>
    </font>
    <font>
      <b/>
      <sz val="9"/>
      <color rgb="FF8A97A6"/>
      <name val="Segoe UI"/>
    </font>
    <font>
      <b/>
      <sz val="16"/>
      <color rgb="FFE8EEF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2CC"/>
      </patternFill>
    </fill>
    <fill>
      <patternFill patternType="solid">
        <fgColor rgb="FFE20074"/>
      </patternFill>
    </fill>
    <fill>
      <patternFill patternType="solid">
        <fgColor rgb="FFFCE4EF"/>
      </patternFill>
    </fill>
    <fill>
      <patternFill patternType="solid">
        <fgColor rgb="FF0F1419"/>
      </patternFill>
    </fill>
    <fill>
      <patternFill patternType="solid">
        <fgColor rgb="FF232D3A"/>
      </patternFill>
    </fill>
    <fill>
      <patternFill patternType="solid">
        <fgColor rgb="FF1A212B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2C3847"/>
      </top>
      <bottom/>
      <diagonal/>
    </border>
    <border>
      <left/>
      <right/>
      <top/>
      <bottom style="thin">
        <color rgb="FF2C3847"/>
      </bottom>
      <diagonal/>
    </border>
    <border>
      <left style="thin">
        <color rgb="FF2C3847"/>
      </left>
      <right/>
      <top/>
      <bottom/>
      <diagonal/>
    </border>
    <border>
      <left/>
      <right style="thin">
        <color rgb="FF2C3847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6" borderId="0" xfId="0" applyFill="1"/>
    <xf numFmtId="0" fontId="0" fillId="7" borderId="4" xfId="0" applyFill="1" applyBorder="1"/>
    <xf numFmtId="0" fontId="0" fillId="7" borderId="2" xfId="0" applyFill="1" applyBorder="1"/>
    <xf numFmtId="0" fontId="0" fillId="7" borderId="5" xfId="0" applyFill="1" applyBorder="1"/>
    <xf numFmtId="0" fontId="0" fillId="8" borderId="4" xfId="0" applyFill="1" applyBorder="1"/>
    <xf numFmtId="0" fontId="0" fillId="8" borderId="2" xfId="0" applyFill="1" applyBorder="1"/>
    <xf numFmtId="0" fontId="0" fillId="8" borderId="5" xfId="0" applyFill="1" applyBorder="1"/>
    <xf numFmtId="0" fontId="0" fillId="7" borderId="0" xfId="0" applyFill="1"/>
    <xf numFmtId="0" fontId="0" fillId="8" borderId="0" xfId="0" applyFill="1"/>
    <xf numFmtId="0" fontId="0" fillId="7" borderId="3" xfId="0" applyFill="1" applyBorder="1"/>
    <xf numFmtId="0" fontId="0" fillId="8" borderId="3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165" fontId="0" fillId="0" borderId="1" xfId="0" applyNumberFormat="1" applyBorder="1"/>
    <xf numFmtId="9" fontId="0" fillId="0" borderId="1" xfId="0" applyNumberFormat="1" applyBorder="1"/>
    <xf numFmtId="0" fontId="4" fillId="0" borderId="0" xfId="0" applyFont="1"/>
    <xf numFmtId="164" fontId="0" fillId="0" borderId="1" xfId="0" applyNumberFormat="1" applyBorder="1"/>
    <xf numFmtId="0" fontId="5" fillId="4" borderId="0" xfId="0" applyFont="1" applyFill="1"/>
    <xf numFmtId="0" fontId="6" fillId="5" borderId="1" xfId="0" applyFont="1" applyFill="1" applyBorder="1"/>
    <xf numFmtId="164" fontId="6" fillId="5" borderId="1" xfId="0" applyNumberFormat="1" applyFont="1" applyFill="1" applyBorder="1"/>
    <xf numFmtId="0" fontId="20" fillId="8" borderId="0" xfId="0" applyFont="1" applyFill="1" applyAlignment="1">
      <alignment horizontal="left" vertical="center"/>
    </xf>
    <xf numFmtId="0" fontId="0" fillId="0" borderId="0" xfId="0"/>
    <xf numFmtId="165" fontId="22" fillId="8" borderId="0" xfId="0" applyNumberFormat="1" applyFont="1" applyFill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right" vertical="center"/>
    </xf>
    <xf numFmtId="0" fontId="10" fillId="7" borderId="0" xfId="0" applyFont="1" applyFill="1" applyAlignment="1">
      <alignment horizontal="left" vertical="center"/>
    </xf>
    <xf numFmtId="3" fontId="22" fillId="8" borderId="0" xfId="0" applyNumberFormat="1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3" fontId="13" fillId="7" borderId="0" xfId="0" applyNumberFormat="1" applyFont="1" applyFill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7" fillId="8" borderId="0" xfId="0" applyNumberFormat="1" applyFont="1" applyFill="1" applyAlignment="1">
      <alignment horizontal="right" vertical="center"/>
    </xf>
    <xf numFmtId="166" fontId="0" fillId="8" borderId="0" xfId="0" applyNumberFormat="1" applyFill="1"/>
    <xf numFmtId="0" fontId="14" fillId="7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/>
    <xf numFmtId="0" fontId="7" fillId="6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right" vertical="center"/>
    </xf>
    <xf numFmtId="3" fontId="19" fillId="8" borderId="0" xfId="0" applyNumberFormat="1" applyFont="1" applyFill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166" fontId="0" fillId="7" borderId="0" xfId="0" applyNumberFormat="1" applyFill="1"/>
    <xf numFmtId="0" fontId="18" fillId="8" borderId="0" xfId="0" applyFont="1" applyFill="1" applyAlignment="1">
      <alignment horizontal="left" vertical="center"/>
    </xf>
    <xf numFmtId="3" fontId="11" fillId="7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Dashboard!$AU$1</c:f>
              <c:strCache>
                <c:ptCount val="1"/>
                <c:pt idx="0">
                  <c:v>Actual</c:v>
                </c:pt>
              </c:strCache>
            </c:strRef>
          </c:tx>
          <c:spPr>
            <a:ln w="30000">
              <a:solidFill>
                <a:srgbClr val="E20074"/>
              </a:solidFill>
              <a:prstDash val="solid"/>
            </a:ln>
          </c:spPr>
          <c:marker>
            <c:symbol val="none"/>
          </c:marker>
          <c:cat>
            <c:numRef>
              <c:f>Dashboard!$AT$2:$AT$32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Dashboard!$AU$2:$AU$32</c:f>
              <c:numCache>
                <c:formatCode>General</c:formatCode>
                <c:ptCount val="31"/>
                <c:pt idx="0">
                  <c:v>18</c:v>
                </c:pt>
                <c:pt idx="1">
                  <c:v>34</c:v>
                </c:pt>
                <c:pt idx="2">
                  <c:v>57</c:v>
                </c:pt>
                <c:pt idx="3">
                  <c:v>67</c:v>
                </c:pt>
                <c:pt idx="4">
                  <c:v>92</c:v>
                </c:pt>
                <c:pt idx="5">
                  <c:v>106</c:v>
                </c:pt>
                <c:pt idx="6">
                  <c:v>115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181</c:v>
                </c:pt>
                <c:pt idx="11">
                  <c:v>199</c:v>
                </c:pt>
                <c:pt idx="12">
                  <c:v>224</c:v>
                </c:pt>
                <c:pt idx="13">
                  <c:v>244</c:v>
                </c:pt>
                <c:pt idx="14">
                  <c:v>259</c:v>
                </c:pt>
                <c:pt idx="15">
                  <c:v>281</c:v>
                </c:pt>
                <c:pt idx="16">
                  <c:v>293</c:v>
                </c:pt>
                <c:pt idx="17">
                  <c:v>317</c:v>
                </c:pt>
                <c:pt idx="18">
                  <c:v>333</c:v>
                </c:pt>
                <c:pt idx="19">
                  <c:v>355</c:v>
                </c:pt>
                <c:pt idx="20">
                  <c:v>372</c:v>
                </c:pt>
                <c:pt idx="21">
                  <c:v>393</c:v>
                </c:pt>
                <c:pt idx="22">
                  <c:v>407</c:v>
                </c:pt>
                <c:pt idx="23">
                  <c:v>422</c:v>
                </c:pt>
                <c:pt idx="24">
                  <c:v>435</c:v>
                </c:pt>
                <c:pt idx="25">
                  <c:v>449</c:v>
                </c:pt>
                <c:pt idx="26">
                  <c:v>460</c:v>
                </c:pt>
                <c:pt idx="27">
                  <c:v>475</c:v>
                </c:pt>
                <c:pt idx="28">
                  <c:v>492</c:v>
                </c:pt>
                <c:pt idx="29">
                  <c:v>505</c:v>
                </c:pt>
                <c:pt idx="30">
                  <c:v>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E-4C02-B092-F8866CA66B1D}"/>
            </c:ext>
          </c:extLst>
        </c:ser>
        <c:ser>
          <c:idx val="1"/>
          <c:order val="1"/>
          <c:tx>
            <c:strRef>
              <c:f>Dashboard!$AV$1</c:f>
              <c:strCache>
                <c:ptCount val="1"/>
                <c:pt idx="0">
                  <c:v>Pace</c:v>
                </c:pt>
              </c:strCache>
            </c:strRef>
          </c:tx>
          <c:spPr>
            <a:ln w="14000">
              <a:solidFill>
                <a:srgbClr val="55637A"/>
              </a:solidFill>
              <a:prstDash val="dash"/>
            </a:ln>
          </c:spPr>
          <c:marker>
            <c:symbol val="none"/>
          </c:marker>
          <c:cat>
            <c:numRef>
              <c:f>Dashboard!$AT$2:$AT$32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Dashboard!$AV$2:$AV$32</c:f>
              <c:numCache>
                <c:formatCode>General</c:formatCode>
                <c:ptCount val="31"/>
                <c:pt idx="0">
                  <c:v>16.451612903225808</c:v>
                </c:pt>
                <c:pt idx="1">
                  <c:v>32.903225806451616</c:v>
                </c:pt>
                <c:pt idx="2">
                  <c:v>49.354838709677416</c:v>
                </c:pt>
                <c:pt idx="3">
                  <c:v>65.806451612903231</c:v>
                </c:pt>
                <c:pt idx="4">
                  <c:v>82.258064516129039</c:v>
                </c:pt>
                <c:pt idx="5">
                  <c:v>98.709677419354833</c:v>
                </c:pt>
                <c:pt idx="6">
                  <c:v>115.16129032258064</c:v>
                </c:pt>
                <c:pt idx="7">
                  <c:v>131.61290322580646</c:v>
                </c:pt>
                <c:pt idx="8">
                  <c:v>148.06451612903226</c:v>
                </c:pt>
                <c:pt idx="9">
                  <c:v>164.51612903225808</c:v>
                </c:pt>
                <c:pt idx="10">
                  <c:v>180.96774193548387</c:v>
                </c:pt>
                <c:pt idx="11">
                  <c:v>197.41935483870967</c:v>
                </c:pt>
                <c:pt idx="12">
                  <c:v>213.87096774193549</c:v>
                </c:pt>
                <c:pt idx="13">
                  <c:v>230.32258064516128</c:v>
                </c:pt>
                <c:pt idx="14">
                  <c:v>246.7741935483871</c:v>
                </c:pt>
                <c:pt idx="15">
                  <c:v>263.22580645161293</c:v>
                </c:pt>
                <c:pt idx="16">
                  <c:v>279.67741935483872</c:v>
                </c:pt>
                <c:pt idx="17">
                  <c:v>296.12903225806451</c:v>
                </c:pt>
                <c:pt idx="18">
                  <c:v>312.58064516129031</c:v>
                </c:pt>
                <c:pt idx="19">
                  <c:v>329.03225806451616</c:v>
                </c:pt>
                <c:pt idx="20">
                  <c:v>345.48387096774195</c:v>
                </c:pt>
                <c:pt idx="21">
                  <c:v>361.93548387096774</c:v>
                </c:pt>
                <c:pt idx="22">
                  <c:v>378.38709677419354</c:v>
                </c:pt>
                <c:pt idx="23">
                  <c:v>394.83870967741933</c:v>
                </c:pt>
                <c:pt idx="24">
                  <c:v>411.29032258064518</c:v>
                </c:pt>
                <c:pt idx="25">
                  <c:v>427.74193548387098</c:v>
                </c:pt>
                <c:pt idx="26">
                  <c:v>444.19354838709677</c:v>
                </c:pt>
                <c:pt idx="27">
                  <c:v>460.64516129032256</c:v>
                </c:pt>
                <c:pt idx="28">
                  <c:v>477.09677419354841</c:v>
                </c:pt>
                <c:pt idx="29">
                  <c:v>493.54838709677421</c:v>
                </c:pt>
                <c:pt idx="30">
                  <c:v>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E-4C02-B092-F8866CA66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2C3847"/>
            </a:solidFill>
            <a:prstDash val="solid"/>
          </a:ln>
        </c:spPr>
        <c:txPr>
          <a:bodyPr/>
          <a:lstStyle/>
          <a:p>
            <a:pPr>
              <a:defRPr sz="800">
                <a:solidFill>
                  <a:srgbClr val="8A97A6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2C3847"/>
            </a:solidFill>
            <a:prstDash val="solid"/>
          </a:ln>
        </c:spPr>
        <c:txPr>
          <a:bodyPr/>
          <a:lstStyle/>
          <a:p>
            <a:pPr>
              <a:defRPr sz="800">
                <a:solidFill>
                  <a:srgbClr val="8A97A6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rgbClr val="1A212B"/>
        </a:solidFill>
        <a:ln>
          <a:noFill/>
          <a:prstDash val="solid"/>
        </a:ln>
      </c:spPr>
    </c:plotArea>
    <c:legend>
      <c:legendPos val="t"/>
      <c:overlay val="0"/>
      <c:txPr>
        <a:bodyPr/>
        <a:lstStyle/>
        <a:p>
          <a:pPr>
            <a:defRPr sz="850">
              <a:solidFill>
                <a:srgbClr val="8A97A6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A212B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27</xdr:row>
      <xdr:rowOff>0</xdr:rowOff>
    </xdr:from>
    <xdr:ext cx="6443999" cy="248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2"/>
  <sheetViews>
    <sheetView showGridLines="0" workbookViewId="0"/>
  </sheetViews>
  <sheetFormatPr defaultRowHeight="15" x14ac:dyDescent="0.25"/>
  <cols>
    <col min="1" max="44" width="2.42578125" customWidth="1"/>
  </cols>
  <sheetData>
    <row r="1" spans="1:51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T1" t="s">
        <v>0</v>
      </c>
      <c r="AU1" t="s">
        <v>1</v>
      </c>
      <c r="AV1" t="s">
        <v>2</v>
      </c>
      <c r="AY1">
        <f>'Team Leaderboard'!$E$4+0/100000</f>
        <v>42</v>
      </c>
    </row>
    <row r="2" spans="1:51" ht="15" customHeight="1" x14ac:dyDescent="0.25">
      <c r="A2" s="1"/>
      <c r="B2" s="37" t="s">
        <v>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1"/>
      <c r="Z2" s="1"/>
      <c r="AA2" s="1"/>
      <c r="AB2" s="1"/>
      <c r="AC2" s="1"/>
      <c r="AD2" s="1"/>
      <c r="AE2" s="1"/>
      <c r="AF2" s="1"/>
      <c r="AG2" s="35" t="s">
        <v>4</v>
      </c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1"/>
      <c r="AT2">
        <v>1</v>
      </c>
      <c r="AU2">
        <f>SUM('1'!Q16)+SUM('1'!R16)</f>
        <v>18</v>
      </c>
      <c r="AV2">
        <f>('Store Total'!$C$4+'Store Total'!$C$5)*1/31</f>
        <v>16.451612903225808</v>
      </c>
      <c r="AY2">
        <f>'Team Leaderboard'!$E$5+1/100000</f>
        <v>54.000010000000003</v>
      </c>
    </row>
    <row r="3" spans="1:51" ht="15" customHeight="1" x14ac:dyDescent="0.25">
      <c r="A3" s="1"/>
      <c r="B3" s="31" t="s">
        <v>5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T3">
        <v>2</v>
      </c>
      <c r="AU3">
        <f>SUM('1:2'!Q16)+SUM('1:2'!R16)</f>
        <v>34</v>
      </c>
      <c r="AV3">
        <f>('Store Total'!$C$4+'Store Total'!$C$5)*2/31</f>
        <v>32.903225806451616</v>
      </c>
      <c r="AY3">
        <f>'Team Leaderboard'!$E$6+2/100000</f>
        <v>47.000019999999999</v>
      </c>
    </row>
    <row r="4" spans="1:51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T4">
        <v>3</v>
      </c>
      <c r="AU4">
        <f>SUM('1:3'!Q16)+SUM('1:3'!R16)</f>
        <v>57</v>
      </c>
      <c r="AV4">
        <f>('Store Total'!$C$4+'Store Total'!$C$5)*3/31</f>
        <v>49.354838709677416</v>
      </c>
      <c r="AY4">
        <f>'Team Leaderboard'!$E$7+3/100000</f>
        <v>39.000030000000002</v>
      </c>
    </row>
    <row r="5" spans="1:51" ht="15" customHeight="1" x14ac:dyDescent="0.2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1"/>
      <c r="S5" s="5"/>
      <c r="T5" s="6"/>
      <c r="U5" s="6"/>
      <c r="V5" s="6"/>
      <c r="W5" s="6"/>
      <c r="X5" s="6"/>
      <c r="Y5" s="6"/>
      <c r="Z5" s="6"/>
      <c r="AA5" s="6"/>
      <c r="AB5" s="6"/>
      <c r="AC5" s="6"/>
      <c r="AD5" s="7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T5">
        <v>4</v>
      </c>
      <c r="AU5">
        <f>SUM('1:4'!Q16)+SUM('1:4'!R16)</f>
        <v>67</v>
      </c>
      <c r="AV5">
        <f>('Store Total'!$C$4+'Store Total'!$C$5)*4/31</f>
        <v>65.806451612903231</v>
      </c>
      <c r="AY5">
        <f>'Team Leaderboard'!$E$8+4/100000</f>
        <v>36.000039999999998</v>
      </c>
    </row>
    <row r="6" spans="1:51" ht="15" customHeight="1" x14ac:dyDescent="0.25">
      <c r="A6" s="1"/>
      <c r="B6" s="2"/>
      <c r="C6" s="27" t="s">
        <v>6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4"/>
      <c r="R6" s="1"/>
      <c r="S6" s="5"/>
      <c r="T6" s="29" t="s">
        <v>7</v>
      </c>
      <c r="U6" s="23"/>
      <c r="V6" s="23"/>
      <c r="W6" s="23"/>
      <c r="X6" s="23"/>
      <c r="Y6" s="23"/>
      <c r="Z6" s="23"/>
      <c r="AA6" s="23"/>
      <c r="AB6" s="23"/>
      <c r="AC6" s="23"/>
      <c r="AD6" s="7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T6">
        <v>5</v>
      </c>
      <c r="AU6">
        <f>SUM('1:5'!Q16)+SUM('1:5'!R16)</f>
        <v>92</v>
      </c>
      <c r="AV6">
        <f>('Store Total'!$C$4+'Store Total'!$C$5)*5/31</f>
        <v>82.258064516129039</v>
      </c>
      <c r="AY6">
        <f>'Team Leaderboard'!$E$9+5/100000</f>
        <v>53.000050000000002</v>
      </c>
    </row>
    <row r="7" spans="1:51" ht="15" customHeight="1" x14ac:dyDescent="0.25">
      <c r="A7" s="1"/>
      <c r="B7" s="2"/>
      <c r="C7" s="43">
        <f>'Store Total'!B4+'Store Total'!B5</f>
        <v>524</v>
      </c>
      <c r="D7" s="23"/>
      <c r="E7" s="23"/>
      <c r="F7" s="23"/>
      <c r="G7" s="23"/>
      <c r="H7" s="23"/>
      <c r="I7" s="23"/>
      <c r="J7" s="23"/>
      <c r="K7" s="38" t="s">
        <v>8</v>
      </c>
      <c r="L7" s="23"/>
      <c r="M7" s="23"/>
      <c r="N7" s="23"/>
      <c r="O7" s="23"/>
      <c r="P7" s="23"/>
      <c r="Q7" s="4"/>
      <c r="R7" s="1"/>
      <c r="S7" s="5"/>
      <c r="T7" s="25" t="str">
        <f>INDEX('Team Leaderboard'!$B$4:$B$15,MATCH(LARGE($AY$1:$AY$12,1),$AY$1:$AY$12,0))</f>
        <v>Expert 12</v>
      </c>
      <c r="U7" s="23"/>
      <c r="V7" s="23"/>
      <c r="W7" s="23"/>
      <c r="X7" s="23"/>
      <c r="Y7" s="23"/>
      <c r="Z7" s="23"/>
      <c r="AA7" s="32">
        <f>INDEX('Team Leaderboard'!$E$4:$E$15,MATCH(LARGE($AY$1:$AY$12,1),$AY$1:$AY$12,0))</f>
        <v>55</v>
      </c>
      <c r="AB7" s="23"/>
      <c r="AC7" s="23"/>
      <c r="AD7" s="7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T7">
        <v>6</v>
      </c>
      <c r="AU7">
        <f>SUM('1:6'!Q16)+SUM('1:6'!R16)</f>
        <v>106</v>
      </c>
      <c r="AV7">
        <f>('Store Total'!$C$4+'Store Total'!$C$5)*6/31</f>
        <v>98.709677419354833</v>
      </c>
      <c r="AY7">
        <f>'Team Leaderboard'!$E$10+6/100000</f>
        <v>33.000059999999998</v>
      </c>
    </row>
    <row r="8" spans="1:51" ht="15" customHeight="1" x14ac:dyDescent="0.25">
      <c r="A8" s="1"/>
      <c r="B8" s="2"/>
      <c r="C8" s="23"/>
      <c r="D8" s="23"/>
      <c r="E8" s="23"/>
      <c r="F8" s="23"/>
      <c r="G8" s="23"/>
      <c r="H8" s="23"/>
      <c r="I8" s="23"/>
      <c r="J8" s="23"/>
      <c r="K8" s="30">
        <f>'Store Total'!C4+'Store Total'!C5</f>
        <v>510</v>
      </c>
      <c r="L8" s="23"/>
      <c r="M8" s="23"/>
      <c r="N8" s="23"/>
      <c r="O8" s="23"/>
      <c r="P8" s="23"/>
      <c r="Q8" s="4"/>
      <c r="R8" s="1"/>
      <c r="S8" s="5"/>
      <c r="T8" s="25" t="str">
        <f>INDEX('Team Leaderboard'!$B$4:$B$15,MATCH(LARGE($AY$1:$AY$12,2),$AY$1:$AY$12,0))</f>
        <v>Expert 02</v>
      </c>
      <c r="U8" s="23"/>
      <c r="V8" s="23"/>
      <c r="W8" s="23"/>
      <c r="X8" s="23"/>
      <c r="Y8" s="23"/>
      <c r="Z8" s="23"/>
      <c r="AA8" s="32">
        <f>INDEX('Team Leaderboard'!$E$4:$E$15,MATCH(LARGE($AY$1:$AY$12,2),$AY$1:$AY$12,0))</f>
        <v>54</v>
      </c>
      <c r="AB8" s="23"/>
      <c r="AC8" s="23"/>
      <c r="AD8" s="7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T8">
        <v>7</v>
      </c>
      <c r="AU8">
        <f>SUM('1:7'!Q16)+SUM('1:7'!R16)</f>
        <v>115</v>
      </c>
      <c r="AV8">
        <f>('Store Total'!$C$4+'Store Total'!$C$5)*7/31</f>
        <v>115.16129032258064</v>
      </c>
      <c r="AY8">
        <f>'Team Leaderboard'!$E$11+7/100000</f>
        <v>43.000070000000001</v>
      </c>
    </row>
    <row r="9" spans="1:51" ht="15" customHeight="1" x14ac:dyDescent="0.25">
      <c r="A9" s="1"/>
      <c r="B9" s="2"/>
      <c r="C9" s="23"/>
      <c r="D9" s="23"/>
      <c r="E9" s="23"/>
      <c r="F9" s="23"/>
      <c r="G9" s="23"/>
      <c r="H9" s="23"/>
      <c r="I9" s="23"/>
      <c r="J9" s="23"/>
      <c r="K9" s="8"/>
      <c r="L9" s="8"/>
      <c r="M9" s="8"/>
      <c r="N9" s="8"/>
      <c r="O9" s="8"/>
      <c r="P9" s="8"/>
      <c r="Q9" s="4"/>
      <c r="R9" s="1"/>
      <c r="S9" s="5"/>
      <c r="T9" s="25" t="str">
        <f>INDEX('Team Leaderboard'!$B$4:$B$15,MATCH(LARGE($AY$1:$AY$12,3),$AY$1:$AY$12,0))</f>
        <v>Expert 06</v>
      </c>
      <c r="U9" s="23"/>
      <c r="V9" s="23"/>
      <c r="W9" s="23"/>
      <c r="X9" s="23"/>
      <c r="Y9" s="23"/>
      <c r="Z9" s="23"/>
      <c r="AA9" s="32">
        <f>INDEX('Team Leaderboard'!$E$4:$E$15,MATCH(LARGE($AY$1:$AY$12,3),$AY$1:$AY$12,0))</f>
        <v>53</v>
      </c>
      <c r="AB9" s="23"/>
      <c r="AC9" s="23"/>
      <c r="AD9" s="7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T9">
        <v>8</v>
      </c>
      <c r="AU9">
        <f>SUM('1:8'!Q16)+SUM('1:8'!R16)</f>
        <v>136</v>
      </c>
      <c r="AV9">
        <f>('Store Total'!$C$4+'Store Total'!$C$5)*8/31</f>
        <v>131.61290322580646</v>
      </c>
      <c r="AY9">
        <f>'Team Leaderboard'!$E$12+8/100000</f>
        <v>28.000080000000001</v>
      </c>
    </row>
    <row r="10" spans="1:51" ht="15" customHeight="1" x14ac:dyDescent="0.25">
      <c r="A10" s="1"/>
      <c r="B10" s="2"/>
      <c r="C10" s="34" t="str">
        <f>TEXT(('Store Total'!B4+'Store Total'!B5)/('Store Total'!C4+'Store Total'!C5),"0%")&amp;" of goal"</f>
        <v>103% of goal</v>
      </c>
      <c r="D10" s="23"/>
      <c r="E10" s="23"/>
      <c r="F10" s="23"/>
      <c r="G10" s="23"/>
      <c r="H10" s="23"/>
      <c r="I10" s="23"/>
      <c r="J10" s="23"/>
      <c r="K10" s="40" t="str">
        <f>TEXT(('Store Total'!B4+'Store Total'!B5)-('Store Total'!C4+'Store Total'!C5),"+#,##0;-#,##0")&amp;" vs goal"</f>
        <v>+14 vs goal</v>
      </c>
      <c r="L10" s="23"/>
      <c r="M10" s="23"/>
      <c r="N10" s="23"/>
      <c r="O10" s="23"/>
      <c r="P10" s="23"/>
      <c r="Q10" s="4"/>
      <c r="R10" s="1"/>
      <c r="S10" s="5"/>
      <c r="T10" s="9"/>
      <c r="U10" s="9"/>
      <c r="V10" s="9"/>
      <c r="W10" s="9"/>
      <c r="X10" s="9"/>
      <c r="Y10" s="9"/>
      <c r="Z10" s="9"/>
      <c r="AA10" s="9"/>
      <c r="AB10" s="9"/>
      <c r="AC10" s="9"/>
      <c r="AD10" s="7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T10">
        <v>9</v>
      </c>
      <c r="AU10">
        <f>SUM('1:9'!Q16)+SUM('1:9'!R16)</f>
        <v>153</v>
      </c>
      <c r="AV10">
        <f>('Store Total'!$C$4+'Store Total'!$C$5)*9/31</f>
        <v>148.06451612903226</v>
      </c>
      <c r="AY10">
        <f>'Team Leaderboard'!$E$13+9/100000</f>
        <v>46.00009</v>
      </c>
    </row>
    <row r="11" spans="1:51" ht="15" customHeight="1" x14ac:dyDescent="0.25">
      <c r="A11" s="1"/>
      <c r="B11" s="2"/>
      <c r="C11" s="41">
        <f>('Store Total'!B4+'Store Total'!B5)/('Store Total'!C4+'Store Total'!C5)</f>
        <v>1.0274509803921568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4"/>
      <c r="R11" s="1"/>
      <c r="S11" s="5"/>
      <c r="T11" s="42" t="str">
        <f>INDEX('Team Leaderboard'!$B$4:$B$15,MATCH(SMALL($AY$1:$AY$12,1),$AY$1:$AY$12,0))</f>
        <v>Expert 09</v>
      </c>
      <c r="U11" s="23"/>
      <c r="V11" s="23"/>
      <c r="W11" s="23"/>
      <c r="X11" s="23"/>
      <c r="Y11" s="23"/>
      <c r="Z11" s="23"/>
      <c r="AA11" s="39">
        <f>INDEX('Team Leaderboard'!$E$4:$E$15,MATCH(SMALL($AY$1:$AY$12,1),$AY$1:$AY$12,0))</f>
        <v>28</v>
      </c>
      <c r="AB11" s="23"/>
      <c r="AC11" s="23"/>
      <c r="AD11" s="7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T11">
        <v>10</v>
      </c>
      <c r="AU11">
        <f>SUM('1:10'!Q16)+SUM('1:10'!R16)</f>
        <v>170</v>
      </c>
      <c r="AV11">
        <f>('Store Total'!$C$4+'Store Total'!$C$5)*10/31</f>
        <v>164.51612903225808</v>
      </c>
      <c r="AY11">
        <f>'Team Leaderboard'!$E$14+10/100000</f>
        <v>48.000100000000003</v>
      </c>
    </row>
    <row r="12" spans="1:51" ht="15" customHeight="1" x14ac:dyDescent="0.25">
      <c r="A12" s="1"/>
      <c r="B12" s="2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4"/>
      <c r="R12" s="1"/>
      <c r="S12" s="5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7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T12">
        <v>11</v>
      </c>
      <c r="AU12">
        <f>SUM('1:11'!Q16)+SUM('1:11'!R16)</f>
        <v>181</v>
      </c>
      <c r="AV12">
        <f>('Store Total'!$C$4+'Store Total'!$C$5)*11/31</f>
        <v>180.96774193548387</v>
      </c>
      <c r="AY12">
        <f>'Team Leaderboard'!$E$15+11/100000</f>
        <v>55.000109999999999</v>
      </c>
    </row>
    <row r="13" spans="1:51" ht="1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T13">
        <v>12</v>
      </c>
      <c r="AU13">
        <f>SUM('1:12'!Q16)+SUM('1:12'!R16)</f>
        <v>199</v>
      </c>
      <c r="AV13">
        <f>('Store Total'!$C$4+'Store Total'!$C$5)*12/31</f>
        <v>197.41935483870967</v>
      </c>
    </row>
    <row r="14" spans="1:51" ht="15" customHeight="1" x14ac:dyDescent="0.25">
      <c r="A14" s="1"/>
      <c r="B14" s="5"/>
      <c r="C14" s="6"/>
      <c r="D14" s="6"/>
      <c r="E14" s="6"/>
      <c r="F14" s="6"/>
      <c r="G14" s="6"/>
      <c r="H14" s="6"/>
      <c r="I14" s="6"/>
      <c r="J14" s="6"/>
      <c r="K14" s="7"/>
      <c r="L14" s="1"/>
      <c r="M14" s="5"/>
      <c r="N14" s="6"/>
      <c r="O14" s="6"/>
      <c r="P14" s="6"/>
      <c r="Q14" s="6"/>
      <c r="R14" s="6"/>
      <c r="S14" s="6"/>
      <c r="T14" s="6"/>
      <c r="U14" s="6"/>
      <c r="V14" s="7"/>
      <c r="W14" s="1"/>
      <c r="X14" s="5"/>
      <c r="Y14" s="6"/>
      <c r="Z14" s="6"/>
      <c r="AA14" s="6"/>
      <c r="AB14" s="6"/>
      <c r="AC14" s="6"/>
      <c r="AD14" s="6"/>
      <c r="AE14" s="6"/>
      <c r="AF14" s="6"/>
      <c r="AG14" s="7"/>
      <c r="AH14" s="1"/>
      <c r="AI14" s="5"/>
      <c r="AJ14" s="6"/>
      <c r="AK14" s="6"/>
      <c r="AL14" s="6"/>
      <c r="AM14" s="6"/>
      <c r="AN14" s="6"/>
      <c r="AO14" s="6"/>
      <c r="AP14" s="6"/>
      <c r="AQ14" s="6"/>
      <c r="AR14" s="7"/>
      <c r="AT14">
        <v>13</v>
      </c>
      <c r="AU14">
        <f>SUM('1:13'!Q16)+SUM('1:13'!R16)</f>
        <v>224</v>
      </c>
      <c r="AV14">
        <f>('Store Total'!$C$4+'Store Total'!$C$5)*13/31</f>
        <v>213.87096774193549</v>
      </c>
    </row>
    <row r="15" spans="1:51" ht="15" customHeight="1" x14ac:dyDescent="0.25">
      <c r="A15" s="1"/>
      <c r="B15" s="5"/>
      <c r="C15" s="22" t="s">
        <v>9</v>
      </c>
      <c r="D15" s="23"/>
      <c r="E15" s="23"/>
      <c r="F15" s="23"/>
      <c r="G15" s="23"/>
      <c r="H15" s="23"/>
      <c r="I15" s="26" t="str">
        <f>TEXT('Store Total'!D4,"0%")</f>
        <v>104%</v>
      </c>
      <c r="J15" s="23"/>
      <c r="K15" s="7"/>
      <c r="L15" s="1"/>
      <c r="M15" s="5"/>
      <c r="N15" s="22" t="s">
        <v>10</v>
      </c>
      <c r="O15" s="23"/>
      <c r="P15" s="23"/>
      <c r="Q15" s="23"/>
      <c r="R15" s="23"/>
      <c r="S15" s="23"/>
      <c r="T15" s="26" t="str">
        <f>TEXT('Store Total'!D5,"0%")</f>
        <v>99%</v>
      </c>
      <c r="U15" s="23"/>
      <c r="V15" s="7"/>
      <c r="W15" s="1"/>
      <c r="X15" s="5"/>
      <c r="Y15" s="22" t="s">
        <v>11</v>
      </c>
      <c r="Z15" s="23"/>
      <c r="AA15" s="23"/>
      <c r="AB15" s="23"/>
      <c r="AC15" s="23"/>
      <c r="AD15" s="23"/>
      <c r="AE15" s="26" t="str">
        <f>TEXT('Store Total'!D10,"0%")</f>
        <v>106%</v>
      </c>
      <c r="AF15" s="23"/>
      <c r="AG15" s="7"/>
      <c r="AH15" s="1"/>
      <c r="AI15" s="5"/>
      <c r="AJ15" s="22" t="s">
        <v>12</v>
      </c>
      <c r="AK15" s="23"/>
      <c r="AL15" s="23"/>
      <c r="AM15" s="23"/>
      <c r="AN15" s="23"/>
      <c r="AO15" s="23"/>
      <c r="AP15" s="26" t="str">
        <f>TEXT('Store Total'!D11,"0%")</f>
        <v>98%</v>
      </c>
      <c r="AQ15" s="23"/>
      <c r="AR15" s="7"/>
      <c r="AT15">
        <v>14</v>
      </c>
      <c r="AU15">
        <f>SUM('1:14'!Q16)+SUM('1:14'!R16)</f>
        <v>244</v>
      </c>
      <c r="AV15">
        <f>('Store Total'!$C$4+'Store Total'!$C$5)*14/31</f>
        <v>230.32258064516128</v>
      </c>
    </row>
    <row r="16" spans="1:51" ht="15" customHeight="1" x14ac:dyDescent="0.25">
      <c r="A16" s="1"/>
      <c r="B16" s="5"/>
      <c r="C16" s="28">
        <f>'Store Total'!B4</f>
        <v>381</v>
      </c>
      <c r="D16" s="23"/>
      <c r="E16" s="23"/>
      <c r="F16" s="23"/>
      <c r="G16" s="23"/>
      <c r="H16" s="23"/>
      <c r="I16" s="23"/>
      <c r="J16" s="23"/>
      <c r="K16" s="7"/>
      <c r="L16" s="1"/>
      <c r="M16" s="5"/>
      <c r="N16" s="28">
        <f>'Store Total'!B5</f>
        <v>143</v>
      </c>
      <c r="O16" s="23"/>
      <c r="P16" s="23"/>
      <c r="Q16" s="23"/>
      <c r="R16" s="23"/>
      <c r="S16" s="23"/>
      <c r="T16" s="23"/>
      <c r="U16" s="23"/>
      <c r="V16" s="7"/>
      <c r="W16" s="1"/>
      <c r="X16" s="5"/>
      <c r="Y16" s="28">
        <f>'Store Total'!B10</f>
        <v>635</v>
      </c>
      <c r="Z16" s="23"/>
      <c r="AA16" s="23"/>
      <c r="AB16" s="23"/>
      <c r="AC16" s="23"/>
      <c r="AD16" s="23"/>
      <c r="AE16" s="23"/>
      <c r="AF16" s="23"/>
      <c r="AG16" s="7"/>
      <c r="AH16" s="1"/>
      <c r="AI16" s="5"/>
      <c r="AJ16" s="24">
        <f>'Store Total'!B11</f>
        <v>38698.71</v>
      </c>
      <c r="AK16" s="23"/>
      <c r="AL16" s="23"/>
      <c r="AM16" s="23"/>
      <c r="AN16" s="23"/>
      <c r="AO16" s="23"/>
      <c r="AP16" s="23"/>
      <c r="AQ16" s="23"/>
      <c r="AR16" s="7"/>
      <c r="AT16">
        <v>15</v>
      </c>
      <c r="AU16">
        <f>SUM('1:15'!Q16)+SUM('1:15'!R16)</f>
        <v>259</v>
      </c>
      <c r="AV16">
        <f>('Store Total'!$C$4+'Store Total'!$C$5)*15/31</f>
        <v>246.7741935483871</v>
      </c>
    </row>
    <row r="17" spans="1:48" ht="15" customHeight="1" x14ac:dyDescent="0.25">
      <c r="A17" s="1"/>
      <c r="B17" s="5"/>
      <c r="C17" s="33">
        <f>'Store Total'!D4</f>
        <v>1.0438356164383562</v>
      </c>
      <c r="D17" s="23"/>
      <c r="E17" s="23"/>
      <c r="F17" s="23"/>
      <c r="G17" s="23"/>
      <c r="H17" s="23"/>
      <c r="I17" s="23"/>
      <c r="J17" s="23"/>
      <c r="K17" s="7"/>
      <c r="L17" s="1"/>
      <c r="M17" s="5"/>
      <c r="N17" s="33">
        <f>'Store Total'!D5</f>
        <v>0.98620689655172411</v>
      </c>
      <c r="O17" s="23"/>
      <c r="P17" s="23"/>
      <c r="Q17" s="23"/>
      <c r="R17" s="23"/>
      <c r="S17" s="23"/>
      <c r="T17" s="23"/>
      <c r="U17" s="23"/>
      <c r="V17" s="7"/>
      <c r="W17" s="1"/>
      <c r="X17" s="5"/>
      <c r="Y17" s="33">
        <f>'Store Total'!D10</f>
        <v>1.0583333333333333</v>
      </c>
      <c r="Z17" s="23"/>
      <c r="AA17" s="23"/>
      <c r="AB17" s="23"/>
      <c r="AC17" s="23"/>
      <c r="AD17" s="23"/>
      <c r="AE17" s="23"/>
      <c r="AF17" s="23"/>
      <c r="AG17" s="7"/>
      <c r="AH17" s="1"/>
      <c r="AI17" s="5"/>
      <c r="AJ17" s="33">
        <f>'Store Total'!D11</f>
        <v>0.97971417721518983</v>
      </c>
      <c r="AK17" s="23"/>
      <c r="AL17" s="23"/>
      <c r="AM17" s="23"/>
      <c r="AN17" s="23"/>
      <c r="AO17" s="23"/>
      <c r="AP17" s="23"/>
      <c r="AQ17" s="23"/>
      <c r="AR17" s="7"/>
      <c r="AT17">
        <v>16</v>
      </c>
      <c r="AU17">
        <f>SUM('1:16'!Q16)+SUM('1:16'!R16)</f>
        <v>281</v>
      </c>
      <c r="AV17">
        <f>('Store Total'!$C$4+'Store Total'!$C$5)*16/31</f>
        <v>263.22580645161293</v>
      </c>
    </row>
    <row r="18" spans="1:48" ht="15" customHeight="1" x14ac:dyDescent="0.25">
      <c r="A18" s="1"/>
      <c r="B18" s="5"/>
      <c r="C18" s="11"/>
      <c r="D18" s="11"/>
      <c r="E18" s="11"/>
      <c r="F18" s="11"/>
      <c r="G18" s="11"/>
      <c r="H18" s="11"/>
      <c r="I18" s="11"/>
      <c r="J18" s="11"/>
      <c r="K18" s="7"/>
      <c r="L18" s="1"/>
      <c r="M18" s="5"/>
      <c r="N18" s="11"/>
      <c r="O18" s="11"/>
      <c r="P18" s="11"/>
      <c r="Q18" s="11"/>
      <c r="R18" s="11"/>
      <c r="S18" s="11"/>
      <c r="T18" s="11"/>
      <c r="U18" s="11"/>
      <c r="V18" s="7"/>
      <c r="W18" s="1"/>
      <c r="X18" s="5"/>
      <c r="Y18" s="11"/>
      <c r="Z18" s="11"/>
      <c r="AA18" s="11"/>
      <c r="AB18" s="11"/>
      <c r="AC18" s="11"/>
      <c r="AD18" s="11"/>
      <c r="AE18" s="11"/>
      <c r="AF18" s="11"/>
      <c r="AG18" s="7"/>
      <c r="AH18" s="1"/>
      <c r="AI18" s="5"/>
      <c r="AJ18" s="11"/>
      <c r="AK18" s="11"/>
      <c r="AL18" s="11"/>
      <c r="AM18" s="11"/>
      <c r="AN18" s="11"/>
      <c r="AO18" s="11"/>
      <c r="AP18" s="11"/>
      <c r="AQ18" s="11"/>
      <c r="AR18" s="7"/>
      <c r="AT18">
        <v>17</v>
      </c>
      <c r="AU18">
        <f>SUM('1:17'!Q16)+SUM('1:17'!R16)</f>
        <v>293</v>
      </c>
      <c r="AV18">
        <f>('Store Total'!$C$4+'Store Total'!$C$5)*17/31</f>
        <v>279.67741935483872</v>
      </c>
    </row>
    <row r="19" spans="1:48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T19">
        <v>18</v>
      </c>
      <c r="AU19">
        <f>SUM('1:18'!Q16)+SUM('1:18'!R16)</f>
        <v>317</v>
      </c>
      <c r="AV19">
        <f>('Store Total'!$C$4+'Store Total'!$C$5)*18/31</f>
        <v>296.12903225806451</v>
      </c>
    </row>
    <row r="20" spans="1:48" ht="15" customHeight="1" x14ac:dyDescent="0.25">
      <c r="A20" s="1"/>
      <c r="B20" s="5"/>
      <c r="C20" s="6"/>
      <c r="D20" s="6"/>
      <c r="E20" s="6"/>
      <c r="F20" s="6"/>
      <c r="G20" s="6"/>
      <c r="H20" s="6"/>
      <c r="I20" s="6"/>
      <c r="J20" s="6"/>
      <c r="K20" s="7"/>
      <c r="L20" s="1"/>
      <c r="M20" s="5"/>
      <c r="N20" s="6"/>
      <c r="O20" s="6"/>
      <c r="P20" s="6"/>
      <c r="Q20" s="6"/>
      <c r="R20" s="6"/>
      <c r="S20" s="6"/>
      <c r="T20" s="6"/>
      <c r="U20" s="6"/>
      <c r="V20" s="7"/>
      <c r="W20" s="1"/>
      <c r="X20" s="5"/>
      <c r="Y20" s="6"/>
      <c r="Z20" s="6"/>
      <c r="AA20" s="6"/>
      <c r="AB20" s="6"/>
      <c r="AC20" s="6"/>
      <c r="AD20" s="6"/>
      <c r="AE20" s="6"/>
      <c r="AF20" s="6"/>
      <c r="AG20" s="7"/>
      <c r="AH20" s="1"/>
      <c r="AI20" s="5"/>
      <c r="AJ20" s="6"/>
      <c r="AK20" s="6"/>
      <c r="AL20" s="6"/>
      <c r="AM20" s="6"/>
      <c r="AN20" s="6"/>
      <c r="AO20" s="6"/>
      <c r="AP20" s="6"/>
      <c r="AQ20" s="6"/>
      <c r="AR20" s="7"/>
      <c r="AT20">
        <v>19</v>
      </c>
      <c r="AU20">
        <f>SUM('1:19'!Q16)+SUM('1:19'!R16)</f>
        <v>333</v>
      </c>
      <c r="AV20">
        <f>('Store Total'!$C$4+'Store Total'!$C$5)*19/31</f>
        <v>312.58064516129031</v>
      </c>
    </row>
    <row r="21" spans="1:48" ht="15" customHeight="1" x14ac:dyDescent="0.25">
      <c r="A21" s="1"/>
      <c r="B21" s="5"/>
      <c r="C21" s="22" t="s">
        <v>13</v>
      </c>
      <c r="D21" s="23"/>
      <c r="E21" s="23"/>
      <c r="F21" s="23"/>
      <c r="G21" s="23"/>
      <c r="H21" s="23"/>
      <c r="I21" s="26" t="str">
        <f>TEXT('Store Total'!D7,"0%")</f>
        <v>95%</v>
      </c>
      <c r="J21" s="23"/>
      <c r="K21" s="7"/>
      <c r="L21" s="1"/>
      <c r="M21" s="5"/>
      <c r="N21" s="22" t="s">
        <v>14</v>
      </c>
      <c r="O21" s="23"/>
      <c r="P21" s="23"/>
      <c r="Q21" s="23"/>
      <c r="R21" s="23"/>
      <c r="S21" s="23"/>
      <c r="T21" s="26" t="str">
        <f>TEXT('Store Total'!D8,"0%")</f>
        <v>101%</v>
      </c>
      <c r="U21" s="23"/>
      <c r="V21" s="7"/>
      <c r="W21" s="1"/>
      <c r="X21" s="5"/>
      <c r="Y21" s="22" t="s">
        <v>15</v>
      </c>
      <c r="Z21" s="23"/>
      <c r="AA21" s="23"/>
      <c r="AB21" s="23"/>
      <c r="AC21" s="23"/>
      <c r="AD21" s="23"/>
      <c r="AE21" s="26" t="str">
        <f>TEXT('Store Total'!D6,"0%")</f>
        <v>105%</v>
      </c>
      <c r="AF21" s="23"/>
      <c r="AG21" s="7"/>
      <c r="AH21" s="1"/>
      <c r="AI21" s="5"/>
      <c r="AJ21" s="22" t="s">
        <v>16</v>
      </c>
      <c r="AK21" s="23"/>
      <c r="AL21" s="23"/>
      <c r="AM21" s="23"/>
      <c r="AN21" s="23"/>
      <c r="AO21" s="23"/>
      <c r="AP21" s="26" t="str">
        <f>TEXT('Store Total'!D9,"0%")</f>
        <v>102%</v>
      </c>
      <c r="AQ21" s="23"/>
      <c r="AR21" s="7"/>
      <c r="AT21">
        <v>20</v>
      </c>
      <c r="AU21">
        <f>SUM('1:20'!Q16)+SUM('1:20'!R16)</f>
        <v>355</v>
      </c>
      <c r="AV21">
        <f>('Store Total'!$C$4+'Store Total'!$C$5)*20/31</f>
        <v>329.03225806451616</v>
      </c>
    </row>
    <row r="22" spans="1:48" ht="15" customHeight="1" x14ac:dyDescent="0.25">
      <c r="A22" s="1"/>
      <c r="B22" s="5"/>
      <c r="C22" s="28">
        <f>'Store Total'!B7</f>
        <v>38</v>
      </c>
      <c r="D22" s="23"/>
      <c r="E22" s="23"/>
      <c r="F22" s="23"/>
      <c r="G22" s="23"/>
      <c r="H22" s="23"/>
      <c r="I22" s="23"/>
      <c r="J22" s="23"/>
      <c r="K22" s="7"/>
      <c r="L22" s="1"/>
      <c r="M22" s="5"/>
      <c r="N22" s="28">
        <f>'Store Total'!B8</f>
        <v>76</v>
      </c>
      <c r="O22" s="23"/>
      <c r="P22" s="23"/>
      <c r="Q22" s="23"/>
      <c r="R22" s="23"/>
      <c r="S22" s="23"/>
      <c r="T22" s="23"/>
      <c r="U22" s="23"/>
      <c r="V22" s="7"/>
      <c r="W22" s="1"/>
      <c r="X22" s="5"/>
      <c r="Y22" s="28">
        <f>'Store Total'!B6</f>
        <v>42</v>
      </c>
      <c r="Z22" s="23"/>
      <c r="AA22" s="23"/>
      <c r="AB22" s="23"/>
      <c r="AC22" s="23"/>
      <c r="AD22" s="23"/>
      <c r="AE22" s="23"/>
      <c r="AF22" s="23"/>
      <c r="AG22" s="7"/>
      <c r="AH22" s="1"/>
      <c r="AI22" s="5"/>
      <c r="AJ22" s="24">
        <f>'Store Total'!B9</f>
        <v>7865</v>
      </c>
      <c r="AK22" s="23"/>
      <c r="AL22" s="23"/>
      <c r="AM22" s="23"/>
      <c r="AN22" s="23"/>
      <c r="AO22" s="23"/>
      <c r="AP22" s="23"/>
      <c r="AQ22" s="23"/>
      <c r="AR22" s="7"/>
      <c r="AT22">
        <v>21</v>
      </c>
      <c r="AU22">
        <f>SUM('1:21'!Q16)+SUM('1:21'!R16)</f>
        <v>372</v>
      </c>
      <c r="AV22">
        <f>('Store Total'!$C$4+'Store Total'!$C$5)*21/31</f>
        <v>345.48387096774195</v>
      </c>
    </row>
    <row r="23" spans="1:48" ht="15" customHeight="1" x14ac:dyDescent="0.25">
      <c r="A23" s="1"/>
      <c r="B23" s="5"/>
      <c r="C23" s="33">
        <f>'Store Total'!D7</f>
        <v>0.95</v>
      </c>
      <c r="D23" s="23"/>
      <c r="E23" s="23"/>
      <c r="F23" s="23"/>
      <c r="G23" s="23"/>
      <c r="H23" s="23"/>
      <c r="I23" s="23"/>
      <c r="J23" s="23"/>
      <c r="K23" s="7"/>
      <c r="L23" s="1"/>
      <c r="M23" s="5"/>
      <c r="N23" s="33">
        <f>'Store Total'!D8</f>
        <v>1.0133333333333334</v>
      </c>
      <c r="O23" s="23"/>
      <c r="P23" s="23"/>
      <c r="Q23" s="23"/>
      <c r="R23" s="23"/>
      <c r="S23" s="23"/>
      <c r="T23" s="23"/>
      <c r="U23" s="23"/>
      <c r="V23" s="7"/>
      <c r="W23" s="1"/>
      <c r="X23" s="5"/>
      <c r="Y23" s="33">
        <f>'Store Total'!D6</f>
        <v>1.05</v>
      </c>
      <c r="Z23" s="23"/>
      <c r="AA23" s="23"/>
      <c r="AB23" s="23"/>
      <c r="AC23" s="23"/>
      <c r="AD23" s="23"/>
      <c r="AE23" s="23"/>
      <c r="AF23" s="23"/>
      <c r="AG23" s="7"/>
      <c r="AH23" s="1"/>
      <c r="AI23" s="5"/>
      <c r="AJ23" s="33">
        <f>'Store Total'!D9</f>
        <v>1.0214285714285714</v>
      </c>
      <c r="AK23" s="23"/>
      <c r="AL23" s="23"/>
      <c r="AM23" s="23"/>
      <c r="AN23" s="23"/>
      <c r="AO23" s="23"/>
      <c r="AP23" s="23"/>
      <c r="AQ23" s="23"/>
      <c r="AR23" s="7"/>
      <c r="AT23">
        <v>22</v>
      </c>
      <c r="AU23">
        <f>SUM('1:22'!Q16)+SUM('1:22'!R16)</f>
        <v>393</v>
      </c>
      <c r="AV23">
        <f>('Store Total'!$C$4+'Store Total'!$C$5)*22/31</f>
        <v>361.93548387096774</v>
      </c>
    </row>
    <row r="24" spans="1:48" ht="15" customHeight="1" x14ac:dyDescent="0.25">
      <c r="A24" s="1"/>
      <c r="B24" s="5"/>
      <c r="C24" s="11"/>
      <c r="D24" s="11"/>
      <c r="E24" s="11"/>
      <c r="F24" s="11"/>
      <c r="G24" s="11"/>
      <c r="H24" s="11"/>
      <c r="I24" s="11"/>
      <c r="J24" s="11"/>
      <c r="K24" s="7"/>
      <c r="L24" s="1"/>
      <c r="M24" s="5"/>
      <c r="N24" s="11"/>
      <c r="O24" s="11"/>
      <c r="P24" s="11"/>
      <c r="Q24" s="11"/>
      <c r="R24" s="11"/>
      <c r="S24" s="11"/>
      <c r="T24" s="11"/>
      <c r="U24" s="11"/>
      <c r="V24" s="7"/>
      <c r="W24" s="1"/>
      <c r="X24" s="5"/>
      <c r="Y24" s="11"/>
      <c r="Z24" s="11"/>
      <c r="AA24" s="11"/>
      <c r="AB24" s="11"/>
      <c r="AC24" s="11"/>
      <c r="AD24" s="11"/>
      <c r="AE24" s="11"/>
      <c r="AF24" s="11"/>
      <c r="AG24" s="7"/>
      <c r="AH24" s="1"/>
      <c r="AI24" s="5"/>
      <c r="AJ24" s="11"/>
      <c r="AK24" s="11"/>
      <c r="AL24" s="11"/>
      <c r="AM24" s="11"/>
      <c r="AN24" s="11"/>
      <c r="AO24" s="11"/>
      <c r="AP24" s="11"/>
      <c r="AQ24" s="11"/>
      <c r="AR24" s="7"/>
      <c r="AT24">
        <v>23</v>
      </c>
      <c r="AU24">
        <f>SUM('1:23'!Q16)+SUM('1:23'!R16)</f>
        <v>407</v>
      </c>
      <c r="AV24">
        <f>('Store Total'!$C$4+'Store Total'!$C$5)*23/31</f>
        <v>378.38709677419354</v>
      </c>
    </row>
    <row r="25" spans="1:48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T25">
        <v>24</v>
      </c>
      <c r="AU25">
        <f>SUM('1:24'!Q16)+SUM('1:24'!R16)</f>
        <v>422</v>
      </c>
      <c r="AV25">
        <f>('Store Total'!$C$4+'Store Total'!$C$5)*24/31</f>
        <v>394.83870967741933</v>
      </c>
    </row>
    <row r="26" spans="1:48" ht="15" customHeight="1" x14ac:dyDescent="0.25">
      <c r="A26" s="1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7"/>
      <c r="AR26" s="1"/>
      <c r="AT26">
        <v>25</v>
      </c>
      <c r="AU26">
        <f>SUM('1:25'!Q16)+SUM('1:25'!R16)</f>
        <v>435</v>
      </c>
      <c r="AV26">
        <f>('Store Total'!$C$4+'Store Total'!$C$5)*25/31</f>
        <v>411.29032258064518</v>
      </c>
    </row>
    <row r="27" spans="1:48" ht="15" customHeight="1" x14ac:dyDescent="0.25">
      <c r="A27" s="1"/>
      <c r="B27" s="5"/>
      <c r="C27" s="29" t="s">
        <v>17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7"/>
      <c r="AR27" s="1"/>
      <c r="AT27">
        <v>26</v>
      </c>
      <c r="AU27">
        <f>SUM('1:26'!Q16)+SUM('1:26'!R16)</f>
        <v>449</v>
      </c>
      <c r="AV27">
        <f>('Store Total'!$C$4+'Store Total'!$C$5)*26/31</f>
        <v>427.74193548387098</v>
      </c>
    </row>
    <row r="28" spans="1:48" ht="15" customHeight="1" x14ac:dyDescent="0.25">
      <c r="A28" s="1"/>
      <c r="B28" s="5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7"/>
      <c r="AR28" s="1"/>
      <c r="AT28">
        <v>27</v>
      </c>
      <c r="AU28">
        <f>SUM('1:27'!Q16)+SUM('1:27'!R16)</f>
        <v>460</v>
      </c>
      <c r="AV28">
        <f>('Store Total'!$C$4+'Store Total'!$C$5)*27/31</f>
        <v>444.19354838709677</v>
      </c>
    </row>
    <row r="29" spans="1:48" ht="15" customHeight="1" x14ac:dyDescent="0.25">
      <c r="A29" s="1"/>
      <c r="B29" s="5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7"/>
      <c r="AR29" s="1"/>
      <c r="AT29">
        <v>28</v>
      </c>
      <c r="AU29">
        <f>SUM('1:28'!Q16)+SUM('1:28'!R16)</f>
        <v>475</v>
      </c>
      <c r="AV29">
        <f>('Store Total'!$C$4+'Store Total'!$C$5)*28/31</f>
        <v>460.64516129032256</v>
      </c>
    </row>
    <row r="30" spans="1:48" ht="15" customHeight="1" x14ac:dyDescent="0.25">
      <c r="A30" s="1"/>
      <c r="B30" s="5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7"/>
      <c r="AR30" s="1"/>
      <c r="AT30">
        <v>29</v>
      </c>
      <c r="AU30">
        <f>SUM('1:29'!Q16)+SUM('1:29'!R16)</f>
        <v>492</v>
      </c>
      <c r="AV30">
        <f>('Store Total'!$C$4+'Store Total'!$C$5)*29/31</f>
        <v>477.09677419354841</v>
      </c>
    </row>
    <row r="31" spans="1:48" ht="15" customHeight="1" x14ac:dyDescent="0.25">
      <c r="A31" s="1"/>
      <c r="B31" s="5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7"/>
      <c r="AR31" s="1"/>
      <c r="AT31">
        <v>30</v>
      </c>
      <c r="AU31">
        <f>SUM('1:30'!Q16)+SUM('1:30'!R16)</f>
        <v>505</v>
      </c>
      <c r="AV31">
        <f>('Store Total'!$C$4+'Store Total'!$C$5)*30/31</f>
        <v>493.54838709677421</v>
      </c>
    </row>
    <row r="32" spans="1:48" ht="15" customHeight="1" x14ac:dyDescent="0.25">
      <c r="A32" s="1"/>
      <c r="B32" s="5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7"/>
      <c r="AR32" s="1"/>
      <c r="AT32">
        <v>31</v>
      </c>
      <c r="AU32">
        <f>SUM('1:31'!Q16)+SUM('1:31'!R16)</f>
        <v>524</v>
      </c>
      <c r="AV32">
        <f>('Store Total'!$C$4+'Store Total'!$C$5)*31/31</f>
        <v>510</v>
      </c>
    </row>
    <row r="33" spans="1:44" ht="15" customHeight="1" x14ac:dyDescent="0.25">
      <c r="A33" s="1"/>
      <c r="B33" s="5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7"/>
      <c r="AR33" s="1"/>
    </row>
    <row r="34" spans="1:44" ht="15" customHeight="1" x14ac:dyDescent="0.25">
      <c r="A34" s="1"/>
      <c r="B34" s="5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7"/>
      <c r="AR34" s="1"/>
    </row>
    <row r="35" spans="1:44" ht="15" customHeight="1" x14ac:dyDescent="0.25">
      <c r="A35" s="1"/>
      <c r="B35" s="5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7"/>
      <c r="AR35" s="1"/>
    </row>
    <row r="36" spans="1:44" ht="15" customHeight="1" x14ac:dyDescent="0.25">
      <c r="A36" s="1"/>
      <c r="B36" s="5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7"/>
      <c r="AR36" s="1"/>
    </row>
    <row r="37" spans="1:44" ht="15" customHeight="1" x14ac:dyDescent="0.25">
      <c r="A37" s="1"/>
      <c r="B37" s="5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7"/>
      <c r="AR37" s="1"/>
    </row>
    <row r="38" spans="1:44" ht="15" customHeight="1" x14ac:dyDescent="0.25">
      <c r="A38" s="1"/>
      <c r="B38" s="5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7"/>
      <c r="AR38" s="1"/>
    </row>
    <row r="39" spans="1:44" ht="15" customHeight="1" x14ac:dyDescent="0.25">
      <c r="A39" s="1"/>
      <c r="B39" s="5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7"/>
      <c r="AR39" s="1"/>
    </row>
    <row r="40" spans="1:44" ht="15" customHeight="1" x14ac:dyDescent="0.25">
      <c r="A40" s="1"/>
      <c r="B40" s="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7"/>
      <c r="AR40" s="1"/>
    </row>
    <row r="41" spans="1:44" x14ac:dyDescent="0.25">
      <c r="B41" s="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7"/>
    </row>
    <row r="42" spans="1:44" x14ac:dyDescent="0.25">
      <c r="B42" s="5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7"/>
    </row>
  </sheetData>
  <mergeCells count="52">
    <mergeCell ref="Y23:AF23"/>
    <mergeCell ref="C7:J9"/>
    <mergeCell ref="AG2:AQ2"/>
    <mergeCell ref="C22:J22"/>
    <mergeCell ref="C27:AF27"/>
    <mergeCell ref="B2:X2"/>
    <mergeCell ref="T21:U21"/>
    <mergeCell ref="K7:P7"/>
    <mergeCell ref="AA11:AC11"/>
    <mergeCell ref="N17:U17"/>
    <mergeCell ref="Y17:AF17"/>
    <mergeCell ref="I21:J21"/>
    <mergeCell ref="N15:S15"/>
    <mergeCell ref="N23:U23"/>
    <mergeCell ref="Y22:AF22"/>
    <mergeCell ref="Y16:AF16"/>
    <mergeCell ref="K10:P10"/>
    <mergeCell ref="AP15:AQ15"/>
    <mergeCell ref="B3:AD3"/>
    <mergeCell ref="AA7:AC7"/>
    <mergeCell ref="AJ23:AQ23"/>
    <mergeCell ref="AE21:AF21"/>
    <mergeCell ref="AJ17:AQ17"/>
    <mergeCell ref="AJ15:AO15"/>
    <mergeCell ref="C10:J10"/>
    <mergeCell ref="C16:J16"/>
    <mergeCell ref="AA8:AC8"/>
    <mergeCell ref="C11:P11"/>
    <mergeCell ref="C23:J23"/>
    <mergeCell ref="C15:H15"/>
    <mergeCell ref="AJ21:AO21"/>
    <mergeCell ref="C17:J17"/>
    <mergeCell ref="T9:Z9"/>
    <mergeCell ref="AE15:AF15"/>
    <mergeCell ref="I15:J15"/>
    <mergeCell ref="AP21:AQ21"/>
    <mergeCell ref="C6:P6"/>
    <mergeCell ref="T7:Z7"/>
    <mergeCell ref="N16:U16"/>
    <mergeCell ref="T6:AC6"/>
    <mergeCell ref="C21:H21"/>
    <mergeCell ref="K8:P8"/>
    <mergeCell ref="Y15:AD15"/>
    <mergeCell ref="AA9:AC9"/>
    <mergeCell ref="AJ16:AQ16"/>
    <mergeCell ref="T11:Z11"/>
    <mergeCell ref="Y21:AD21"/>
    <mergeCell ref="N21:S21"/>
    <mergeCell ref="AJ22:AQ22"/>
    <mergeCell ref="T8:Z8"/>
    <mergeCell ref="T15:U15"/>
    <mergeCell ref="N22:U22"/>
  </mergeCells>
  <conditionalFormatting sqref="C11">
    <cfRule type="dataBar" priority="1">
      <dataBar showValue="0">
        <cfvo type="num" val="0"/>
        <cfvo type="num" val="1.25"/>
        <color rgb="FFE20074"/>
      </dataBar>
    </cfRule>
  </conditionalFormatting>
  <conditionalFormatting sqref="C17">
    <cfRule type="dataBar" priority="2">
      <dataBar showValue="0">
        <cfvo type="num" val="0"/>
        <cfvo type="num" val="1.25"/>
        <color rgb="FFE20074"/>
      </dataBar>
    </cfRule>
  </conditionalFormatting>
  <conditionalFormatting sqref="C23">
    <cfRule type="dataBar" priority="6">
      <dataBar showValue="0">
        <cfvo type="num" val="0"/>
        <cfvo type="num" val="1.25"/>
        <color rgb="FFE20074"/>
      </dataBar>
    </cfRule>
  </conditionalFormatting>
  <conditionalFormatting sqref="N17">
    <cfRule type="dataBar" priority="3">
      <dataBar showValue="0">
        <cfvo type="num" val="0"/>
        <cfvo type="num" val="1.25"/>
        <color rgb="FFE20074"/>
      </dataBar>
    </cfRule>
  </conditionalFormatting>
  <conditionalFormatting sqref="N23">
    <cfRule type="dataBar" priority="7">
      <dataBar showValue="0">
        <cfvo type="num" val="0"/>
        <cfvo type="num" val="1.25"/>
        <color rgb="FFE20074"/>
      </dataBar>
    </cfRule>
  </conditionalFormatting>
  <conditionalFormatting sqref="Y17">
    <cfRule type="dataBar" priority="4">
      <dataBar showValue="0">
        <cfvo type="num" val="0"/>
        <cfvo type="num" val="1.25"/>
        <color rgb="FFE20074"/>
      </dataBar>
    </cfRule>
  </conditionalFormatting>
  <conditionalFormatting sqref="Y23">
    <cfRule type="dataBar" priority="8">
      <dataBar showValue="0">
        <cfvo type="num" val="0"/>
        <cfvo type="num" val="1.25"/>
        <color rgb="FFE20074"/>
      </dataBar>
    </cfRule>
  </conditionalFormatting>
  <conditionalFormatting sqref="AJ17">
    <cfRule type="dataBar" priority="5">
      <dataBar showValue="0">
        <cfvo type="num" val="0"/>
        <cfvo type="num" val="1.25"/>
        <color rgb="FFE20074"/>
      </dataBar>
    </cfRule>
  </conditionalFormatting>
  <conditionalFormatting sqref="AJ23">
    <cfRule type="dataBar" priority="9">
      <dataBar showValue="0">
        <cfvo type="num" val="0"/>
        <cfvo type="num" val="1.25"/>
        <color rgb="FFE20074"/>
      </dataBar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selection sqref="A1:F1"/>
    </sheetView>
  </sheetViews>
  <sheetFormatPr defaultRowHeight="15" x14ac:dyDescent="0.25"/>
  <cols>
    <col min="1" max="1" width="12" customWidth="1"/>
    <col min="2" max="2" width="16" customWidth="1"/>
    <col min="3" max="6" width="12" customWidth="1"/>
  </cols>
  <sheetData>
    <row r="1" spans="1:6" ht="24" customHeight="1" x14ac:dyDescent="0.25">
      <c r="A1" s="45" t="s">
        <v>18</v>
      </c>
      <c r="B1" s="23"/>
      <c r="C1" s="23"/>
      <c r="D1" s="23"/>
      <c r="E1" s="23"/>
      <c r="F1" s="23"/>
    </row>
    <row r="2" spans="1:6" ht="14.1" customHeight="1" x14ac:dyDescent="0.25">
      <c r="A2" s="44" t="s">
        <v>19</v>
      </c>
      <c r="B2" s="23"/>
      <c r="C2" s="23"/>
      <c r="D2" s="23"/>
      <c r="E2" s="23"/>
      <c r="F2" s="23"/>
    </row>
    <row r="3" spans="1:6" x14ac:dyDescent="0.25">
      <c r="A3" s="12" t="s">
        <v>20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</row>
    <row r="4" spans="1:6" x14ac:dyDescent="0.25">
      <c r="A4" s="13">
        <f t="shared" ref="A4:A15" si="0">RANK(E4,$E$4:$E$15)</f>
        <v>8</v>
      </c>
      <c r="B4" s="13" t="str">
        <f>Setup!$A$4</f>
        <v>Expert 01</v>
      </c>
      <c r="C4" s="14">
        <f>SUM('1:31'!Q4)</f>
        <v>30</v>
      </c>
      <c r="D4" s="14">
        <f>SUM('1:31'!R4)</f>
        <v>12</v>
      </c>
      <c r="E4" s="14">
        <f t="shared" ref="E4:E15" si="1">C4+D4</f>
        <v>42</v>
      </c>
      <c r="F4" s="15">
        <f>SUM('1:31'!X4)</f>
        <v>3596.9100000000003</v>
      </c>
    </row>
    <row r="5" spans="1:6" x14ac:dyDescent="0.25">
      <c r="A5" s="13">
        <f t="shared" si="0"/>
        <v>2</v>
      </c>
      <c r="B5" s="13" t="str">
        <f>Setup!$A$5</f>
        <v>Expert 02</v>
      </c>
      <c r="C5" s="14">
        <f>SUM('1:31'!Q5)</f>
        <v>43</v>
      </c>
      <c r="D5" s="14">
        <f>SUM('1:31'!R5)</f>
        <v>11</v>
      </c>
      <c r="E5" s="14">
        <f t="shared" si="1"/>
        <v>54</v>
      </c>
      <c r="F5" s="15">
        <f>SUM('1:31'!X5)</f>
        <v>3011.88</v>
      </c>
    </row>
    <row r="6" spans="1:6" x14ac:dyDescent="0.25">
      <c r="A6" s="13">
        <f t="shared" si="0"/>
        <v>5</v>
      </c>
      <c r="B6" s="13" t="str">
        <f>Setup!$A$6</f>
        <v>Expert 03</v>
      </c>
      <c r="C6" s="14">
        <f>SUM('1:31'!Q6)</f>
        <v>30</v>
      </c>
      <c r="D6" s="14">
        <f>SUM('1:31'!R6)</f>
        <v>17</v>
      </c>
      <c r="E6" s="14">
        <f t="shared" si="1"/>
        <v>47</v>
      </c>
      <c r="F6" s="15">
        <f>SUM('1:31'!X6)</f>
        <v>3435.2300000000005</v>
      </c>
    </row>
    <row r="7" spans="1:6" x14ac:dyDescent="0.25">
      <c r="A7" s="13">
        <f t="shared" si="0"/>
        <v>9</v>
      </c>
      <c r="B7" s="13" t="str">
        <f>Setup!$A$7</f>
        <v>Expert 04</v>
      </c>
      <c r="C7" s="14">
        <f>SUM('1:31'!Q7)</f>
        <v>35</v>
      </c>
      <c r="D7" s="14">
        <f>SUM('1:31'!R7)</f>
        <v>4</v>
      </c>
      <c r="E7" s="14">
        <f t="shared" si="1"/>
        <v>39</v>
      </c>
      <c r="F7" s="15">
        <f>SUM('1:31'!X7)</f>
        <v>3112.85</v>
      </c>
    </row>
    <row r="8" spans="1:6" x14ac:dyDescent="0.25">
      <c r="A8" s="13">
        <f t="shared" si="0"/>
        <v>10</v>
      </c>
      <c r="B8" s="13" t="str">
        <f>Setup!$A$8</f>
        <v>Expert 05</v>
      </c>
      <c r="C8" s="14">
        <f>SUM('1:31'!Q8)</f>
        <v>24</v>
      </c>
      <c r="D8" s="14">
        <f>SUM('1:31'!R8)</f>
        <v>12</v>
      </c>
      <c r="E8" s="14">
        <f t="shared" si="1"/>
        <v>36</v>
      </c>
      <c r="F8" s="15">
        <f>SUM('1:31'!X8)</f>
        <v>3203.8299999999995</v>
      </c>
    </row>
    <row r="9" spans="1:6" x14ac:dyDescent="0.25">
      <c r="A9" s="13">
        <f t="shared" si="0"/>
        <v>3</v>
      </c>
      <c r="B9" s="13" t="str">
        <f>Setup!$A$9</f>
        <v>Expert 06</v>
      </c>
      <c r="C9" s="14">
        <f>SUM('1:31'!Q9)</f>
        <v>39</v>
      </c>
      <c r="D9" s="14">
        <f>SUM('1:31'!R9)</f>
        <v>14</v>
      </c>
      <c r="E9" s="14">
        <f t="shared" si="1"/>
        <v>53</v>
      </c>
      <c r="F9" s="15">
        <f>SUM('1:31'!X9)</f>
        <v>4028.5</v>
      </c>
    </row>
    <row r="10" spans="1:6" x14ac:dyDescent="0.25">
      <c r="A10" s="13">
        <f t="shared" si="0"/>
        <v>11</v>
      </c>
      <c r="B10" s="13" t="str">
        <f>Setup!$A$10</f>
        <v>Expert 07</v>
      </c>
      <c r="C10" s="14">
        <f>SUM('1:31'!Q10)</f>
        <v>23</v>
      </c>
      <c r="D10" s="14">
        <f>SUM('1:31'!R10)</f>
        <v>10</v>
      </c>
      <c r="E10" s="14">
        <f t="shared" si="1"/>
        <v>33</v>
      </c>
      <c r="F10" s="15">
        <f>SUM('1:31'!X10)</f>
        <v>1969.02</v>
      </c>
    </row>
    <row r="11" spans="1:6" x14ac:dyDescent="0.25">
      <c r="A11" s="13">
        <f t="shared" si="0"/>
        <v>7</v>
      </c>
      <c r="B11" s="13" t="str">
        <f>Setup!$A$11</f>
        <v>Expert 08</v>
      </c>
      <c r="C11" s="14">
        <f>SUM('1:31'!Q11)</f>
        <v>33</v>
      </c>
      <c r="D11" s="14">
        <f>SUM('1:31'!R11)</f>
        <v>10</v>
      </c>
      <c r="E11" s="14">
        <f t="shared" si="1"/>
        <v>43</v>
      </c>
      <c r="F11" s="15">
        <f>SUM('1:31'!X11)</f>
        <v>2772.1300000000006</v>
      </c>
    </row>
    <row r="12" spans="1:6" x14ac:dyDescent="0.25">
      <c r="A12" s="13">
        <f t="shared" si="0"/>
        <v>12</v>
      </c>
      <c r="B12" s="13" t="str">
        <f>Setup!$A$12</f>
        <v>Expert 09</v>
      </c>
      <c r="C12" s="14">
        <f>SUM('1:31'!Q12)</f>
        <v>21</v>
      </c>
      <c r="D12" s="14">
        <f>SUM('1:31'!R12)</f>
        <v>7</v>
      </c>
      <c r="E12" s="14">
        <f t="shared" si="1"/>
        <v>28</v>
      </c>
      <c r="F12" s="15">
        <f>SUM('1:31'!X12)</f>
        <v>2526.0499999999997</v>
      </c>
    </row>
    <row r="13" spans="1:6" x14ac:dyDescent="0.25">
      <c r="A13" s="13">
        <f t="shared" si="0"/>
        <v>6</v>
      </c>
      <c r="B13" s="13" t="str">
        <f>Setup!$A$13</f>
        <v>Expert 10</v>
      </c>
      <c r="C13" s="14">
        <f>SUM('1:31'!Q13)</f>
        <v>34</v>
      </c>
      <c r="D13" s="14">
        <f>SUM('1:31'!R13)</f>
        <v>12</v>
      </c>
      <c r="E13" s="14">
        <f t="shared" si="1"/>
        <v>46</v>
      </c>
      <c r="F13" s="15">
        <f>SUM('1:31'!X13)</f>
        <v>2870.4800000000005</v>
      </c>
    </row>
    <row r="14" spans="1:6" x14ac:dyDescent="0.25">
      <c r="A14" s="13">
        <f t="shared" si="0"/>
        <v>4</v>
      </c>
      <c r="B14" s="13" t="str">
        <f>Setup!$A$14</f>
        <v>Expert 11</v>
      </c>
      <c r="C14" s="14">
        <f>SUM('1:31'!Q14)</f>
        <v>35</v>
      </c>
      <c r="D14" s="14">
        <f>SUM('1:31'!R14)</f>
        <v>13</v>
      </c>
      <c r="E14" s="14">
        <f t="shared" si="1"/>
        <v>48</v>
      </c>
      <c r="F14" s="15">
        <f>SUM('1:31'!X14)</f>
        <v>3904.91</v>
      </c>
    </row>
    <row r="15" spans="1:6" x14ac:dyDescent="0.25">
      <c r="A15" s="13">
        <f t="shared" si="0"/>
        <v>1</v>
      </c>
      <c r="B15" s="13" t="str">
        <f>Setup!$A$15</f>
        <v>Expert 12</v>
      </c>
      <c r="C15" s="14">
        <f>SUM('1:31'!Q15)</f>
        <v>34</v>
      </c>
      <c r="D15" s="14">
        <f>SUM('1:31'!R15)</f>
        <v>21</v>
      </c>
      <c r="E15" s="14">
        <f t="shared" si="1"/>
        <v>55</v>
      </c>
      <c r="F15" s="15">
        <f>SUM('1:31'!X15)</f>
        <v>4266.92</v>
      </c>
    </row>
  </sheetData>
  <mergeCells count="2">
    <mergeCell ref="A2:F2"/>
    <mergeCell ref="A1:F1"/>
  </mergeCells>
  <conditionalFormatting sqref="E4:E15">
    <cfRule type="colorScale" priority="1">
      <colorScale>
        <cfvo type="min"/>
        <cfvo type="percentile" val="50"/>
        <cfvo type="max"/>
        <color rgb="FFFFF1F7"/>
        <color rgb="FFF7A9D0"/>
        <color rgb="FFE2007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9" width="11" customWidth="1"/>
  </cols>
  <sheetData>
    <row r="1" spans="1:9" ht="24" customHeight="1" x14ac:dyDescent="0.25">
      <c r="A1" s="45" t="s">
        <v>26</v>
      </c>
      <c r="B1" s="23"/>
      <c r="C1" s="23"/>
      <c r="D1" s="23"/>
      <c r="E1" s="23"/>
      <c r="F1" s="23"/>
      <c r="G1" s="23"/>
      <c r="H1" s="23"/>
      <c r="I1" s="23"/>
    </row>
    <row r="2" spans="1:9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</row>
    <row r="3" spans="1:9" x14ac:dyDescent="0.25">
      <c r="A3" s="12" t="s">
        <v>0</v>
      </c>
      <c r="B3" s="12" t="s">
        <v>22</v>
      </c>
      <c r="C3" s="12" t="s">
        <v>23</v>
      </c>
      <c r="D3" s="12" t="s">
        <v>15</v>
      </c>
      <c r="E3" s="12" t="s">
        <v>13</v>
      </c>
      <c r="F3" s="12" t="s">
        <v>27</v>
      </c>
      <c r="G3" s="12" t="s">
        <v>28</v>
      </c>
      <c r="H3" s="12" t="s">
        <v>29</v>
      </c>
      <c r="I3" s="12" t="s">
        <v>25</v>
      </c>
    </row>
    <row r="4" spans="1:9" x14ac:dyDescent="0.25">
      <c r="A4" s="13">
        <v>1</v>
      </c>
      <c r="B4" s="14">
        <f>'1'!Q16</f>
        <v>12</v>
      </c>
      <c r="C4" s="14">
        <f>'1'!R16</f>
        <v>6</v>
      </c>
      <c r="D4" s="14">
        <f>'1'!S16</f>
        <v>3</v>
      </c>
      <c r="E4" s="14">
        <f>'1'!T16</f>
        <v>4</v>
      </c>
      <c r="F4" s="14">
        <f>'1'!U16</f>
        <v>3</v>
      </c>
      <c r="G4" s="15">
        <f>'1'!V16</f>
        <v>319</v>
      </c>
      <c r="H4" s="14">
        <f>'1'!W16</f>
        <v>22</v>
      </c>
      <c r="I4" s="15">
        <f>'1'!X16</f>
        <v>1086.08</v>
      </c>
    </row>
    <row r="5" spans="1:9" x14ac:dyDescent="0.25">
      <c r="A5" s="13">
        <v>2</v>
      </c>
      <c r="B5" s="14">
        <f>'2'!Q16</f>
        <v>11</v>
      </c>
      <c r="C5" s="14">
        <f>'2'!R16</f>
        <v>5</v>
      </c>
      <c r="D5" s="14">
        <f>'2'!S16</f>
        <v>2</v>
      </c>
      <c r="E5" s="14">
        <f>'2'!T16</f>
        <v>1</v>
      </c>
      <c r="F5" s="14">
        <f>'2'!U16</f>
        <v>4</v>
      </c>
      <c r="G5" s="15">
        <f>'2'!V16</f>
        <v>248</v>
      </c>
      <c r="H5" s="14">
        <f>'2'!W16</f>
        <v>18</v>
      </c>
      <c r="I5" s="15">
        <f>'2'!X16</f>
        <v>1330.54</v>
      </c>
    </row>
    <row r="6" spans="1:9" x14ac:dyDescent="0.25">
      <c r="A6" s="13">
        <v>3</v>
      </c>
      <c r="B6" s="14">
        <f>'3'!Q16</f>
        <v>17</v>
      </c>
      <c r="C6" s="14">
        <f>'3'!R16</f>
        <v>6</v>
      </c>
      <c r="D6" s="14">
        <f>'3'!S16</f>
        <v>1</v>
      </c>
      <c r="E6" s="14">
        <f>'3'!T16</f>
        <v>0</v>
      </c>
      <c r="F6" s="14">
        <f>'3'!U16</f>
        <v>5</v>
      </c>
      <c r="G6" s="15">
        <f>'3'!V16</f>
        <v>273</v>
      </c>
      <c r="H6" s="14">
        <f>'3'!W16</f>
        <v>25</v>
      </c>
      <c r="I6" s="15">
        <f>'3'!X16</f>
        <v>1820.04</v>
      </c>
    </row>
    <row r="7" spans="1:9" x14ac:dyDescent="0.25">
      <c r="A7" s="13">
        <v>4</v>
      </c>
      <c r="B7" s="14">
        <f>'4'!Q16</f>
        <v>6</v>
      </c>
      <c r="C7" s="14">
        <f>'4'!R16</f>
        <v>4</v>
      </c>
      <c r="D7" s="14">
        <f>'4'!S16</f>
        <v>0</v>
      </c>
      <c r="E7" s="14">
        <f>'4'!T16</f>
        <v>1</v>
      </c>
      <c r="F7" s="14">
        <f>'4'!U16</f>
        <v>3</v>
      </c>
      <c r="G7" s="15">
        <f>'4'!V16</f>
        <v>225</v>
      </c>
      <c r="H7" s="14">
        <f>'4'!W16</f>
        <v>12</v>
      </c>
      <c r="I7" s="15">
        <f>'4'!X16</f>
        <v>816.73</v>
      </c>
    </row>
    <row r="8" spans="1:9" x14ac:dyDescent="0.25">
      <c r="A8" s="13">
        <v>5</v>
      </c>
      <c r="B8" s="14">
        <f>'5'!Q16</f>
        <v>24</v>
      </c>
      <c r="C8" s="14">
        <f>'5'!R16</f>
        <v>1</v>
      </c>
      <c r="D8" s="14">
        <f>'5'!S16</f>
        <v>0</v>
      </c>
      <c r="E8" s="14">
        <f>'5'!T16</f>
        <v>0</v>
      </c>
      <c r="F8" s="14">
        <f>'5'!U16</f>
        <v>2</v>
      </c>
      <c r="G8" s="15">
        <f>'5'!V16</f>
        <v>244</v>
      </c>
      <c r="H8" s="14">
        <f>'5'!W16</f>
        <v>26</v>
      </c>
      <c r="I8" s="15">
        <f>'5'!X16</f>
        <v>1902.31</v>
      </c>
    </row>
    <row r="9" spans="1:9" x14ac:dyDescent="0.25">
      <c r="A9" s="13">
        <v>6</v>
      </c>
      <c r="B9" s="14">
        <f>'6'!Q16</f>
        <v>8</v>
      </c>
      <c r="C9" s="14">
        <f>'6'!R16</f>
        <v>6</v>
      </c>
      <c r="D9" s="14">
        <f>'6'!S16</f>
        <v>0</v>
      </c>
      <c r="E9" s="14">
        <f>'6'!T16</f>
        <v>0</v>
      </c>
      <c r="F9" s="14">
        <f>'6'!U16</f>
        <v>3</v>
      </c>
      <c r="G9" s="15">
        <f>'6'!V16</f>
        <v>230</v>
      </c>
      <c r="H9" s="14">
        <f>'6'!W16</f>
        <v>16</v>
      </c>
      <c r="I9" s="15">
        <f>'6'!X16</f>
        <v>697.53</v>
      </c>
    </row>
    <row r="10" spans="1:9" x14ac:dyDescent="0.25">
      <c r="A10" s="13">
        <v>7</v>
      </c>
      <c r="B10" s="14">
        <f>'7'!Q16</f>
        <v>8</v>
      </c>
      <c r="C10" s="14">
        <f>'7'!R16</f>
        <v>1</v>
      </c>
      <c r="D10" s="14">
        <f>'7'!S16</f>
        <v>2</v>
      </c>
      <c r="E10" s="14">
        <f>'7'!T16</f>
        <v>6</v>
      </c>
      <c r="F10" s="14">
        <f>'7'!U16</f>
        <v>5</v>
      </c>
      <c r="G10" s="15">
        <f>'7'!V16</f>
        <v>165</v>
      </c>
      <c r="H10" s="14">
        <f>'7'!W16</f>
        <v>13</v>
      </c>
      <c r="I10" s="15">
        <f>'7'!X16</f>
        <v>784.43000000000006</v>
      </c>
    </row>
    <row r="11" spans="1:9" x14ac:dyDescent="0.25">
      <c r="A11" s="13">
        <v>8</v>
      </c>
      <c r="B11" s="14">
        <f>'8'!Q16</f>
        <v>16</v>
      </c>
      <c r="C11" s="14">
        <f>'8'!R16</f>
        <v>5</v>
      </c>
      <c r="D11" s="14">
        <f>'8'!S16</f>
        <v>1</v>
      </c>
      <c r="E11" s="14">
        <f>'8'!T16</f>
        <v>2</v>
      </c>
      <c r="F11" s="14">
        <f>'8'!U16</f>
        <v>5</v>
      </c>
      <c r="G11" s="15">
        <f>'8'!V16</f>
        <v>221</v>
      </c>
      <c r="H11" s="14">
        <f>'8'!W16</f>
        <v>22</v>
      </c>
      <c r="I11" s="15">
        <f>'8'!X16</f>
        <v>1660.3300000000004</v>
      </c>
    </row>
    <row r="12" spans="1:9" x14ac:dyDescent="0.25">
      <c r="A12" s="13">
        <v>9</v>
      </c>
      <c r="B12" s="14">
        <f>'9'!Q16</f>
        <v>13</v>
      </c>
      <c r="C12" s="14">
        <f>'9'!R16</f>
        <v>4</v>
      </c>
      <c r="D12" s="14">
        <f>'9'!S16</f>
        <v>2</v>
      </c>
      <c r="E12" s="14">
        <f>'9'!T16</f>
        <v>1</v>
      </c>
      <c r="F12" s="14">
        <f>'9'!U16</f>
        <v>2</v>
      </c>
      <c r="G12" s="15">
        <f>'9'!V16</f>
        <v>231</v>
      </c>
      <c r="H12" s="14">
        <f>'9'!W16</f>
        <v>20</v>
      </c>
      <c r="I12" s="15">
        <f>'9'!X16</f>
        <v>1250.1299999999999</v>
      </c>
    </row>
    <row r="13" spans="1:9" x14ac:dyDescent="0.25">
      <c r="A13" s="13">
        <v>10</v>
      </c>
      <c r="B13" s="14">
        <f>'10'!Q16</f>
        <v>12</v>
      </c>
      <c r="C13" s="14">
        <f>'10'!R16</f>
        <v>5</v>
      </c>
      <c r="D13" s="14">
        <f>'10'!S16</f>
        <v>0</v>
      </c>
      <c r="E13" s="14">
        <f>'10'!T16</f>
        <v>1</v>
      </c>
      <c r="F13" s="14">
        <f>'10'!U16</f>
        <v>1</v>
      </c>
      <c r="G13" s="15">
        <f>'10'!V16</f>
        <v>178</v>
      </c>
      <c r="H13" s="14">
        <f>'10'!W16</f>
        <v>21</v>
      </c>
      <c r="I13" s="15">
        <f>'10'!X16</f>
        <v>1735.11</v>
      </c>
    </row>
    <row r="14" spans="1:9" x14ac:dyDescent="0.25">
      <c r="A14" s="13">
        <v>11</v>
      </c>
      <c r="B14" s="14">
        <f>'11'!Q16</f>
        <v>9</v>
      </c>
      <c r="C14" s="14">
        <f>'11'!R16</f>
        <v>2</v>
      </c>
      <c r="D14" s="14">
        <f>'11'!S16</f>
        <v>0</v>
      </c>
      <c r="E14" s="14">
        <f>'11'!T16</f>
        <v>1</v>
      </c>
      <c r="F14" s="14">
        <f>'11'!U16</f>
        <v>2</v>
      </c>
      <c r="G14" s="15">
        <f>'11'!V16</f>
        <v>168</v>
      </c>
      <c r="H14" s="14">
        <f>'11'!W16</f>
        <v>15</v>
      </c>
      <c r="I14" s="15">
        <f>'11'!X16</f>
        <v>864.4799999999999</v>
      </c>
    </row>
    <row r="15" spans="1:9" x14ac:dyDescent="0.25">
      <c r="A15" s="13">
        <v>12</v>
      </c>
      <c r="B15" s="14">
        <f>'12'!Q16</f>
        <v>10</v>
      </c>
      <c r="C15" s="14">
        <f>'12'!R16</f>
        <v>8</v>
      </c>
      <c r="D15" s="14">
        <f>'12'!S16</f>
        <v>1</v>
      </c>
      <c r="E15" s="14">
        <f>'12'!T16</f>
        <v>0</v>
      </c>
      <c r="F15" s="14">
        <f>'12'!U16</f>
        <v>2</v>
      </c>
      <c r="G15" s="15">
        <f>'12'!V16</f>
        <v>202</v>
      </c>
      <c r="H15" s="14">
        <f>'12'!W16</f>
        <v>22</v>
      </c>
      <c r="I15" s="15">
        <f>'12'!X16</f>
        <v>734.83999999999992</v>
      </c>
    </row>
    <row r="16" spans="1:9" x14ac:dyDescent="0.25">
      <c r="A16" s="13">
        <v>13</v>
      </c>
      <c r="B16" s="14">
        <f>'13'!Q16</f>
        <v>21</v>
      </c>
      <c r="C16" s="14">
        <f>'13'!R16</f>
        <v>4</v>
      </c>
      <c r="D16" s="14">
        <f>'13'!S16</f>
        <v>3</v>
      </c>
      <c r="E16" s="14">
        <f>'13'!T16</f>
        <v>2</v>
      </c>
      <c r="F16" s="14">
        <f>'13'!U16</f>
        <v>1</v>
      </c>
      <c r="G16" s="15">
        <f>'13'!V16</f>
        <v>382</v>
      </c>
      <c r="H16" s="14">
        <f>'13'!W16</f>
        <v>29</v>
      </c>
      <c r="I16" s="15">
        <f>'13'!X16</f>
        <v>1089.6500000000001</v>
      </c>
    </row>
    <row r="17" spans="1:9" x14ac:dyDescent="0.25">
      <c r="A17" s="13">
        <v>14</v>
      </c>
      <c r="B17" s="14">
        <f>'14'!Q16</f>
        <v>16</v>
      </c>
      <c r="C17" s="14">
        <f>'14'!R16</f>
        <v>4</v>
      </c>
      <c r="D17" s="14">
        <f>'14'!S16</f>
        <v>2</v>
      </c>
      <c r="E17" s="14">
        <f>'14'!T16</f>
        <v>2</v>
      </c>
      <c r="F17" s="14">
        <f>'14'!U16</f>
        <v>2</v>
      </c>
      <c r="G17" s="15">
        <f>'14'!V16</f>
        <v>317</v>
      </c>
      <c r="H17" s="14">
        <f>'14'!W16</f>
        <v>26</v>
      </c>
      <c r="I17" s="15">
        <f>'14'!X16</f>
        <v>1811.69</v>
      </c>
    </row>
    <row r="18" spans="1:9" x14ac:dyDescent="0.25">
      <c r="A18" s="13">
        <v>15</v>
      </c>
      <c r="B18" s="14">
        <f>'15'!Q16</f>
        <v>10</v>
      </c>
      <c r="C18" s="14">
        <f>'15'!R16</f>
        <v>5</v>
      </c>
      <c r="D18" s="14">
        <f>'15'!S16</f>
        <v>2</v>
      </c>
      <c r="E18" s="14">
        <f>'15'!T16</f>
        <v>1</v>
      </c>
      <c r="F18" s="14">
        <f>'15'!U16</f>
        <v>2</v>
      </c>
      <c r="G18" s="15">
        <f>'15'!V16</f>
        <v>248</v>
      </c>
      <c r="H18" s="14">
        <f>'15'!W16</f>
        <v>22</v>
      </c>
      <c r="I18" s="15">
        <f>'15'!X16</f>
        <v>1503.79</v>
      </c>
    </row>
    <row r="19" spans="1:9" x14ac:dyDescent="0.25">
      <c r="A19" s="13">
        <v>16</v>
      </c>
      <c r="B19" s="14">
        <f>'16'!Q16</f>
        <v>17</v>
      </c>
      <c r="C19" s="14">
        <f>'16'!R16</f>
        <v>5</v>
      </c>
      <c r="D19" s="14">
        <f>'16'!S16</f>
        <v>1</v>
      </c>
      <c r="E19" s="14">
        <f>'16'!T16</f>
        <v>1</v>
      </c>
      <c r="F19" s="14">
        <f>'16'!U16</f>
        <v>3</v>
      </c>
      <c r="G19" s="15">
        <f>'16'!V16</f>
        <v>304</v>
      </c>
      <c r="H19" s="14">
        <f>'16'!W16</f>
        <v>27</v>
      </c>
      <c r="I19" s="15">
        <f>'16'!X16</f>
        <v>1458.04</v>
      </c>
    </row>
    <row r="20" spans="1:9" x14ac:dyDescent="0.25">
      <c r="A20" s="13">
        <v>17</v>
      </c>
      <c r="B20" s="14">
        <f>'17'!Q16</f>
        <v>9</v>
      </c>
      <c r="C20" s="14">
        <f>'17'!R16</f>
        <v>3</v>
      </c>
      <c r="D20" s="14">
        <f>'17'!S16</f>
        <v>3</v>
      </c>
      <c r="E20" s="14">
        <f>'17'!T16</f>
        <v>1</v>
      </c>
      <c r="F20" s="14">
        <f>'17'!U16</f>
        <v>4</v>
      </c>
      <c r="G20" s="15">
        <f>'17'!V16</f>
        <v>248</v>
      </c>
      <c r="H20" s="14">
        <f>'17'!W16</f>
        <v>19</v>
      </c>
      <c r="I20" s="15">
        <f>'17'!X16</f>
        <v>717.57</v>
      </c>
    </row>
    <row r="21" spans="1:9" x14ac:dyDescent="0.25">
      <c r="A21" s="13">
        <v>18</v>
      </c>
      <c r="B21" s="14">
        <f>'18'!Q16</f>
        <v>14</v>
      </c>
      <c r="C21" s="14">
        <f>'18'!R16</f>
        <v>10</v>
      </c>
      <c r="D21" s="14">
        <f>'18'!S16</f>
        <v>2</v>
      </c>
      <c r="E21" s="14">
        <f>'18'!T16</f>
        <v>1</v>
      </c>
      <c r="F21" s="14">
        <f>'18'!U16</f>
        <v>1</v>
      </c>
      <c r="G21" s="15">
        <f>'18'!V16</f>
        <v>238</v>
      </c>
      <c r="H21" s="14">
        <f>'18'!W16</f>
        <v>25</v>
      </c>
      <c r="I21" s="15">
        <f>'18'!X16</f>
        <v>1495.3899999999999</v>
      </c>
    </row>
    <row r="22" spans="1:9" x14ac:dyDescent="0.25">
      <c r="A22" s="13">
        <v>19</v>
      </c>
      <c r="B22" s="14">
        <f>'19'!Q16</f>
        <v>12</v>
      </c>
      <c r="C22" s="14">
        <f>'19'!R16</f>
        <v>4</v>
      </c>
      <c r="D22" s="14">
        <f>'19'!S16</f>
        <v>4</v>
      </c>
      <c r="E22" s="14">
        <f>'19'!T16</f>
        <v>0</v>
      </c>
      <c r="F22" s="14">
        <f>'19'!U16</f>
        <v>3</v>
      </c>
      <c r="G22" s="15">
        <f>'19'!V16</f>
        <v>450</v>
      </c>
      <c r="H22" s="14">
        <f>'19'!W16</f>
        <v>20</v>
      </c>
      <c r="I22" s="15">
        <f>'19'!X16</f>
        <v>1351.2600000000002</v>
      </c>
    </row>
    <row r="23" spans="1:9" x14ac:dyDescent="0.25">
      <c r="A23" s="13">
        <v>20</v>
      </c>
      <c r="B23" s="14">
        <f>'20'!Q16</f>
        <v>17</v>
      </c>
      <c r="C23" s="14">
        <f>'20'!R16</f>
        <v>5</v>
      </c>
      <c r="D23" s="14">
        <f>'20'!S16</f>
        <v>1</v>
      </c>
      <c r="E23" s="14">
        <f>'20'!T16</f>
        <v>0</v>
      </c>
      <c r="F23" s="14">
        <f>'20'!U16</f>
        <v>3</v>
      </c>
      <c r="G23" s="15">
        <f>'20'!V16</f>
        <v>354</v>
      </c>
      <c r="H23" s="14">
        <f>'20'!W16</f>
        <v>24</v>
      </c>
      <c r="I23" s="15">
        <f>'20'!X16</f>
        <v>1377.04</v>
      </c>
    </row>
    <row r="24" spans="1:9" x14ac:dyDescent="0.25">
      <c r="A24" s="13">
        <v>21</v>
      </c>
      <c r="B24" s="14">
        <f>'21'!Q16</f>
        <v>11</v>
      </c>
      <c r="C24" s="14">
        <f>'21'!R16</f>
        <v>6</v>
      </c>
      <c r="D24" s="14">
        <f>'21'!S16</f>
        <v>0</v>
      </c>
      <c r="E24" s="14">
        <f>'21'!T16</f>
        <v>1</v>
      </c>
      <c r="F24" s="14">
        <f>'21'!U16</f>
        <v>1</v>
      </c>
      <c r="G24" s="15">
        <f>'21'!V16</f>
        <v>263</v>
      </c>
      <c r="H24" s="14">
        <f>'21'!W16</f>
        <v>20</v>
      </c>
      <c r="I24" s="15">
        <f>'21'!X16</f>
        <v>1373.4899999999998</v>
      </c>
    </row>
    <row r="25" spans="1:9" x14ac:dyDescent="0.25">
      <c r="A25" s="13">
        <v>22</v>
      </c>
      <c r="B25" s="14">
        <f>'22'!Q16</f>
        <v>15</v>
      </c>
      <c r="C25" s="14">
        <f>'22'!R16</f>
        <v>6</v>
      </c>
      <c r="D25" s="14">
        <f>'22'!S16</f>
        <v>1</v>
      </c>
      <c r="E25" s="14">
        <f>'22'!T16</f>
        <v>2</v>
      </c>
      <c r="F25" s="14">
        <f>'22'!U16</f>
        <v>2</v>
      </c>
      <c r="G25" s="15">
        <f>'22'!V16</f>
        <v>265</v>
      </c>
      <c r="H25" s="14">
        <f>'22'!W16</f>
        <v>26</v>
      </c>
      <c r="I25" s="15">
        <f>'22'!X16</f>
        <v>2154.89</v>
      </c>
    </row>
    <row r="26" spans="1:9" x14ac:dyDescent="0.25">
      <c r="A26" s="13">
        <v>23</v>
      </c>
      <c r="B26" s="14">
        <f>'23'!Q16</f>
        <v>13</v>
      </c>
      <c r="C26" s="14">
        <f>'23'!R16</f>
        <v>1</v>
      </c>
      <c r="D26" s="14">
        <f>'23'!S16</f>
        <v>2</v>
      </c>
      <c r="E26" s="14">
        <f>'23'!T16</f>
        <v>4</v>
      </c>
      <c r="F26" s="14">
        <f>'23'!U16</f>
        <v>7</v>
      </c>
      <c r="G26" s="15">
        <f>'23'!V16</f>
        <v>268</v>
      </c>
      <c r="H26" s="14">
        <f>'23'!W16</f>
        <v>20</v>
      </c>
      <c r="I26" s="15">
        <f>'23'!X16</f>
        <v>1673.31</v>
      </c>
    </row>
    <row r="27" spans="1:9" x14ac:dyDescent="0.25">
      <c r="A27" s="13">
        <v>24</v>
      </c>
      <c r="B27" s="14">
        <f>'24'!Q16</f>
        <v>9</v>
      </c>
      <c r="C27" s="14">
        <f>'24'!R16</f>
        <v>6</v>
      </c>
      <c r="D27" s="14">
        <f>'24'!S16</f>
        <v>2</v>
      </c>
      <c r="E27" s="14">
        <f>'24'!T16</f>
        <v>1</v>
      </c>
      <c r="F27" s="14">
        <f>'24'!U16</f>
        <v>1</v>
      </c>
      <c r="G27" s="15">
        <f>'24'!V16</f>
        <v>193</v>
      </c>
      <c r="H27" s="14">
        <f>'24'!W16</f>
        <v>14</v>
      </c>
      <c r="I27" s="15">
        <f>'24'!X16</f>
        <v>487.68</v>
      </c>
    </row>
    <row r="28" spans="1:9" x14ac:dyDescent="0.25">
      <c r="A28" s="13">
        <v>25</v>
      </c>
      <c r="B28" s="14">
        <f>'25'!Q16</f>
        <v>8</v>
      </c>
      <c r="C28" s="14">
        <f>'25'!R16</f>
        <v>5</v>
      </c>
      <c r="D28" s="14">
        <f>'25'!S16</f>
        <v>2</v>
      </c>
      <c r="E28" s="14">
        <f>'25'!T16</f>
        <v>3</v>
      </c>
      <c r="F28" s="14">
        <f>'25'!U16</f>
        <v>2</v>
      </c>
      <c r="G28" s="15">
        <f>'25'!V16</f>
        <v>221</v>
      </c>
      <c r="H28" s="14">
        <f>'25'!W16</f>
        <v>17</v>
      </c>
      <c r="I28" s="15">
        <f>'25'!X16</f>
        <v>658.82999999999993</v>
      </c>
    </row>
    <row r="29" spans="1:9" x14ac:dyDescent="0.25">
      <c r="A29" s="13">
        <v>26</v>
      </c>
      <c r="B29" s="14">
        <f>'26'!Q16</f>
        <v>9</v>
      </c>
      <c r="C29" s="14">
        <f>'26'!R16</f>
        <v>5</v>
      </c>
      <c r="D29" s="14">
        <f>'26'!S16</f>
        <v>1</v>
      </c>
      <c r="E29" s="14">
        <f>'26'!T16</f>
        <v>0</v>
      </c>
      <c r="F29" s="14">
        <f>'26'!U16</f>
        <v>0</v>
      </c>
      <c r="G29" s="15">
        <f>'26'!V16</f>
        <v>137</v>
      </c>
      <c r="H29" s="14">
        <f>'26'!W16</f>
        <v>18</v>
      </c>
      <c r="I29" s="15">
        <f>'26'!X16</f>
        <v>868.06</v>
      </c>
    </row>
    <row r="30" spans="1:9" x14ac:dyDescent="0.25">
      <c r="A30" s="13">
        <v>27</v>
      </c>
      <c r="B30" s="14">
        <f>'27'!Q16</f>
        <v>5</v>
      </c>
      <c r="C30" s="14">
        <f>'27'!R16</f>
        <v>6</v>
      </c>
      <c r="D30" s="14">
        <f>'27'!S16</f>
        <v>1</v>
      </c>
      <c r="E30" s="14">
        <f>'27'!T16</f>
        <v>1</v>
      </c>
      <c r="F30" s="14">
        <f>'27'!U16</f>
        <v>2</v>
      </c>
      <c r="G30" s="15">
        <f>'27'!V16</f>
        <v>212</v>
      </c>
      <c r="H30" s="14">
        <f>'27'!W16</f>
        <v>18</v>
      </c>
      <c r="I30" s="15">
        <f>'27'!X16</f>
        <v>1041.5700000000002</v>
      </c>
    </row>
    <row r="31" spans="1:9" x14ac:dyDescent="0.25">
      <c r="A31" s="13">
        <v>28</v>
      </c>
      <c r="B31" s="14">
        <f>'28'!Q16</f>
        <v>14</v>
      </c>
      <c r="C31" s="14">
        <f>'28'!R16</f>
        <v>1</v>
      </c>
      <c r="D31" s="14">
        <f>'28'!S16</f>
        <v>1</v>
      </c>
      <c r="E31" s="14">
        <f>'28'!T16</f>
        <v>0</v>
      </c>
      <c r="F31" s="14">
        <f>'28'!U16</f>
        <v>1</v>
      </c>
      <c r="G31" s="15">
        <f>'28'!V16</f>
        <v>303</v>
      </c>
      <c r="H31" s="14">
        <f>'28'!W16</f>
        <v>22</v>
      </c>
      <c r="I31" s="15">
        <f>'28'!X16</f>
        <v>1539.6699999999998</v>
      </c>
    </row>
    <row r="32" spans="1:9" x14ac:dyDescent="0.25">
      <c r="A32" s="13">
        <v>29</v>
      </c>
      <c r="B32" s="14">
        <f>'29'!Q16</f>
        <v>12</v>
      </c>
      <c r="C32" s="14">
        <f>'29'!R16</f>
        <v>5</v>
      </c>
      <c r="D32" s="14">
        <f>'29'!S16</f>
        <v>0</v>
      </c>
      <c r="E32" s="14">
        <f>'29'!T16</f>
        <v>0</v>
      </c>
      <c r="F32" s="14">
        <f>'29'!U16</f>
        <v>3</v>
      </c>
      <c r="G32" s="15">
        <f>'29'!V16</f>
        <v>264</v>
      </c>
      <c r="H32" s="14">
        <f>'29'!W16</f>
        <v>19</v>
      </c>
      <c r="I32" s="15">
        <f>'29'!X16</f>
        <v>1176.17</v>
      </c>
    </row>
    <row r="33" spans="1:9" x14ac:dyDescent="0.25">
      <c r="A33" s="13">
        <v>30</v>
      </c>
      <c r="B33" s="14">
        <f>'30'!Q16</f>
        <v>8</v>
      </c>
      <c r="C33" s="14">
        <f>'30'!R16</f>
        <v>5</v>
      </c>
      <c r="D33" s="14">
        <f>'30'!S16</f>
        <v>1</v>
      </c>
      <c r="E33" s="14">
        <f>'30'!T16</f>
        <v>0</v>
      </c>
      <c r="F33" s="14">
        <f>'30'!U16</f>
        <v>1</v>
      </c>
      <c r="G33" s="15">
        <f>'30'!V16</f>
        <v>280</v>
      </c>
      <c r="H33" s="14">
        <f>'30'!W16</f>
        <v>20</v>
      </c>
      <c r="I33" s="15">
        <f>'30'!X16</f>
        <v>1506.37</v>
      </c>
    </row>
    <row r="34" spans="1:9" x14ac:dyDescent="0.25">
      <c r="A34" s="13">
        <v>31</v>
      </c>
      <c r="B34" s="14">
        <f>'31'!Q16</f>
        <v>15</v>
      </c>
      <c r="C34" s="14">
        <f>'31'!R16</f>
        <v>4</v>
      </c>
      <c r="D34" s="14">
        <f>'31'!S16</f>
        <v>1</v>
      </c>
      <c r="E34" s="14">
        <f>'31'!T16</f>
        <v>1</v>
      </c>
      <c r="F34" s="14">
        <f>'31'!U16</f>
        <v>0</v>
      </c>
      <c r="G34" s="15">
        <f>'31'!V16</f>
        <v>214</v>
      </c>
      <c r="H34" s="14">
        <f>'31'!W16</f>
        <v>17</v>
      </c>
      <c r="I34" s="15">
        <f>'31'!X16</f>
        <v>731.69</v>
      </c>
    </row>
  </sheetData>
  <mergeCells count="2">
    <mergeCell ref="A1:I1"/>
    <mergeCell ref="A2:I2"/>
  </mergeCells>
  <conditionalFormatting sqref="B4:B34">
    <cfRule type="colorScale" priority="1">
      <colorScale>
        <cfvo type="min"/>
        <cfvo type="percentile" val="50"/>
        <cfvo type="max"/>
        <color rgb="FFFFFFFF"/>
        <color rgb="FFF7A9D0"/>
        <color rgb="FFE20074"/>
      </colorScale>
    </cfRule>
  </conditionalFormatting>
  <conditionalFormatting sqref="C4:C34">
    <cfRule type="colorScale" priority="2">
      <colorScale>
        <cfvo type="min"/>
        <cfvo type="percentile" val="50"/>
        <cfvo type="max"/>
        <color rgb="FFFFFFFF"/>
        <color rgb="FFF7A9D0"/>
        <color rgb="FFE20074"/>
      </colorScale>
    </cfRule>
  </conditionalFormatting>
  <conditionalFormatting sqref="D4:D34">
    <cfRule type="colorScale" priority="3">
      <colorScale>
        <cfvo type="min"/>
        <cfvo type="percentile" val="50"/>
        <cfvo type="max"/>
        <color rgb="FFFFFFFF"/>
        <color rgb="FFF7A9D0"/>
        <color rgb="FFE20074"/>
      </colorScale>
    </cfRule>
  </conditionalFormatting>
  <conditionalFormatting sqref="E4:E34">
    <cfRule type="colorScale" priority="4">
      <colorScale>
        <cfvo type="min"/>
        <cfvo type="percentile" val="50"/>
        <cfvo type="max"/>
        <color rgb="FFFFFFFF"/>
        <color rgb="FFF7A9D0"/>
        <color rgb="FFE20074"/>
      </colorScale>
    </cfRule>
  </conditionalFormatting>
  <conditionalFormatting sqref="F4:F34">
    <cfRule type="colorScale" priority="5">
      <colorScale>
        <cfvo type="min"/>
        <cfvo type="percentile" val="50"/>
        <cfvo type="max"/>
        <color rgb="FFFFFFFF"/>
        <color rgb="FFF7A9D0"/>
        <color rgb="FFE20074"/>
      </colorScale>
    </cfRule>
  </conditionalFormatting>
  <conditionalFormatting sqref="G4:G34">
    <cfRule type="colorScale" priority="6">
      <colorScale>
        <cfvo type="min"/>
        <cfvo type="percentile" val="50"/>
        <cfvo type="max"/>
        <color rgb="FFFFFFFF"/>
        <color rgb="FFF7A9D0"/>
        <color rgb="FFE20074"/>
      </colorScale>
    </cfRule>
  </conditionalFormatting>
  <conditionalFormatting sqref="H4:H34">
    <cfRule type="colorScale" priority="7">
      <colorScale>
        <cfvo type="min"/>
        <cfvo type="percentile" val="50"/>
        <cfvo type="max"/>
        <color rgb="FFFFFFFF"/>
        <color rgb="FFF7A9D0"/>
        <color rgb="FFE20074"/>
      </colorScale>
    </cfRule>
  </conditionalFormatting>
  <conditionalFormatting sqref="I4:I34">
    <cfRule type="colorScale" priority="8">
      <colorScale>
        <cfvo type="min"/>
        <cfvo type="percentile" val="50"/>
        <cfvo type="max"/>
        <color rgb="FFFFFFFF"/>
        <color rgb="FFF7A9D0"/>
        <color rgb="FFE2007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tabSelected="1" workbookViewId="0">
      <selection sqref="A1:E1"/>
    </sheetView>
  </sheetViews>
  <sheetFormatPr defaultRowHeight="15" x14ac:dyDescent="0.25"/>
  <cols>
    <col min="1" max="5" width="14" customWidth="1"/>
  </cols>
  <sheetData>
    <row r="1" spans="1:5" ht="24" customHeight="1" x14ac:dyDescent="0.25">
      <c r="A1" s="45" t="s">
        <v>30</v>
      </c>
      <c r="B1" s="23"/>
      <c r="C1" s="23"/>
      <c r="D1" s="23"/>
      <c r="E1" s="23"/>
    </row>
    <row r="2" spans="1:5" ht="14.1" customHeight="1" x14ac:dyDescent="0.25">
      <c r="A2" s="44" t="s">
        <v>19</v>
      </c>
      <c r="B2" s="23"/>
      <c r="C2" s="23"/>
      <c r="D2" s="23"/>
      <c r="E2" s="23"/>
    </row>
    <row r="3" spans="1:5" x14ac:dyDescent="0.25">
      <c r="A3" s="12" t="s">
        <v>31</v>
      </c>
      <c r="B3" s="12" t="s">
        <v>32</v>
      </c>
      <c r="C3" s="12" t="s">
        <v>33</v>
      </c>
      <c r="D3" s="12" t="s">
        <v>34</v>
      </c>
      <c r="E3" s="12" t="s">
        <v>35</v>
      </c>
    </row>
    <row r="4" spans="1:5" x14ac:dyDescent="0.25">
      <c r="A4" s="13" t="s">
        <v>22</v>
      </c>
      <c r="B4" s="14">
        <f>SUM('1:31'!Q16)</f>
        <v>381</v>
      </c>
      <c r="C4" s="14">
        <f>Setup!$F$4</f>
        <v>365</v>
      </c>
      <c r="D4" s="16">
        <f t="shared" ref="D4:D11" si="0">IFERROR(B4/C4,0)</f>
        <v>1.0438356164383562</v>
      </c>
      <c r="E4" s="14">
        <f t="shared" ref="E4:E11" si="1">B4-C4</f>
        <v>16</v>
      </c>
    </row>
    <row r="5" spans="1:5" x14ac:dyDescent="0.25">
      <c r="A5" s="13" t="s">
        <v>23</v>
      </c>
      <c r="B5" s="14">
        <f>SUM('1:31'!R16)</f>
        <v>143</v>
      </c>
      <c r="C5" s="14">
        <f>Setup!$F$5</f>
        <v>145</v>
      </c>
      <c r="D5" s="16">
        <f t="shared" si="0"/>
        <v>0.98620689655172411</v>
      </c>
      <c r="E5" s="14">
        <f t="shared" si="1"/>
        <v>-2</v>
      </c>
    </row>
    <row r="6" spans="1:5" x14ac:dyDescent="0.25">
      <c r="A6" s="13" t="s">
        <v>15</v>
      </c>
      <c r="B6" s="14">
        <f>SUM('1:31'!S16)</f>
        <v>42</v>
      </c>
      <c r="C6" s="14">
        <f>Setup!$F$6</f>
        <v>40</v>
      </c>
      <c r="D6" s="16">
        <f t="shared" si="0"/>
        <v>1.05</v>
      </c>
      <c r="E6" s="14">
        <f t="shared" si="1"/>
        <v>2</v>
      </c>
    </row>
    <row r="7" spans="1:5" x14ac:dyDescent="0.25">
      <c r="A7" s="13" t="s">
        <v>13</v>
      </c>
      <c r="B7" s="14">
        <f>SUM('1:31'!T16)</f>
        <v>38</v>
      </c>
      <c r="C7" s="14">
        <f>Setup!$F$7</f>
        <v>40</v>
      </c>
      <c r="D7" s="16">
        <f t="shared" si="0"/>
        <v>0.95</v>
      </c>
      <c r="E7" s="14">
        <f t="shared" si="1"/>
        <v>-2</v>
      </c>
    </row>
    <row r="8" spans="1:5" x14ac:dyDescent="0.25">
      <c r="A8" s="13" t="s">
        <v>27</v>
      </c>
      <c r="B8" s="14">
        <f>SUM('1:31'!U16)</f>
        <v>76</v>
      </c>
      <c r="C8" s="14">
        <f>Setup!$F$8</f>
        <v>75</v>
      </c>
      <c r="D8" s="16">
        <f t="shared" si="0"/>
        <v>1.0133333333333334</v>
      </c>
      <c r="E8" s="14">
        <f t="shared" si="1"/>
        <v>1</v>
      </c>
    </row>
    <row r="9" spans="1:5" x14ac:dyDescent="0.25">
      <c r="A9" s="13" t="s">
        <v>28</v>
      </c>
      <c r="B9" s="15">
        <f>SUM('1:31'!V16)</f>
        <v>7865</v>
      </c>
      <c r="C9" s="15">
        <f>Setup!$F$9</f>
        <v>7700</v>
      </c>
      <c r="D9" s="16">
        <f t="shared" si="0"/>
        <v>1.0214285714285714</v>
      </c>
      <c r="E9" s="15">
        <f t="shared" si="1"/>
        <v>165</v>
      </c>
    </row>
    <row r="10" spans="1:5" x14ac:dyDescent="0.25">
      <c r="A10" s="13" t="s">
        <v>29</v>
      </c>
      <c r="B10" s="14">
        <f>SUM('1:31'!W16)</f>
        <v>635</v>
      </c>
      <c r="C10" s="14">
        <f>Setup!$F$10</f>
        <v>600</v>
      </c>
      <c r="D10" s="16">
        <f t="shared" si="0"/>
        <v>1.0583333333333333</v>
      </c>
      <c r="E10" s="14">
        <f t="shared" si="1"/>
        <v>35</v>
      </c>
    </row>
    <row r="11" spans="1:5" x14ac:dyDescent="0.25">
      <c r="A11" s="13" t="s">
        <v>25</v>
      </c>
      <c r="B11" s="15">
        <f>SUM('1:31'!X16)</f>
        <v>38698.71</v>
      </c>
      <c r="C11" s="15">
        <f>Setup!$F$11</f>
        <v>39500</v>
      </c>
      <c r="D11" s="16">
        <f t="shared" si="0"/>
        <v>0.97971417721518983</v>
      </c>
      <c r="E11" s="15">
        <f t="shared" si="1"/>
        <v>-801.29000000000087</v>
      </c>
    </row>
  </sheetData>
  <mergeCells count="2">
    <mergeCell ref="A2:E2"/>
    <mergeCell ref="A1:E1"/>
  </mergeCells>
  <conditionalFormatting sqref="D4:D11">
    <cfRule type="colorScale" priority="1">
      <colorScale>
        <cfvo type="num" val="0.6"/>
        <cfvo type="num" val="1"/>
        <cfvo type="num" val="1.3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showGridLines="0" workbookViewId="0"/>
  </sheetViews>
  <sheetFormatPr defaultRowHeight="15" x14ac:dyDescent="0.25"/>
  <cols>
    <col min="1" max="1" width="18" customWidth="1"/>
    <col min="3" max="3" width="24" customWidth="1"/>
    <col min="5" max="6" width="14" customWidth="1"/>
  </cols>
  <sheetData>
    <row r="1" spans="1:6" ht="24" customHeight="1" x14ac:dyDescent="0.25">
      <c r="A1" s="45" t="s">
        <v>36</v>
      </c>
      <c r="B1" s="23"/>
      <c r="C1" s="23"/>
      <c r="D1" s="23"/>
      <c r="E1" s="23"/>
      <c r="F1" s="23"/>
    </row>
    <row r="2" spans="1:6" ht="14.1" customHeight="1" x14ac:dyDescent="0.25">
      <c r="A2" s="44" t="s">
        <v>19</v>
      </c>
      <c r="B2" s="23"/>
      <c r="C2" s="23"/>
      <c r="D2" s="23"/>
      <c r="E2" s="23"/>
      <c r="F2" s="23"/>
    </row>
    <row r="3" spans="1:6" x14ac:dyDescent="0.25">
      <c r="A3" s="12" t="s">
        <v>37</v>
      </c>
      <c r="C3" s="12" t="s">
        <v>38</v>
      </c>
      <c r="E3" s="12" t="s">
        <v>31</v>
      </c>
      <c r="F3" s="12" t="s">
        <v>33</v>
      </c>
    </row>
    <row r="4" spans="1:6" x14ac:dyDescent="0.25">
      <c r="A4" s="14" t="s">
        <v>39</v>
      </c>
      <c r="C4" s="14" t="s">
        <v>40</v>
      </c>
      <c r="E4" s="14" t="s">
        <v>22</v>
      </c>
      <c r="F4" s="14">
        <v>365</v>
      </c>
    </row>
    <row r="5" spans="1:6" x14ac:dyDescent="0.25">
      <c r="A5" s="14" t="s">
        <v>41</v>
      </c>
      <c r="C5" s="14" t="s">
        <v>42</v>
      </c>
      <c r="E5" s="14" t="s">
        <v>23</v>
      </c>
      <c r="F5" s="14">
        <v>145</v>
      </c>
    </row>
    <row r="6" spans="1:6" x14ac:dyDescent="0.25">
      <c r="A6" s="14" t="s">
        <v>43</v>
      </c>
      <c r="C6" s="14" t="s">
        <v>44</v>
      </c>
      <c r="E6" s="14" t="s">
        <v>15</v>
      </c>
      <c r="F6" s="14">
        <v>40</v>
      </c>
    </row>
    <row r="7" spans="1:6" x14ac:dyDescent="0.25">
      <c r="A7" s="14" t="s">
        <v>45</v>
      </c>
      <c r="C7" s="14" t="s">
        <v>46</v>
      </c>
      <c r="E7" s="14" t="s">
        <v>13</v>
      </c>
      <c r="F7" s="14">
        <v>40</v>
      </c>
    </row>
    <row r="8" spans="1:6" x14ac:dyDescent="0.25">
      <c r="A8" s="14" t="s">
        <v>47</v>
      </c>
      <c r="C8" s="14" t="s">
        <v>48</v>
      </c>
      <c r="E8" s="14" t="s">
        <v>27</v>
      </c>
      <c r="F8" s="14">
        <v>75</v>
      </c>
    </row>
    <row r="9" spans="1:6" x14ac:dyDescent="0.25">
      <c r="A9" s="14" t="s">
        <v>49</v>
      </c>
      <c r="C9" s="14" t="s">
        <v>50</v>
      </c>
      <c r="E9" s="14" t="s">
        <v>28</v>
      </c>
      <c r="F9" s="15">
        <v>7700</v>
      </c>
    </row>
    <row r="10" spans="1:6" x14ac:dyDescent="0.25">
      <c r="A10" s="14" t="s">
        <v>51</v>
      </c>
      <c r="C10" s="14" t="s">
        <v>52</v>
      </c>
      <c r="E10" s="14" t="s">
        <v>29</v>
      </c>
      <c r="F10" s="14">
        <v>600</v>
      </c>
    </row>
    <row r="11" spans="1:6" x14ac:dyDescent="0.25">
      <c r="A11" s="14" t="s">
        <v>53</v>
      </c>
      <c r="C11" s="14" t="s">
        <v>54</v>
      </c>
      <c r="E11" s="14" t="s">
        <v>25</v>
      </c>
      <c r="F11" s="15">
        <v>39500</v>
      </c>
    </row>
    <row r="12" spans="1:6" x14ac:dyDescent="0.25">
      <c r="A12" s="14" t="s">
        <v>55</v>
      </c>
      <c r="C12" s="14" t="s">
        <v>56</v>
      </c>
    </row>
    <row r="13" spans="1:6" x14ac:dyDescent="0.25">
      <c r="A13" s="14" t="s">
        <v>57</v>
      </c>
      <c r="C13" s="14" t="s">
        <v>58</v>
      </c>
    </row>
    <row r="14" spans="1:6" x14ac:dyDescent="0.25">
      <c r="A14" s="14" t="s">
        <v>59</v>
      </c>
      <c r="C14" s="14" t="s">
        <v>60</v>
      </c>
    </row>
    <row r="15" spans="1:6" x14ac:dyDescent="0.25">
      <c r="A15" s="14" t="s">
        <v>61</v>
      </c>
      <c r="C15" s="14" t="s">
        <v>62</v>
      </c>
    </row>
    <row r="16" spans="1:6" x14ac:dyDescent="0.25">
      <c r="C16" s="14" t="s">
        <v>63</v>
      </c>
    </row>
    <row r="17" spans="1:3" x14ac:dyDescent="0.25">
      <c r="C17" s="14" t="s">
        <v>64</v>
      </c>
    </row>
    <row r="18" spans="1:3" x14ac:dyDescent="0.25">
      <c r="A18" s="17" t="s">
        <v>65</v>
      </c>
      <c r="C18" s="14" t="s">
        <v>66</v>
      </c>
    </row>
    <row r="19" spans="1:3" x14ac:dyDescent="0.25">
      <c r="C19" s="14" t="s">
        <v>67</v>
      </c>
    </row>
    <row r="20" spans="1:3" x14ac:dyDescent="0.25">
      <c r="C20" s="14" t="s">
        <v>68</v>
      </c>
    </row>
    <row r="21" spans="1:3" x14ac:dyDescent="0.25">
      <c r="C21" s="14" t="s">
        <v>69</v>
      </c>
    </row>
    <row r="22" spans="1:3" x14ac:dyDescent="0.25">
      <c r="C22" s="14" t="s">
        <v>70</v>
      </c>
    </row>
    <row r="23" spans="1:3" x14ac:dyDescent="0.25">
      <c r="C23" s="14" t="s">
        <v>71</v>
      </c>
    </row>
    <row r="24" spans="1:3" x14ac:dyDescent="0.25">
      <c r="C24" s="14" t="s">
        <v>72</v>
      </c>
    </row>
    <row r="25" spans="1:3" x14ac:dyDescent="0.25">
      <c r="C25" s="14" t="s">
        <v>73</v>
      </c>
    </row>
    <row r="26" spans="1:3" x14ac:dyDescent="0.25">
      <c r="C26" s="14" t="s">
        <v>74</v>
      </c>
    </row>
    <row r="27" spans="1:3" x14ac:dyDescent="0.25">
      <c r="C27" s="14" t="s">
        <v>75</v>
      </c>
    </row>
    <row r="28" spans="1:3" x14ac:dyDescent="0.25">
      <c r="C28" s="14" t="s">
        <v>76</v>
      </c>
    </row>
    <row r="29" spans="1:3" x14ac:dyDescent="0.25">
      <c r="C29" s="14" t="s">
        <v>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3"/>
  <sheetViews>
    <sheetView showGridLines="0" workbookViewId="0">
      <pane ySplit="3" topLeftCell="A4" activePane="bottomLeft" state="frozen"/>
      <selection pane="bottomLeft" sqref="A1:M1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39</v>
      </c>
      <c r="B4" s="14" t="s">
        <v>84</v>
      </c>
      <c r="C4" s="14" t="s">
        <v>85</v>
      </c>
      <c r="D4" s="14" t="s">
        <v>72</v>
      </c>
      <c r="E4" s="14">
        <v>0</v>
      </c>
      <c r="F4" s="14">
        <v>1</v>
      </c>
      <c r="G4" s="14">
        <v>0</v>
      </c>
      <c r="H4" s="14">
        <v>0</v>
      </c>
      <c r="I4" s="14">
        <v>0</v>
      </c>
      <c r="J4" s="18">
        <v>24</v>
      </c>
      <c r="K4" s="14">
        <v>1</v>
      </c>
      <c r="L4" s="18">
        <v>176.07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2</v>
      </c>
      <c r="S4" s="14">
        <f t="shared" ref="S4:S15" si="2">SUMIF($A$4:$A$43,$P4,G$4:G$43)</f>
        <v>0</v>
      </c>
      <c r="T4" s="14">
        <f t="shared" ref="T4:T15" si="3">SUMIF($A$4:$A$43,$P4,H$4:H$43)</f>
        <v>1</v>
      </c>
      <c r="U4" s="14">
        <f t="shared" ref="U4:U15" si="4">SUMIF($A$4:$A$43,$P4,I$4:I$43)</f>
        <v>1</v>
      </c>
      <c r="V4" s="18">
        <f t="shared" ref="V4:V15" si="5">SUMIF($A$4:$A$43,$P4,J$4:J$43)</f>
        <v>73</v>
      </c>
      <c r="W4" s="14">
        <f t="shared" ref="W4:W15" si="6">SUMIF($A$4:$A$43,$P4,K$4:K$43)</f>
        <v>4</v>
      </c>
      <c r="X4" s="18">
        <f t="shared" ref="X4:X15" si="7">SUMIF($A$4:$A$43,$P4,L$4:L$43)</f>
        <v>373.14</v>
      </c>
    </row>
    <row r="5" spans="1:24" x14ac:dyDescent="0.25">
      <c r="A5" s="14" t="s">
        <v>61</v>
      </c>
      <c r="B5" s="14" t="s">
        <v>87</v>
      </c>
      <c r="C5" s="14" t="s">
        <v>88</v>
      </c>
      <c r="D5" s="14" t="s">
        <v>68</v>
      </c>
      <c r="E5" s="14">
        <v>0</v>
      </c>
      <c r="F5" s="14">
        <v>1</v>
      </c>
      <c r="G5" s="14">
        <v>0</v>
      </c>
      <c r="H5" s="14">
        <v>0</v>
      </c>
      <c r="I5" s="14">
        <v>0</v>
      </c>
      <c r="J5" s="18">
        <v>33</v>
      </c>
      <c r="K5" s="14">
        <v>1</v>
      </c>
      <c r="L5" s="18">
        <v>102.47</v>
      </c>
      <c r="M5" s="14" t="s">
        <v>86</v>
      </c>
      <c r="P5" s="14" t="str">
        <f>Setup!$A$5</f>
        <v>Expert 02</v>
      </c>
      <c r="Q5" s="14">
        <f t="shared" si="0"/>
        <v>3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18</v>
      </c>
      <c r="W5" s="14">
        <f t="shared" si="6"/>
        <v>4</v>
      </c>
      <c r="X5" s="18">
        <f t="shared" si="7"/>
        <v>85.85</v>
      </c>
    </row>
    <row r="6" spans="1:24" x14ac:dyDescent="0.25">
      <c r="A6" s="14" t="s">
        <v>45</v>
      </c>
      <c r="B6" s="14" t="s">
        <v>89</v>
      </c>
      <c r="C6" s="14" t="s">
        <v>90</v>
      </c>
      <c r="D6" s="14" t="s">
        <v>54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1</v>
      </c>
      <c r="X6" s="18">
        <f t="shared" si="7"/>
        <v>160.78</v>
      </c>
    </row>
    <row r="7" spans="1:24" x14ac:dyDescent="0.25">
      <c r="A7" s="14" t="s">
        <v>61</v>
      </c>
      <c r="B7" s="14" t="s">
        <v>91</v>
      </c>
      <c r="C7" s="14" t="s">
        <v>92</v>
      </c>
      <c r="D7" s="14" t="s">
        <v>76</v>
      </c>
      <c r="E7" s="14">
        <v>0</v>
      </c>
      <c r="F7" s="14">
        <v>1</v>
      </c>
      <c r="G7" s="14">
        <v>1</v>
      </c>
      <c r="H7" s="14">
        <v>0</v>
      </c>
      <c r="I7" s="14">
        <v>0</v>
      </c>
      <c r="J7" s="18">
        <v>18</v>
      </c>
      <c r="K7" s="14">
        <v>0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3</v>
      </c>
      <c r="R7" s="14">
        <f t="shared" si="1"/>
        <v>0</v>
      </c>
      <c r="S7" s="14">
        <f t="shared" si="2"/>
        <v>0</v>
      </c>
      <c r="T7" s="14">
        <f t="shared" si="3"/>
        <v>1</v>
      </c>
      <c r="U7" s="14">
        <f t="shared" si="4"/>
        <v>0</v>
      </c>
      <c r="V7" s="18">
        <f t="shared" si="5"/>
        <v>34</v>
      </c>
      <c r="W7" s="14">
        <f t="shared" si="6"/>
        <v>4</v>
      </c>
      <c r="X7" s="18">
        <f t="shared" si="7"/>
        <v>58.48</v>
      </c>
    </row>
    <row r="8" spans="1:24" x14ac:dyDescent="0.25">
      <c r="A8" s="14" t="s">
        <v>41</v>
      </c>
      <c r="B8" s="14" t="s">
        <v>93</v>
      </c>
      <c r="C8" s="14" t="s">
        <v>94</v>
      </c>
      <c r="D8" s="14" t="s">
        <v>58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59.14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0</v>
      </c>
      <c r="X8" s="18">
        <f t="shared" si="7"/>
        <v>0</v>
      </c>
    </row>
    <row r="9" spans="1:24" x14ac:dyDescent="0.25">
      <c r="A9" s="14" t="s">
        <v>51</v>
      </c>
      <c r="B9" s="14" t="s">
        <v>95</v>
      </c>
      <c r="C9" s="14" t="s">
        <v>96</v>
      </c>
      <c r="D9" s="14" t="s">
        <v>66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16</v>
      </c>
      <c r="K9" s="14">
        <v>1</v>
      </c>
      <c r="L9" s="18">
        <v>17.02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0</v>
      </c>
      <c r="X9" s="18">
        <f t="shared" si="7"/>
        <v>124.51</v>
      </c>
    </row>
    <row r="10" spans="1:24" x14ac:dyDescent="0.25">
      <c r="A10" s="14" t="s">
        <v>41</v>
      </c>
      <c r="B10" s="14" t="s">
        <v>97</v>
      </c>
      <c r="C10" s="14" t="s">
        <v>98</v>
      </c>
      <c r="D10" s="14" t="s">
        <v>70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1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16</v>
      </c>
      <c r="W10" s="14">
        <f t="shared" si="6"/>
        <v>1</v>
      </c>
      <c r="X10" s="18">
        <f t="shared" si="7"/>
        <v>17.02</v>
      </c>
    </row>
    <row r="11" spans="1:24" x14ac:dyDescent="0.25">
      <c r="A11" s="14" t="s">
        <v>45</v>
      </c>
      <c r="B11" s="14" t="s">
        <v>99</v>
      </c>
      <c r="C11" s="14" t="s">
        <v>100</v>
      </c>
      <c r="D11" s="14" t="s">
        <v>71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8">
        <v>16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1</v>
      </c>
      <c r="R11" s="14">
        <f t="shared" si="1"/>
        <v>0</v>
      </c>
      <c r="S11" s="14">
        <f t="shared" si="2"/>
        <v>1</v>
      </c>
      <c r="T11" s="14">
        <f t="shared" si="3"/>
        <v>0</v>
      </c>
      <c r="U11" s="14">
        <f t="shared" si="4"/>
        <v>0</v>
      </c>
      <c r="V11" s="18">
        <f t="shared" si="5"/>
        <v>24</v>
      </c>
      <c r="W11" s="14">
        <f t="shared" si="6"/>
        <v>1</v>
      </c>
      <c r="X11" s="18">
        <f t="shared" si="7"/>
        <v>0</v>
      </c>
    </row>
    <row r="12" spans="1:24" x14ac:dyDescent="0.25">
      <c r="A12" s="14" t="s">
        <v>49</v>
      </c>
      <c r="B12" s="14" t="s">
        <v>101</v>
      </c>
      <c r="C12" s="14" t="s">
        <v>102</v>
      </c>
      <c r="D12" s="14" t="s">
        <v>76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0</v>
      </c>
      <c r="L12" s="18">
        <v>124.51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24</v>
      </c>
      <c r="W12" s="14">
        <f t="shared" si="6"/>
        <v>1</v>
      </c>
      <c r="X12" s="18">
        <f t="shared" si="7"/>
        <v>0</v>
      </c>
    </row>
    <row r="13" spans="1:24" x14ac:dyDescent="0.25">
      <c r="A13" s="14" t="s">
        <v>41</v>
      </c>
      <c r="B13" s="14" t="s">
        <v>103</v>
      </c>
      <c r="C13" s="14" t="s">
        <v>104</v>
      </c>
      <c r="D13" s="14" t="s">
        <v>66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1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0</v>
      </c>
      <c r="W13" s="14">
        <f t="shared" si="6"/>
        <v>1</v>
      </c>
      <c r="X13" s="18">
        <f t="shared" si="7"/>
        <v>0</v>
      </c>
    </row>
    <row r="14" spans="1:24" x14ac:dyDescent="0.25">
      <c r="A14" s="14" t="s">
        <v>59</v>
      </c>
      <c r="B14" s="14" t="s">
        <v>105</v>
      </c>
      <c r="C14" s="14" t="s">
        <v>106</v>
      </c>
      <c r="D14" s="14" t="s">
        <v>54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8">
        <v>33</v>
      </c>
      <c r="K14" s="14">
        <v>1</v>
      </c>
      <c r="L14" s="18">
        <v>38.33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2</v>
      </c>
      <c r="S14" s="14">
        <f t="shared" si="2"/>
        <v>1</v>
      </c>
      <c r="T14" s="14">
        <f t="shared" si="3"/>
        <v>1</v>
      </c>
      <c r="U14" s="14">
        <f t="shared" si="4"/>
        <v>1</v>
      </c>
      <c r="V14" s="18">
        <f t="shared" si="5"/>
        <v>63</v>
      </c>
      <c r="W14" s="14">
        <f t="shared" si="6"/>
        <v>3</v>
      </c>
      <c r="X14" s="18">
        <f t="shared" si="7"/>
        <v>140.99</v>
      </c>
    </row>
    <row r="15" spans="1:24" x14ac:dyDescent="0.25">
      <c r="A15" s="14" t="s">
        <v>41</v>
      </c>
      <c r="B15" s="14" t="s">
        <v>107</v>
      </c>
      <c r="C15" s="14" t="s">
        <v>108</v>
      </c>
      <c r="D15" s="14" t="s">
        <v>46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18</v>
      </c>
      <c r="K15" s="14">
        <v>1</v>
      </c>
      <c r="L15" s="18">
        <v>26.71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2</v>
      </c>
      <c r="S15" s="14">
        <f t="shared" si="2"/>
        <v>1</v>
      </c>
      <c r="T15" s="14">
        <f t="shared" si="3"/>
        <v>1</v>
      </c>
      <c r="U15" s="14">
        <f t="shared" si="4"/>
        <v>1</v>
      </c>
      <c r="V15" s="18">
        <f t="shared" si="5"/>
        <v>67</v>
      </c>
      <c r="W15" s="14">
        <f t="shared" si="6"/>
        <v>2</v>
      </c>
      <c r="X15" s="18">
        <f t="shared" si="7"/>
        <v>125.31</v>
      </c>
    </row>
    <row r="16" spans="1:24" x14ac:dyDescent="0.25">
      <c r="A16" s="14" t="s">
        <v>39</v>
      </c>
      <c r="B16" s="14" t="s">
        <v>109</v>
      </c>
      <c r="C16" s="14" t="s">
        <v>110</v>
      </c>
      <c r="D16" s="14" t="s">
        <v>68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165.58</v>
      </c>
      <c r="M16" s="14" t="s">
        <v>111</v>
      </c>
      <c r="P16" s="19" t="s">
        <v>112</v>
      </c>
      <c r="Q16" s="20">
        <f t="shared" ref="Q16:X16" si="8">SUM(Q4:Q15)</f>
        <v>12</v>
      </c>
      <c r="R16" s="20">
        <f t="shared" si="8"/>
        <v>6</v>
      </c>
      <c r="S16" s="20">
        <f t="shared" si="8"/>
        <v>3</v>
      </c>
      <c r="T16" s="20">
        <f t="shared" si="8"/>
        <v>4</v>
      </c>
      <c r="U16" s="20">
        <f t="shared" si="8"/>
        <v>3</v>
      </c>
      <c r="V16" s="21">
        <f t="shared" si="8"/>
        <v>319</v>
      </c>
      <c r="W16" s="20">
        <f t="shared" si="8"/>
        <v>22</v>
      </c>
      <c r="X16" s="21">
        <f t="shared" si="8"/>
        <v>1086.08</v>
      </c>
    </row>
    <row r="17" spans="1:13" x14ac:dyDescent="0.25">
      <c r="A17" s="14" t="s">
        <v>39</v>
      </c>
      <c r="B17" s="14" t="s">
        <v>113</v>
      </c>
      <c r="C17" s="14" t="s">
        <v>114</v>
      </c>
      <c r="D17" s="14" t="s">
        <v>58</v>
      </c>
      <c r="E17" s="14">
        <v>0</v>
      </c>
      <c r="F17" s="14">
        <v>1</v>
      </c>
      <c r="G17" s="14">
        <v>0</v>
      </c>
      <c r="H17" s="14">
        <v>1</v>
      </c>
      <c r="I17" s="14">
        <v>0</v>
      </c>
      <c r="J17" s="18">
        <v>16</v>
      </c>
      <c r="K17" s="14">
        <v>1</v>
      </c>
      <c r="L17" s="18">
        <v>0</v>
      </c>
      <c r="M17" s="14" t="s">
        <v>86</v>
      </c>
    </row>
    <row r="18" spans="1:13" x14ac:dyDescent="0.25">
      <c r="A18" s="14" t="s">
        <v>59</v>
      </c>
      <c r="B18" s="14" t="s">
        <v>115</v>
      </c>
      <c r="C18" s="14" t="s">
        <v>116</v>
      </c>
      <c r="D18" s="14" t="s">
        <v>58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15</v>
      </c>
      <c r="K18" s="14">
        <v>1</v>
      </c>
      <c r="L18" s="18">
        <v>102.66</v>
      </c>
      <c r="M18" s="14" t="s">
        <v>86</v>
      </c>
    </row>
    <row r="19" spans="1:13" x14ac:dyDescent="0.25">
      <c r="A19" s="14" t="s">
        <v>43</v>
      </c>
      <c r="B19" s="14" t="s">
        <v>117</v>
      </c>
      <c r="C19" s="14" t="s">
        <v>118</v>
      </c>
      <c r="D19" s="14" t="s">
        <v>60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160.78</v>
      </c>
      <c r="M19" s="14" t="s">
        <v>86</v>
      </c>
    </row>
    <row r="20" spans="1:13" x14ac:dyDescent="0.25">
      <c r="A20" s="14" t="s">
        <v>61</v>
      </c>
      <c r="B20" s="14" t="s">
        <v>119</v>
      </c>
      <c r="C20" s="14" t="s">
        <v>120</v>
      </c>
      <c r="D20" s="14" t="s">
        <v>73</v>
      </c>
      <c r="E20" s="14">
        <v>0</v>
      </c>
      <c r="F20" s="14">
        <v>0</v>
      </c>
      <c r="G20" s="14">
        <v>0</v>
      </c>
      <c r="H20" s="14">
        <v>0</v>
      </c>
      <c r="I20" s="14">
        <v>1</v>
      </c>
      <c r="J20" s="18">
        <v>0</v>
      </c>
      <c r="K20" s="14">
        <v>0</v>
      </c>
      <c r="L20" s="18">
        <v>0</v>
      </c>
      <c r="M20" s="14" t="s">
        <v>86</v>
      </c>
    </row>
    <row r="21" spans="1:13" x14ac:dyDescent="0.25">
      <c r="A21" s="14" t="s">
        <v>57</v>
      </c>
      <c r="B21" s="14" t="s">
        <v>121</v>
      </c>
      <c r="C21" s="14" t="s">
        <v>122</v>
      </c>
      <c r="D21" s="14" t="s">
        <v>63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45</v>
      </c>
      <c r="B22" s="14" t="s">
        <v>123</v>
      </c>
      <c r="C22" s="14" t="s">
        <v>124</v>
      </c>
      <c r="D22" s="14" t="s">
        <v>50</v>
      </c>
      <c r="E22" s="14">
        <v>1</v>
      </c>
      <c r="F22" s="14">
        <v>0</v>
      </c>
      <c r="G22" s="14">
        <v>0</v>
      </c>
      <c r="H22" s="14">
        <v>1</v>
      </c>
      <c r="I22" s="14">
        <v>0</v>
      </c>
      <c r="J22" s="18">
        <v>18</v>
      </c>
      <c r="K22" s="14">
        <v>1</v>
      </c>
      <c r="L22" s="18">
        <v>58.48</v>
      </c>
      <c r="M22" s="14" t="s">
        <v>86</v>
      </c>
    </row>
    <row r="23" spans="1:13" x14ac:dyDescent="0.25">
      <c r="A23" s="14" t="s">
        <v>59</v>
      </c>
      <c r="B23" s="14" t="s">
        <v>125</v>
      </c>
      <c r="C23" s="14" t="s">
        <v>126</v>
      </c>
      <c r="D23" s="14" t="s">
        <v>74</v>
      </c>
      <c r="E23" s="14">
        <v>0</v>
      </c>
      <c r="F23" s="14">
        <v>0</v>
      </c>
      <c r="G23" s="14">
        <v>1</v>
      </c>
      <c r="H23" s="14">
        <v>1</v>
      </c>
      <c r="I23" s="14">
        <v>1</v>
      </c>
      <c r="J23" s="18">
        <v>15</v>
      </c>
      <c r="K23" s="14">
        <v>0</v>
      </c>
      <c r="L23" s="18">
        <v>0</v>
      </c>
      <c r="M23" s="14" t="s">
        <v>86</v>
      </c>
    </row>
    <row r="24" spans="1:13" x14ac:dyDescent="0.25">
      <c r="A24" s="14" t="s">
        <v>53</v>
      </c>
      <c r="B24" s="14" t="s">
        <v>127</v>
      </c>
      <c r="C24" s="14" t="s">
        <v>128</v>
      </c>
      <c r="D24" s="14" t="s">
        <v>56</v>
      </c>
      <c r="E24" s="14">
        <v>1</v>
      </c>
      <c r="F24" s="14">
        <v>0</v>
      </c>
      <c r="G24" s="14">
        <v>1</v>
      </c>
      <c r="H24" s="14">
        <v>0</v>
      </c>
      <c r="I24" s="14">
        <v>0</v>
      </c>
      <c r="J24" s="18">
        <v>24</v>
      </c>
      <c r="K24" s="14">
        <v>1</v>
      </c>
      <c r="L24" s="18">
        <v>0</v>
      </c>
      <c r="M24" s="14" t="s">
        <v>86</v>
      </c>
    </row>
    <row r="25" spans="1:13" x14ac:dyDescent="0.25">
      <c r="A25" s="14" t="s">
        <v>55</v>
      </c>
      <c r="B25" s="14" t="s">
        <v>129</v>
      </c>
      <c r="C25" s="14" t="s">
        <v>130</v>
      </c>
      <c r="D25" s="14" t="s">
        <v>40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24</v>
      </c>
      <c r="K25" s="14">
        <v>1</v>
      </c>
      <c r="L25" s="18">
        <v>0</v>
      </c>
      <c r="M25" s="14" t="s">
        <v>86</v>
      </c>
    </row>
    <row r="26" spans="1:13" x14ac:dyDescent="0.25">
      <c r="A26" s="14" t="s">
        <v>61</v>
      </c>
      <c r="B26" s="14" t="s">
        <v>131</v>
      </c>
      <c r="C26" s="14" t="s">
        <v>132</v>
      </c>
      <c r="D26" s="14" t="s">
        <v>66</v>
      </c>
      <c r="E26" s="14">
        <v>1</v>
      </c>
      <c r="F26" s="14">
        <v>0</v>
      </c>
      <c r="G26" s="14">
        <v>0</v>
      </c>
      <c r="H26" s="14">
        <v>1</v>
      </c>
      <c r="I26" s="14">
        <v>0</v>
      </c>
      <c r="J26" s="18">
        <v>16</v>
      </c>
      <c r="K26" s="14">
        <v>1</v>
      </c>
      <c r="L26" s="18">
        <v>22.84</v>
      </c>
      <c r="M26" s="14" t="s">
        <v>86</v>
      </c>
    </row>
    <row r="27" spans="1:13" x14ac:dyDescent="0.25">
      <c r="A27" s="14" t="s">
        <v>39</v>
      </c>
      <c r="B27" s="14" t="s">
        <v>133</v>
      </c>
      <c r="C27" s="14" t="s">
        <v>134</v>
      </c>
      <c r="D27" s="14" t="s">
        <v>66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8">
        <v>33</v>
      </c>
      <c r="K27" s="14">
        <v>1</v>
      </c>
      <c r="L27" s="18">
        <v>0</v>
      </c>
      <c r="M27" s="14" t="s">
        <v>86</v>
      </c>
    </row>
    <row r="28" spans="1:13" x14ac:dyDescent="0.25">
      <c r="A28" s="14" t="s">
        <v>39</v>
      </c>
      <c r="B28" s="14" t="s">
        <v>135</v>
      </c>
      <c r="C28" s="14" t="s">
        <v>136</v>
      </c>
      <c r="D28" s="14" t="s">
        <v>74</v>
      </c>
      <c r="E28" s="14">
        <v>0</v>
      </c>
      <c r="F28" s="14">
        <v>0</v>
      </c>
      <c r="G28" s="14">
        <v>0</v>
      </c>
      <c r="H28" s="14">
        <v>0</v>
      </c>
      <c r="I28" s="14">
        <v>1</v>
      </c>
      <c r="J28" s="18">
        <v>0</v>
      </c>
      <c r="K28" s="14">
        <v>0</v>
      </c>
      <c r="L28" s="18">
        <v>31.49</v>
      </c>
      <c r="M28" s="14" t="s">
        <v>86</v>
      </c>
    </row>
    <row r="29" spans="1:13" x14ac:dyDescent="0.25">
      <c r="A29" s="14" t="s">
        <v>45</v>
      </c>
      <c r="B29" s="14" t="s">
        <v>137</v>
      </c>
      <c r="C29" s="14" t="s">
        <v>138</v>
      </c>
      <c r="D29" s="14" t="s">
        <v>60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0</v>
      </c>
      <c r="K29" s="14">
        <v>1</v>
      </c>
      <c r="L29" s="18">
        <v>0</v>
      </c>
      <c r="M29" s="14" t="s">
        <v>86</v>
      </c>
    </row>
    <row r="30" spans="1:13" x14ac:dyDescent="0.25">
      <c r="A30" s="14" t="s">
        <v>59</v>
      </c>
      <c r="B30" s="14" t="s">
        <v>139</v>
      </c>
      <c r="C30" s="14" t="s">
        <v>140</v>
      </c>
      <c r="D30" s="14" t="s">
        <v>71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8">
        <v>0</v>
      </c>
      <c r="K30" s="14">
        <v>1</v>
      </c>
      <c r="L30" s="18">
        <v>0</v>
      </c>
      <c r="M30" s="14" t="s">
        <v>86</v>
      </c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5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5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5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141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41</v>
      </c>
      <c r="B4" s="14" t="s">
        <v>142</v>
      </c>
      <c r="C4" s="14" t="s">
        <v>143</v>
      </c>
      <c r="D4" s="14" t="s">
        <v>48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0</v>
      </c>
      <c r="K4" s="14">
        <v>1</v>
      </c>
      <c r="L4" s="18">
        <v>104.31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18</v>
      </c>
      <c r="W4" s="14">
        <f t="shared" ref="W4:W15" si="6">SUMIF($A$4:$A$43,$P4,K$4:K$43)</f>
        <v>2</v>
      </c>
      <c r="X4" s="18">
        <f t="shared" ref="X4:X15" si="7">SUMIF($A$4:$A$43,$P4,L$4:L$43)</f>
        <v>99.5</v>
      </c>
    </row>
    <row r="5" spans="1:24" x14ac:dyDescent="0.25">
      <c r="A5" s="14" t="s">
        <v>41</v>
      </c>
      <c r="B5" s="14" t="s">
        <v>144</v>
      </c>
      <c r="C5" s="14" t="s">
        <v>145</v>
      </c>
      <c r="D5" s="14" t="s">
        <v>44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8">
        <v>15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3</v>
      </c>
      <c r="R5" s="14">
        <f t="shared" si="1"/>
        <v>0</v>
      </c>
      <c r="S5" s="14">
        <f t="shared" si="2"/>
        <v>1</v>
      </c>
      <c r="T5" s="14">
        <f t="shared" si="3"/>
        <v>1</v>
      </c>
      <c r="U5" s="14">
        <f t="shared" si="4"/>
        <v>0</v>
      </c>
      <c r="V5" s="18">
        <f t="shared" si="5"/>
        <v>48</v>
      </c>
      <c r="W5" s="14">
        <f t="shared" si="6"/>
        <v>4</v>
      </c>
      <c r="X5" s="18">
        <f t="shared" si="7"/>
        <v>217.4</v>
      </c>
    </row>
    <row r="6" spans="1:24" x14ac:dyDescent="0.25">
      <c r="A6" s="14" t="s">
        <v>49</v>
      </c>
      <c r="B6" s="14" t="s">
        <v>146</v>
      </c>
      <c r="C6" s="14" t="s">
        <v>147</v>
      </c>
      <c r="D6" s="14" t="s">
        <v>74</v>
      </c>
      <c r="E6" s="14">
        <v>0</v>
      </c>
      <c r="F6" s="14">
        <v>0</v>
      </c>
      <c r="G6" s="14">
        <v>0</v>
      </c>
      <c r="H6" s="14">
        <v>0</v>
      </c>
      <c r="I6" s="14">
        <v>1</v>
      </c>
      <c r="J6" s="18">
        <v>0</v>
      </c>
      <c r="K6" s="14">
        <v>0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0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0</v>
      </c>
      <c r="X6" s="18">
        <f t="shared" si="7"/>
        <v>0</v>
      </c>
    </row>
    <row r="7" spans="1:24" x14ac:dyDescent="0.25">
      <c r="A7" s="14" t="s">
        <v>51</v>
      </c>
      <c r="B7" s="14" t="s">
        <v>148</v>
      </c>
      <c r="C7" s="14" t="s">
        <v>149</v>
      </c>
      <c r="D7" s="14" t="s">
        <v>63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8">
        <v>33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0</v>
      </c>
      <c r="X7" s="18">
        <f t="shared" si="7"/>
        <v>0</v>
      </c>
    </row>
    <row r="8" spans="1:24" x14ac:dyDescent="0.25">
      <c r="A8" s="14" t="s">
        <v>57</v>
      </c>
      <c r="B8" s="14" t="s">
        <v>150</v>
      </c>
      <c r="C8" s="14" t="s">
        <v>151</v>
      </c>
      <c r="D8" s="14" t="s">
        <v>67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2</v>
      </c>
      <c r="R8" s="14">
        <f t="shared" si="1"/>
        <v>3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57</v>
      </c>
      <c r="W8" s="14">
        <f t="shared" si="6"/>
        <v>5</v>
      </c>
      <c r="X8" s="18">
        <f t="shared" si="7"/>
        <v>381.37</v>
      </c>
    </row>
    <row r="9" spans="1:24" x14ac:dyDescent="0.25">
      <c r="A9" s="14" t="s">
        <v>47</v>
      </c>
      <c r="B9" s="14" t="s">
        <v>152</v>
      </c>
      <c r="C9" s="14" t="s">
        <v>153</v>
      </c>
      <c r="D9" s="14" t="s">
        <v>56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24</v>
      </c>
      <c r="K9" s="14">
        <v>1</v>
      </c>
      <c r="L9" s="18">
        <v>115.27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2</v>
      </c>
      <c r="S9" s="14">
        <f t="shared" si="2"/>
        <v>0</v>
      </c>
      <c r="T9" s="14">
        <f t="shared" si="3"/>
        <v>0</v>
      </c>
      <c r="U9" s="14">
        <f t="shared" si="4"/>
        <v>2</v>
      </c>
      <c r="V9" s="18">
        <f t="shared" si="5"/>
        <v>15</v>
      </c>
      <c r="W9" s="14">
        <f t="shared" si="6"/>
        <v>1</v>
      </c>
      <c r="X9" s="18">
        <f t="shared" si="7"/>
        <v>212.92</v>
      </c>
    </row>
    <row r="10" spans="1:24" x14ac:dyDescent="0.25">
      <c r="A10" s="14" t="s">
        <v>39</v>
      </c>
      <c r="B10" s="14" t="s">
        <v>154</v>
      </c>
      <c r="C10" s="14" t="s">
        <v>155</v>
      </c>
      <c r="D10" s="14" t="s">
        <v>44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18</v>
      </c>
      <c r="K10" s="14">
        <v>1</v>
      </c>
      <c r="L10" s="18">
        <v>99.5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33</v>
      </c>
      <c r="W10" s="14">
        <f t="shared" si="6"/>
        <v>1</v>
      </c>
      <c r="X10" s="18">
        <f t="shared" si="7"/>
        <v>0</v>
      </c>
    </row>
    <row r="11" spans="1:24" x14ac:dyDescent="0.25">
      <c r="A11" s="14" t="s">
        <v>59</v>
      </c>
      <c r="B11" s="14" t="s">
        <v>156</v>
      </c>
      <c r="C11" s="14" t="s">
        <v>157</v>
      </c>
      <c r="D11" s="14" t="s">
        <v>74</v>
      </c>
      <c r="E11" s="14">
        <v>0</v>
      </c>
      <c r="F11" s="14">
        <v>0</v>
      </c>
      <c r="G11" s="14">
        <v>1</v>
      </c>
      <c r="H11" s="14">
        <v>0</v>
      </c>
      <c r="I11" s="14">
        <v>1</v>
      </c>
      <c r="J11" s="18">
        <v>16</v>
      </c>
      <c r="K11" s="14">
        <v>0</v>
      </c>
      <c r="L11" s="18">
        <v>56.26</v>
      </c>
      <c r="M11" s="14" t="s">
        <v>86</v>
      </c>
      <c r="P11" s="14" t="str">
        <f>Setup!$A$11</f>
        <v>Expert 08</v>
      </c>
      <c r="Q11" s="14">
        <f t="shared" si="0"/>
        <v>1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31</v>
      </c>
      <c r="W11" s="14">
        <f t="shared" si="6"/>
        <v>1</v>
      </c>
      <c r="X11" s="18">
        <f t="shared" si="7"/>
        <v>94.91</v>
      </c>
    </row>
    <row r="12" spans="1:24" x14ac:dyDescent="0.25">
      <c r="A12" s="14" t="s">
        <v>47</v>
      </c>
      <c r="B12" s="14" t="s">
        <v>158</v>
      </c>
      <c r="C12" s="14" t="s">
        <v>159</v>
      </c>
      <c r="D12" s="14" t="s">
        <v>40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96.5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0</v>
      </c>
      <c r="X12" s="18">
        <f t="shared" si="7"/>
        <v>0</v>
      </c>
    </row>
    <row r="13" spans="1:24" x14ac:dyDescent="0.25">
      <c r="A13" s="14" t="s">
        <v>47</v>
      </c>
      <c r="B13" s="14" t="s">
        <v>160</v>
      </c>
      <c r="C13" s="14" t="s">
        <v>161</v>
      </c>
      <c r="D13" s="14" t="s">
        <v>66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81.93</v>
      </c>
      <c r="M13" s="14" t="s">
        <v>86</v>
      </c>
      <c r="P13" s="14" t="str">
        <f>Setup!$A$13</f>
        <v>Expert 10</v>
      </c>
      <c r="Q13" s="14">
        <f t="shared" si="0"/>
        <v>4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1</v>
      </c>
      <c r="V13" s="18">
        <f t="shared" si="5"/>
        <v>30</v>
      </c>
      <c r="W13" s="14">
        <f t="shared" si="6"/>
        <v>4</v>
      </c>
      <c r="X13" s="18">
        <f t="shared" si="7"/>
        <v>268.18</v>
      </c>
    </row>
    <row r="14" spans="1:24" x14ac:dyDescent="0.25">
      <c r="A14" s="14" t="s">
        <v>53</v>
      </c>
      <c r="B14" s="14" t="s">
        <v>162</v>
      </c>
      <c r="C14" s="14" t="s">
        <v>163</v>
      </c>
      <c r="D14" s="14" t="s">
        <v>75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16</v>
      </c>
      <c r="K14" s="14">
        <v>0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0</v>
      </c>
      <c r="S14" s="14">
        <f t="shared" si="2"/>
        <v>1</v>
      </c>
      <c r="T14" s="14">
        <f t="shared" si="3"/>
        <v>0</v>
      </c>
      <c r="U14" s="14">
        <f t="shared" si="4"/>
        <v>1</v>
      </c>
      <c r="V14" s="18">
        <f t="shared" si="5"/>
        <v>16</v>
      </c>
      <c r="W14" s="14">
        <f t="shared" si="6"/>
        <v>0</v>
      </c>
      <c r="X14" s="18">
        <f t="shared" si="7"/>
        <v>56.26</v>
      </c>
    </row>
    <row r="15" spans="1:24" x14ac:dyDescent="0.25">
      <c r="A15" s="14" t="s">
        <v>57</v>
      </c>
      <c r="B15" s="14" t="s">
        <v>164</v>
      </c>
      <c r="C15" s="14" t="s">
        <v>165</v>
      </c>
      <c r="D15" s="14" t="s">
        <v>74</v>
      </c>
      <c r="E15" s="14">
        <v>0</v>
      </c>
      <c r="F15" s="14">
        <v>0</v>
      </c>
      <c r="G15" s="14">
        <v>0</v>
      </c>
      <c r="H15" s="14">
        <v>0</v>
      </c>
      <c r="I15" s="14">
        <v>1</v>
      </c>
      <c r="J15" s="18">
        <v>0</v>
      </c>
      <c r="K15" s="14">
        <v>0</v>
      </c>
      <c r="L15" s="18">
        <v>177.44</v>
      </c>
      <c r="M15" s="14" t="s">
        <v>86</v>
      </c>
      <c r="P15" s="14" t="str">
        <f>Setup!$A$15</f>
        <v>Expert 12</v>
      </c>
      <c r="Q15" s="14">
        <f t="shared" si="0"/>
        <v>0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0</v>
      </c>
      <c r="W15" s="14">
        <f t="shared" si="6"/>
        <v>0</v>
      </c>
      <c r="X15" s="18">
        <f t="shared" si="7"/>
        <v>0</v>
      </c>
    </row>
    <row r="16" spans="1:24" x14ac:dyDescent="0.25">
      <c r="A16" s="14" t="s">
        <v>49</v>
      </c>
      <c r="B16" s="14" t="s">
        <v>166</v>
      </c>
      <c r="C16" s="14" t="s">
        <v>167</v>
      </c>
      <c r="D16" s="14" t="s">
        <v>58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8">
        <v>15</v>
      </c>
      <c r="K16" s="14">
        <v>1</v>
      </c>
      <c r="L16" s="18">
        <v>167.85</v>
      </c>
      <c r="M16" s="14" t="s">
        <v>86</v>
      </c>
      <c r="P16" s="19" t="s">
        <v>112</v>
      </c>
      <c r="Q16" s="20">
        <f t="shared" ref="Q16:X16" si="8">SUM(Q4:Q15)</f>
        <v>11</v>
      </c>
      <c r="R16" s="20">
        <f t="shared" si="8"/>
        <v>5</v>
      </c>
      <c r="S16" s="20">
        <f t="shared" si="8"/>
        <v>2</v>
      </c>
      <c r="T16" s="20">
        <f t="shared" si="8"/>
        <v>1</v>
      </c>
      <c r="U16" s="20">
        <f t="shared" si="8"/>
        <v>4</v>
      </c>
      <c r="V16" s="21">
        <f t="shared" si="8"/>
        <v>248</v>
      </c>
      <c r="W16" s="20">
        <f t="shared" si="8"/>
        <v>18</v>
      </c>
      <c r="X16" s="21">
        <f t="shared" si="8"/>
        <v>1330.54</v>
      </c>
    </row>
    <row r="17" spans="1:13" x14ac:dyDescent="0.25">
      <c r="A17" s="14" t="s">
        <v>47</v>
      </c>
      <c r="B17" s="14" t="s">
        <v>168</v>
      </c>
      <c r="C17" s="14" t="s">
        <v>169</v>
      </c>
      <c r="D17" s="14" t="s">
        <v>64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8">
        <v>33</v>
      </c>
      <c r="K17" s="14">
        <v>1</v>
      </c>
      <c r="L17" s="18">
        <v>87.67</v>
      </c>
      <c r="M17" s="14" t="s">
        <v>86</v>
      </c>
    </row>
    <row r="18" spans="1:13" x14ac:dyDescent="0.25">
      <c r="A18" s="14" t="s">
        <v>41</v>
      </c>
      <c r="B18" s="14" t="s">
        <v>170</v>
      </c>
      <c r="C18" s="14" t="s">
        <v>171</v>
      </c>
      <c r="D18" s="14" t="s">
        <v>64</v>
      </c>
      <c r="E18" s="14">
        <v>1</v>
      </c>
      <c r="F18" s="14">
        <v>0</v>
      </c>
      <c r="G18" s="14">
        <v>1</v>
      </c>
      <c r="H18" s="14">
        <v>0</v>
      </c>
      <c r="I18" s="14">
        <v>0</v>
      </c>
      <c r="J18" s="18">
        <v>0</v>
      </c>
      <c r="K18" s="14">
        <v>1</v>
      </c>
      <c r="L18" s="18">
        <v>113.09</v>
      </c>
      <c r="M18" s="14" t="s">
        <v>86</v>
      </c>
    </row>
    <row r="19" spans="1:13" x14ac:dyDescent="0.25">
      <c r="A19" s="14" t="s">
        <v>47</v>
      </c>
      <c r="B19" s="14" t="s">
        <v>172</v>
      </c>
      <c r="C19" s="14" t="s">
        <v>173</v>
      </c>
      <c r="D19" s="14" t="s">
        <v>66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57</v>
      </c>
      <c r="B20" s="14" t="s">
        <v>174</v>
      </c>
      <c r="C20" s="14" t="s">
        <v>175</v>
      </c>
      <c r="D20" s="14" t="s">
        <v>58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15</v>
      </c>
      <c r="K20" s="14">
        <v>1</v>
      </c>
      <c r="L20" s="18">
        <v>90.74</v>
      </c>
      <c r="M20" s="14" t="s">
        <v>86</v>
      </c>
    </row>
    <row r="21" spans="1:13" x14ac:dyDescent="0.25">
      <c r="A21" s="14" t="s">
        <v>39</v>
      </c>
      <c r="B21" s="14" t="s">
        <v>176</v>
      </c>
      <c r="C21" s="14" t="s">
        <v>177</v>
      </c>
      <c r="D21" s="14" t="s">
        <v>44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111</v>
      </c>
    </row>
    <row r="22" spans="1:13" x14ac:dyDescent="0.25">
      <c r="A22" s="14" t="s">
        <v>57</v>
      </c>
      <c r="B22" s="14" t="s">
        <v>178</v>
      </c>
      <c r="C22" s="14" t="s">
        <v>179</v>
      </c>
      <c r="D22" s="14" t="s">
        <v>52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0</v>
      </c>
      <c r="M22" s="14" t="s">
        <v>86</v>
      </c>
    </row>
    <row r="23" spans="1:13" x14ac:dyDescent="0.25">
      <c r="A23" s="14" t="s">
        <v>57</v>
      </c>
      <c r="B23" s="14" t="s">
        <v>180</v>
      </c>
      <c r="C23" s="14" t="s">
        <v>181</v>
      </c>
      <c r="D23" s="14" t="s">
        <v>56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15</v>
      </c>
      <c r="K23" s="14">
        <v>1</v>
      </c>
      <c r="L23" s="18">
        <v>0</v>
      </c>
      <c r="M23" s="14" t="s">
        <v>86</v>
      </c>
    </row>
    <row r="24" spans="1:13" x14ac:dyDescent="0.25">
      <c r="A24" s="14" t="s">
        <v>41</v>
      </c>
      <c r="B24" s="14" t="s">
        <v>182</v>
      </c>
      <c r="C24" s="14" t="s">
        <v>183</v>
      </c>
      <c r="D24" s="14" t="s">
        <v>62</v>
      </c>
      <c r="E24" s="14">
        <v>1</v>
      </c>
      <c r="F24" s="14">
        <v>0</v>
      </c>
      <c r="G24" s="14">
        <v>0</v>
      </c>
      <c r="H24" s="14">
        <v>1</v>
      </c>
      <c r="I24" s="14">
        <v>0</v>
      </c>
      <c r="J24" s="18">
        <v>33</v>
      </c>
      <c r="K24" s="14">
        <v>1</v>
      </c>
      <c r="L24" s="18">
        <v>0</v>
      </c>
      <c r="M24" s="14" t="s">
        <v>86</v>
      </c>
    </row>
    <row r="25" spans="1:13" x14ac:dyDescent="0.25">
      <c r="A25" s="14" t="s">
        <v>49</v>
      </c>
      <c r="B25" s="14" t="s">
        <v>184</v>
      </c>
      <c r="C25" s="14" t="s">
        <v>185</v>
      </c>
      <c r="D25" s="14" t="s">
        <v>73</v>
      </c>
      <c r="E25" s="14">
        <v>0</v>
      </c>
      <c r="F25" s="14">
        <v>1</v>
      </c>
      <c r="G25" s="14">
        <v>0</v>
      </c>
      <c r="H25" s="14">
        <v>0</v>
      </c>
      <c r="I25" s="14">
        <v>1</v>
      </c>
      <c r="J25" s="18">
        <v>0</v>
      </c>
      <c r="K25" s="14">
        <v>0</v>
      </c>
      <c r="L25" s="18">
        <v>45.07</v>
      </c>
      <c r="M25" s="14" t="s">
        <v>86</v>
      </c>
    </row>
    <row r="26" spans="1:13" x14ac:dyDescent="0.25">
      <c r="A26" s="14" t="s">
        <v>53</v>
      </c>
      <c r="B26" s="14" t="s">
        <v>186</v>
      </c>
      <c r="C26" s="14" t="s">
        <v>187</v>
      </c>
      <c r="D26" s="14" t="s">
        <v>58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8">
        <v>15</v>
      </c>
      <c r="K26" s="14">
        <v>1</v>
      </c>
      <c r="L26" s="18">
        <v>94.91</v>
      </c>
      <c r="M26" s="14" t="s">
        <v>86</v>
      </c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6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6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6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188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49</v>
      </c>
      <c r="B4" s="14" t="s">
        <v>189</v>
      </c>
      <c r="C4" s="14" t="s">
        <v>190</v>
      </c>
      <c r="D4" s="14" t="s">
        <v>72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0</v>
      </c>
      <c r="K4" s="14">
        <v>1</v>
      </c>
      <c r="L4" s="18">
        <v>140.13999999999999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1</v>
      </c>
      <c r="X4" s="18">
        <f t="shared" ref="X4:X15" si="7">SUMIF($A$4:$A$43,$P4,L$4:L$43)</f>
        <v>8.6199999999999992</v>
      </c>
    </row>
    <row r="5" spans="1:24" x14ac:dyDescent="0.25">
      <c r="A5" s="14" t="s">
        <v>59</v>
      </c>
      <c r="B5" s="14" t="s">
        <v>191</v>
      </c>
      <c r="C5" s="14" t="s">
        <v>192</v>
      </c>
      <c r="D5" s="14" t="s">
        <v>52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74.81</v>
      </c>
      <c r="M5" s="14" t="s">
        <v>86</v>
      </c>
      <c r="P5" s="14" t="str">
        <f>Setup!$A$5</f>
        <v>Expert 02</v>
      </c>
      <c r="Q5" s="14">
        <f t="shared" si="0"/>
        <v>3</v>
      </c>
      <c r="R5" s="14">
        <f t="shared" si="1"/>
        <v>2</v>
      </c>
      <c r="S5" s="14">
        <f t="shared" si="2"/>
        <v>0</v>
      </c>
      <c r="T5" s="14">
        <f t="shared" si="3"/>
        <v>0</v>
      </c>
      <c r="U5" s="14">
        <f t="shared" si="4"/>
        <v>1</v>
      </c>
      <c r="V5" s="18">
        <f t="shared" si="5"/>
        <v>51</v>
      </c>
      <c r="W5" s="14">
        <f t="shared" si="6"/>
        <v>3</v>
      </c>
      <c r="X5" s="18">
        <f t="shared" si="7"/>
        <v>237.97000000000003</v>
      </c>
    </row>
    <row r="6" spans="1:24" x14ac:dyDescent="0.25">
      <c r="A6" s="14" t="s">
        <v>41</v>
      </c>
      <c r="B6" s="14" t="s">
        <v>193</v>
      </c>
      <c r="C6" s="14" t="s">
        <v>194</v>
      </c>
      <c r="D6" s="14" t="s">
        <v>52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16</v>
      </c>
      <c r="W6" s="14">
        <f t="shared" si="6"/>
        <v>2</v>
      </c>
      <c r="X6" s="18">
        <f t="shared" si="7"/>
        <v>265.53999999999996</v>
      </c>
    </row>
    <row r="7" spans="1:24" x14ac:dyDescent="0.25">
      <c r="A7" s="14" t="s">
        <v>43</v>
      </c>
      <c r="B7" s="14" t="s">
        <v>195</v>
      </c>
      <c r="C7" s="14" t="s">
        <v>196</v>
      </c>
      <c r="D7" s="14" t="s">
        <v>77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0</v>
      </c>
      <c r="L7" s="18">
        <v>94.02</v>
      </c>
      <c r="M7" s="14" t="s">
        <v>86</v>
      </c>
      <c r="P7" s="14" t="str">
        <f>Setup!$A$7</f>
        <v>Expert 04</v>
      </c>
      <c r="Q7" s="14">
        <f t="shared" si="0"/>
        <v>2</v>
      </c>
      <c r="R7" s="14">
        <f t="shared" si="1"/>
        <v>0</v>
      </c>
      <c r="S7" s="14">
        <f t="shared" si="2"/>
        <v>1</v>
      </c>
      <c r="T7" s="14">
        <f t="shared" si="3"/>
        <v>0</v>
      </c>
      <c r="U7" s="14">
        <f t="shared" si="4"/>
        <v>1</v>
      </c>
      <c r="V7" s="18">
        <f t="shared" si="5"/>
        <v>16</v>
      </c>
      <c r="W7" s="14">
        <f t="shared" si="6"/>
        <v>2</v>
      </c>
      <c r="X7" s="18">
        <f t="shared" si="7"/>
        <v>213.21</v>
      </c>
    </row>
    <row r="8" spans="1:24" x14ac:dyDescent="0.25">
      <c r="A8" s="14" t="s">
        <v>59</v>
      </c>
      <c r="B8" s="14" t="s">
        <v>197</v>
      </c>
      <c r="C8" s="14" t="s">
        <v>198</v>
      </c>
      <c r="D8" s="14" t="s">
        <v>40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104.76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0</v>
      </c>
      <c r="X8" s="18">
        <f t="shared" si="7"/>
        <v>0</v>
      </c>
    </row>
    <row r="9" spans="1:24" x14ac:dyDescent="0.25">
      <c r="A9" s="14" t="s">
        <v>41</v>
      </c>
      <c r="B9" s="14" t="s">
        <v>199</v>
      </c>
      <c r="C9" s="14" t="s">
        <v>200</v>
      </c>
      <c r="D9" s="14" t="s">
        <v>76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8">
        <v>0</v>
      </c>
      <c r="K9" s="14">
        <v>0</v>
      </c>
      <c r="L9" s="18">
        <v>52.34</v>
      </c>
      <c r="M9" s="14" t="s">
        <v>86</v>
      </c>
      <c r="P9" s="14" t="str">
        <f>Setup!$A$9</f>
        <v>Expert 06</v>
      </c>
      <c r="Q9" s="14">
        <f t="shared" si="0"/>
        <v>1</v>
      </c>
      <c r="R9" s="14">
        <f t="shared" si="1"/>
        <v>1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16</v>
      </c>
      <c r="W9" s="14">
        <f t="shared" si="6"/>
        <v>4</v>
      </c>
      <c r="X9" s="18">
        <f t="shared" si="7"/>
        <v>305.59000000000003</v>
      </c>
    </row>
    <row r="10" spans="1:24" x14ac:dyDescent="0.25">
      <c r="A10" s="14" t="s">
        <v>49</v>
      </c>
      <c r="B10" s="14" t="s">
        <v>201</v>
      </c>
      <c r="C10" s="14" t="s">
        <v>202</v>
      </c>
      <c r="D10" s="14" t="s">
        <v>50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8">
        <v>16</v>
      </c>
      <c r="K10" s="14">
        <v>1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1</v>
      </c>
      <c r="V10" s="18">
        <f t="shared" si="5"/>
        <v>0</v>
      </c>
      <c r="W10" s="14">
        <f t="shared" si="6"/>
        <v>0</v>
      </c>
      <c r="X10" s="18">
        <f t="shared" si="7"/>
        <v>64.36</v>
      </c>
    </row>
    <row r="11" spans="1:24" x14ac:dyDescent="0.25">
      <c r="A11" s="14" t="s">
        <v>43</v>
      </c>
      <c r="B11" s="14" t="s">
        <v>203</v>
      </c>
      <c r="C11" s="14" t="s">
        <v>204</v>
      </c>
      <c r="D11" s="14" t="s">
        <v>58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16</v>
      </c>
      <c r="K11" s="14">
        <v>1</v>
      </c>
      <c r="L11" s="18">
        <v>95.8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1</v>
      </c>
      <c r="V11" s="18">
        <f t="shared" si="5"/>
        <v>24</v>
      </c>
      <c r="W11" s="14">
        <f t="shared" si="6"/>
        <v>0</v>
      </c>
      <c r="X11" s="18">
        <f t="shared" si="7"/>
        <v>61.22</v>
      </c>
    </row>
    <row r="12" spans="1:24" x14ac:dyDescent="0.25">
      <c r="A12" s="14" t="s">
        <v>57</v>
      </c>
      <c r="B12" s="14" t="s">
        <v>205</v>
      </c>
      <c r="C12" s="14" t="s">
        <v>206</v>
      </c>
      <c r="D12" s="14" t="s">
        <v>70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8">
        <v>15</v>
      </c>
      <c r="K12" s="14">
        <v>1</v>
      </c>
      <c r="L12" s="18">
        <v>19.59</v>
      </c>
      <c r="M12" s="14" t="s">
        <v>86</v>
      </c>
      <c r="P12" s="14" t="str">
        <f>Setup!$A$12</f>
        <v>Expert 09</v>
      </c>
      <c r="Q12" s="14">
        <f t="shared" si="0"/>
        <v>2</v>
      </c>
      <c r="R12" s="14">
        <f t="shared" si="1"/>
        <v>1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57</v>
      </c>
      <c r="W12" s="14">
        <f t="shared" si="6"/>
        <v>4</v>
      </c>
      <c r="X12" s="18">
        <f t="shared" si="7"/>
        <v>149.47</v>
      </c>
    </row>
    <row r="13" spans="1:24" x14ac:dyDescent="0.25">
      <c r="A13" s="14" t="s">
        <v>61</v>
      </c>
      <c r="B13" s="14" t="s">
        <v>207</v>
      </c>
      <c r="C13" s="14" t="s">
        <v>208</v>
      </c>
      <c r="D13" s="14" t="s">
        <v>46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15</v>
      </c>
      <c r="K13" s="14">
        <v>1</v>
      </c>
      <c r="L13" s="18">
        <v>22.2</v>
      </c>
      <c r="M13" s="14" t="s">
        <v>86</v>
      </c>
      <c r="P13" s="14" t="str">
        <f>Setup!$A$13</f>
        <v>Expert 10</v>
      </c>
      <c r="Q13" s="14">
        <f t="shared" si="0"/>
        <v>2</v>
      </c>
      <c r="R13" s="14">
        <f t="shared" si="1"/>
        <v>1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30</v>
      </c>
      <c r="W13" s="14">
        <f t="shared" si="6"/>
        <v>3</v>
      </c>
      <c r="X13" s="18">
        <f t="shared" si="7"/>
        <v>19.59</v>
      </c>
    </row>
    <row r="14" spans="1:24" x14ac:dyDescent="0.25">
      <c r="A14" s="14" t="s">
        <v>39</v>
      </c>
      <c r="B14" s="14" t="s">
        <v>209</v>
      </c>
      <c r="C14" s="14" t="s">
        <v>210</v>
      </c>
      <c r="D14" s="14" t="s">
        <v>52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8.6199999999999992</v>
      </c>
      <c r="M14" s="14" t="s">
        <v>86</v>
      </c>
      <c r="P14" s="14" t="str">
        <f>Setup!$A$14</f>
        <v>Expert 11</v>
      </c>
      <c r="Q14" s="14">
        <f t="shared" si="0"/>
        <v>3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0</v>
      </c>
      <c r="W14" s="14">
        <f t="shared" si="6"/>
        <v>3</v>
      </c>
      <c r="X14" s="18">
        <f t="shared" si="7"/>
        <v>262.43</v>
      </c>
    </row>
    <row r="15" spans="1:24" x14ac:dyDescent="0.25">
      <c r="A15" s="14" t="s">
        <v>59</v>
      </c>
      <c r="B15" s="14" t="s">
        <v>211</v>
      </c>
      <c r="C15" s="14" t="s">
        <v>212</v>
      </c>
      <c r="D15" s="14" t="s">
        <v>69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82.86</v>
      </c>
      <c r="M15" s="14" t="s">
        <v>86</v>
      </c>
      <c r="P15" s="14" t="str">
        <f>Setup!$A$15</f>
        <v>Expert 12</v>
      </c>
      <c r="Q15" s="14">
        <f t="shared" si="0"/>
        <v>2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1</v>
      </c>
      <c r="V15" s="18">
        <f t="shared" si="5"/>
        <v>63</v>
      </c>
      <c r="W15" s="14">
        <f t="shared" si="6"/>
        <v>3</v>
      </c>
      <c r="X15" s="18">
        <f t="shared" si="7"/>
        <v>232.04</v>
      </c>
    </row>
    <row r="16" spans="1:24" x14ac:dyDescent="0.25">
      <c r="A16" s="14" t="s">
        <v>55</v>
      </c>
      <c r="B16" s="14" t="s">
        <v>213</v>
      </c>
      <c r="C16" s="14" t="s">
        <v>214</v>
      </c>
      <c r="D16" s="14" t="s">
        <v>69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64.14</v>
      </c>
      <c r="M16" s="14" t="s">
        <v>86</v>
      </c>
      <c r="P16" s="19" t="s">
        <v>112</v>
      </c>
      <c r="Q16" s="20">
        <f t="shared" ref="Q16:X16" si="8">SUM(Q4:Q15)</f>
        <v>17</v>
      </c>
      <c r="R16" s="20">
        <f t="shared" si="8"/>
        <v>6</v>
      </c>
      <c r="S16" s="20">
        <f t="shared" si="8"/>
        <v>1</v>
      </c>
      <c r="T16" s="20">
        <f t="shared" si="8"/>
        <v>0</v>
      </c>
      <c r="U16" s="20">
        <f t="shared" si="8"/>
        <v>5</v>
      </c>
      <c r="V16" s="21">
        <f t="shared" si="8"/>
        <v>273</v>
      </c>
      <c r="W16" s="20">
        <f t="shared" si="8"/>
        <v>25</v>
      </c>
      <c r="X16" s="21">
        <f t="shared" si="8"/>
        <v>1820.04</v>
      </c>
    </row>
    <row r="17" spans="1:13" x14ac:dyDescent="0.25">
      <c r="A17" s="14" t="s">
        <v>43</v>
      </c>
      <c r="B17" s="14" t="s">
        <v>215</v>
      </c>
      <c r="C17" s="14" t="s">
        <v>216</v>
      </c>
      <c r="D17" s="14" t="s">
        <v>70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75.72</v>
      </c>
      <c r="M17" s="14" t="s">
        <v>86</v>
      </c>
    </row>
    <row r="18" spans="1:13" x14ac:dyDescent="0.25">
      <c r="A18" s="14" t="s">
        <v>49</v>
      </c>
      <c r="B18" s="14" t="s">
        <v>217</v>
      </c>
      <c r="C18" s="14" t="s">
        <v>218</v>
      </c>
      <c r="D18" s="14" t="s">
        <v>66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0</v>
      </c>
      <c r="K18" s="14">
        <v>1</v>
      </c>
      <c r="L18" s="18">
        <v>86.05</v>
      </c>
      <c r="M18" s="14" t="s">
        <v>86</v>
      </c>
    </row>
    <row r="19" spans="1:13" x14ac:dyDescent="0.25">
      <c r="A19" s="14" t="s">
        <v>41</v>
      </c>
      <c r="B19" s="14" t="s">
        <v>219</v>
      </c>
      <c r="C19" s="14" t="s">
        <v>220</v>
      </c>
      <c r="D19" s="14" t="s">
        <v>75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0</v>
      </c>
      <c r="L19" s="18">
        <v>105.95</v>
      </c>
      <c r="M19" s="14" t="s">
        <v>86</v>
      </c>
    </row>
    <row r="20" spans="1:13" x14ac:dyDescent="0.25">
      <c r="A20" s="14" t="s">
        <v>45</v>
      </c>
      <c r="B20" s="14" t="s">
        <v>221</v>
      </c>
      <c r="C20" s="14" t="s">
        <v>222</v>
      </c>
      <c r="D20" s="14" t="s">
        <v>56</v>
      </c>
      <c r="E20" s="14">
        <v>1</v>
      </c>
      <c r="F20" s="14">
        <v>0</v>
      </c>
      <c r="G20" s="14">
        <v>1</v>
      </c>
      <c r="H20" s="14">
        <v>0</v>
      </c>
      <c r="I20" s="14">
        <v>0</v>
      </c>
      <c r="J20" s="18">
        <v>0</v>
      </c>
      <c r="K20" s="14">
        <v>1</v>
      </c>
      <c r="L20" s="18">
        <v>169.19</v>
      </c>
      <c r="M20" s="14" t="s">
        <v>86</v>
      </c>
    </row>
    <row r="21" spans="1:13" x14ac:dyDescent="0.25">
      <c r="A21" s="14" t="s">
        <v>41</v>
      </c>
      <c r="B21" s="14" t="s">
        <v>223</v>
      </c>
      <c r="C21" s="14" t="s">
        <v>224</v>
      </c>
      <c r="D21" s="14" t="s">
        <v>42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8">
        <v>18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57</v>
      </c>
      <c r="B22" s="14" t="s">
        <v>225</v>
      </c>
      <c r="C22" s="14" t="s">
        <v>226</v>
      </c>
      <c r="D22" s="14" t="s">
        <v>71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0</v>
      </c>
      <c r="M22" s="14" t="s">
        <v>86</v>
      </c>
    </row>
    <row r="23" spans="1:13" x14ac:dyDescent="0.25">
      <c r="A23" s="14" t="s">
        <v>57</v>
      </c>
      <c r="B23" s="14" t="s">
        <v>227</v>
      </c>
      <c r="C23" s="14" t="s">
        <v>228</v>
      </c>
      <c r="D23" s="14" t="s">
        <v>54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15</v>
      </c>
      <c r="K23" s="14">
        <v>1</v>
      </c>
      <c r="L23" s="18">
        <v>0</v>
      </c>
      <c r="M23" s="14" t="s">
        <v>86</v>
      </c>
    </row>
    <row r="24" spans="1:13" x14ac:dyDescent="0.25">
      <c r="A24" s="14" t="s">
        <v>61</v>
      </c>
      <c r="B24" s="14" t="s">
        <v>229</v>
      </c>
      <c r="C24" s="14" t="s">
        <v>230</v>
      </c>
      <c r="D24" s="14" t="s">
        <v>63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8">
        <v>33</v>
      </c>
      <c r="K24" s="14">
        <v>1</v>
      </c>
      <c r="L24" s="18">
        <v>173.12</v>
      </c>
      <c r="M24" s="14" t="s">
        <v>86</v>
      </c>
    </row>
    <row r="25" spans="1:13" x14ac:dyDescent="0.25">
      <c r="A25" s="14" t="s">
        <v>51</v>
      </c>
      <c r="B25" s="14" t="s">
        <v>231</v>
      </c>
      <c r="C25" s="14" t="s">
        <v>232</v>
      </c>
      <c r="D25" s="14" t="s">
        <v>73</v>
      </c>
      <c r="E25" s="14">
        <v>0</v>
      </c>
      <c r="F25" s="14">
        <v>0</v>
      </c>
      <c r="G25" s="14">
        <v>0</v>
      </c>
      <c r="H25" s="14">
        <v>0</v>
      </c>
      <c r="I25" s="14">
        <v>1</v>
      </c>
      <c r="J25" s="18">
        <v>0</v>
      </c>
      <c r="K25" s="14">
        <v>0</v>
      </c>
      <c r="L25" s="18">
        <v>64.36</v>
      </c>
      <c r="M25" s="14" t="s">
        <v>86</v>
      </c>
    </row>
    <row r="26" spans="1:13" x14ac:dyDescent="0.25">
      <c r="A26" s="14" t="s">
        <v>61</v>
      </c>
      <c r="B26" s="14" t="s">
        <v>233</v>
      </c>
      <c r="C26" s="14" t="s">
        <v>234</v>
      </c>
      <c r="D26" s="14" t="s">
        <v>67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15</v>
      </c>
      <c r="K26" s="14">
        <v>1</v>
      </c>
      <c r="L26" s="18">
        <v>3.4</v>
      </c>
      <c r="M26" s="14" t="s">
        <v>86</v>
      </c>
    </row>
    <row r="27" spans="1:13" x14ac:dyDescent="0.25">
      <c r="A27" s="14" t="s">
        <v>55</v>
      </c>
      <c r="B27" s="14" t="s">
        <v>235</v>
      </c>
      <c r="C27" s="14" t="s">
        <v>236</v>
      </c>
      <c r="D27" s="14" t="s">
        <v>72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8">
        <v>24</v>
      </c>
      <c r="K27" s="14">
        <v>1</v>
      </c>
      <c r="L27" s="18">
        <v>0</v>
      </c>
      <c r="M27" s="14" t="s">
        <v>86</v>
      </c>
    </row>
    <row r="28" spans="1:13" x14ac:dyDescent="0.25">
      <c r="A28" s="14" t="s">
        <v>61</v>
      </c>
      <c r="B28" s="14" t="s">
        <v>237</v>
      </c>
      <c r="C28" s="14" t="s">
        <v>238</v>
      </c>
      <c r="D28" s="14" t="s">
        <v>74</v>
      </c>
      <c r="E28" s="14">
        <v>0</v>
      </c>
      <c r="F28" s="14">
        <v>0</v>
      </c>
      <c r="G28" s="14">
        <v>0</v>
      </c>
      <c r="H28" s="14">
        <v>0</v>
      </c>
      <c r="I28" s="14">
        <v>1</v>
      </c>
      <c r="J28" s="18">
        <v>0</v>
      </c>
      <c r="K28" s="14">
        <v>0</v>
      </c>
      <c r="L28" s="18">
        <v>33.32</v>
      </c>
      <c r="M28" s="14" t="s">
        <v>86</v>
      </c>
    </row>
    <row r="29" spans="1:13" x14ac:dyDescent="0.25">
      <c r="A29" s="14" t="s">
        <v>55</v>
      </c>
      <c r="B29" s="14" t="s">
        <v>239</v>
      </c>
      <c r="C29" s="14" t="s">
        <v>240</v>
      </c>
      <c r="D29" s="14" t="s">
        <v>71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8">
        <v>18</v>
      </c>
      <c r="K29" s="14">
        <v>1</v>
      </c>
      <c r="L29" s="18">
        <v>32.950000000000003</v>
      </c>
      <c r="M29" s="14" t="s">
        <v>86</v>
      </c>
    </row>
    <row r="30" spans="1:13" x14ac:dyDescent="0.25">
      <c r="A30" s="14" t="s">
        <v>55</v>
      </c>
      <c r="B30" s="14" t="s">
        <v>241</v>
      </c>
      <c r="C30" s="14" t="s">
        <v>242</v>
      </c>
      <c r="D30" s="14" t="s">
        <v>54</v>
      </c>
      <c r="E30" s="14">
        <v>1</v>
      </c>
      <c r="F30" s="14">
        <v>0</v>
      </c>
      <c r="G30" s="14">
        <v>0</v>
      </c>
      <c r="H30" s="14">
        <v>0</v>
      </c>
      <c r="I30" s="14">
        <v>0</v>
      </c>
      <c r="J30" s="18">
        <v>15</v>
      </c>
      <c r="K30" s="14">
        <v>1</v>
      </c>
      <c r="L30" s="18">
        <v>52.38</v>
      </c>
      <c r="M30" s="14" t="s">
        <v>86</v>
      </c>
    </row>
    <row r="31" spans="1:13" x14ac:dyDescent="0.25">
      <c r="A31" s="14" t="s">
        <v>53</v>
      </c>
      <c r="B31" s="14" t="s">
        <v>243</v>
      </c>
      <c r="C31" s="14" t="s">
        <v>244</v>
      </c>
      <c r="D31" s="14" t="s">
        <v>74</v>
      </c>
      <c r="E31" s="14">
        <v>0</v>
      </c>
      <c r="F31" s="14">
        <v>0</v>
      </c>
      <c r="G31" s="14">
        <v>0</v>
      </c>
      <c r="H31" s="14">
        <v>0</v>
      </c>
      <c r="I31" s="14">
        <v>1</v>
      </c>
      <c r="J31" s="18">
        <v>24</v>
      </c>
      <c r="K31" s="14">
        <v>0</v>
      </c>
      <c r="L31" s="18">
        <v>61.22</v>
      </c>
      <c r="M31" s="14" t="s">
        <v>86</v>
      </c>
    </row>
    <row r="32" spans="1:13" x14ac:dyDescent="0.25">
      <c r="A32" s="14" t="s">
        <v>49</v>
      </c>
      <c r="B32" s="14" t="s">
        <v>245</v>
      </c>
      <c r="C32" s="14" t="s">
        <v>246</v>
      </c>
      <c r="D32" s="14" t="s">
        <v>58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8">
        <v>0</v>
      </c>
      <c r="K32" s="14">
        <v>1</v>
      </c>
      <c r="L32" s="18">
        <v>79.400000000000006</v>
      </c>
      <c r="M32" s="14" t="s">
        <v>86</v>
      </c>
    </row>
    <row r="33" spans="1:13" x14ac:dyDescent="0.25">
      <c r="A33" s="14" t="s">
        <v>41</v>
      </c>
      <c r="B33" s="14" t="s">
        <v>247</v>
      </c>
      <c r="C33" s="14" t="s">
        <v>248</v>
      </c>
      <c r="D33" s="14" t="s">
        <v>56</v>
      </c>
      <c r="E33" s="14">
        <v>1</v>
      </c>
      <c r="F33" s="14">
        <v>0</v>
      </c>
      <c r="G33" s="14">
        <v>0</v>
      </c>
      <c r="H33" s="14">
        <v>0</v>
      </c>
      <c r="I33" s="14">
        <v>0</v>
      </c>
      <c r="J33" s="18">
        <v>0</v>
      </c>
      <c r="K33" s="14">
        <v>1</v>
      </c>
      <c r="L33" s="18">
        <v>0</v>
      </c>
      <c r="M33" s="14" t="s">
        <v>86</v>
      </c>
    </row>
    <row r="34" spans="1:13" x14ac:dyDescent="0.25">
      <c r="A34" s="14" t="s">
        <v>41</v>
      </c>
      <c r="B34" s="14" t="s">
        <v>199</v>
      </c>
      <c r="C34" s="14" t="s">
        <v>249</v>
      </c>
      <c r="D34" s="14" t="s">
        <v>74</v>
      </c>
      <c r="E34" s="14">
        <v>0</v>
      </c>
      <c r="F34" s="14">
        <v>0</v>
      </c>
      <c r="G34" s="14">
        <v>0</v>
      </c>
      <c r="H34" s="14">
        <v>0</v>
      </c>
      <c r="I34" s="14">
        <v>1</v>
      </c>
      <c r="J34" s="18">
        <v>33</v>
      </c>
      <c r="K34" s="14">
        <v>0</v>
      </c>
      <c r="L34" s="18">
        <v>79.680000000000007</v>
      </c>
      <c r="M34" s="14" t="s">
        <v>86</v>
      </c>
    </row>
    <row r="35" spans="1:13" x14ac:dyDescent="0.25">
      <c r="A35" s="14" t="s">
        <v>45</v>
      </c>
      <c r="B35" s="14" t="s">
        <v>250</v>
      </c>
      <c r="C35" s="14" t="s">
        <v>251</v>
      </c>
      <c r="D35" s="14" t="s">
        <v>42</v>
      </c>
      <c r="E35" s="14">
        <v>1</v>
      </c>
      <c r="F35" s="14">
        <v>0</v>
      </c>
      <c r="G35" s="14">
        <v>0</v>
      </c>
      <c r="H35" s="14">
        <v>0</v>
      </c>
      <c r="I35" s="14">
        <v>0</v>
      </c>
      <c r="J35" s="18">
        <v>16</v>
      </c>
      <c r="K35" s="14">
        <v>1</v>
      </c>
      <c r="L35" s="18">
        <v>44.02</v>
      </c>
      <c r="M35" s="14" t="s">
        <v>86</v>
      </c>
    </row>
    <row r="36" spans="1:13" x14ac:dyDescent="0.25">
      <c r="A36" s="14" t="s">
        <v>45</v>
      </c>
      <c r="B36" s="14" t="s">
        <v>252</v>
      </c>
      <c r="C36" s="14" t="s">
        <v>253</v>
      </c>
      <c r="D36" s="14" t="s">
        <v>74</v>
      </c>
      <c r="E36" s="14">
        <v>0</v>
      </c>
      <c r="F36" s="14">
        <v>0</v>
      </c>
      <c r="G36" s="14">
        <v>0</v>
      </c>
      <c r="H36" s="14">
        <v>0</v>
      </c>
      <c r="I36" s="14">
        <v>1</v>
      </c>
      <c r="J36" s="18">
        <v>0</v>
      </c>
      <c r="K36" s="14">
        <v>0</v>
      </c>
      <c r="L36" s="18">
        <v>0</v>
      </c>
      <c r="M36" s="14" t="s">
        <v>111</v>
      </c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7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7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7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254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43</v>
      </c>
      <c r="B4" s="14" t="s">
        <v>255</v>
      </c>
      <c r="C4" s="14" t="s">
        <v>256</v>
      </c>
      <c r="D4" s="14" t="s">
        <v>77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8">
        <v>0</v>
      </c>
      <c r="K4" s="14">
        <v>0</v>
      </c>
      <c r="L4" s="18">
        <v>97.47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15</v>
      </c>
      <c r="W4" s="14">
        <f t="shared" ref="W4:W15" si="6">SUMIF($A$4:$A$43,$P4,K$4:K$43)</f>
        <v>1</v>
      </c>
      <c r="X4" s="18">
        <f t="shared" ref="X4:X15" si="7">SUMIF($A$4:$A$43,$P4,L$4:L$43)</f>
        <v>0</v>
      </c>
    </row>
    <row r="5" spans="1:24" x14ac:dyDescent="0.25">
      <c r="A5" s="14" t="s">
        <v>61</v>
      </c>
      <c r="B5" s="14" t="s">
        <v>257</v>
      </c>
      <c r="C5" s="14" t="s">
        <v>258</v>
      </c>
      <c r="D5" s="14" t="s">
        <v>64</v>
      </c>
      <c r="E5" s="14">
        <v>0</v>
      </c>
      <c r="F5" s="14">
        <v>1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0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1</v>
      </c>
      <c r="V5" s="18">
        <f t="shared" si="5"/>
        <v>0</v>
      </c>
      <c r="W5" s="14">
        <f t="shared" si="6"/>
        <v>0</v>
      </c>
      <c r="X5" s="18">
        <f t="shared" si="7"/>
        <v>0</v>
      </c>
    </row>
    <row r="6" spans="1:24" x14ac:dyDescent="0.25">
      <c r="A6" s="14" t="s">
        <v>51</v>
      </c>
      <c r="B6" s="14" t="s">
        <v>259</v>
      </c>
      <c r="C6" s="14" t="s">
        <v>260</v>
      </c>
      <c r="D6" s="14" t="s">
        <v>76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8">
        <v>16</v>
      </c>
      <c r="K6" s="14">
        <v>0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0</v>
      </c>
      <c r="R6" s="14">
        <f t="shared" si="1"/>
        <v>1</v>
      </c>
      <c r="S6" s="14">
        <f t="shared" si="2"/>
        <v>0</v>
      </c>
      <c r="T6" s="14">
        <f t="shared" si="3"/>
        <v>0</v>
      </c>
      <c r="U6" s="14">
        <f t="shared" si="4"/>
        <v>1</v>
      </c>
      <c r="V6" s="18">
        <f t="shared" si="5"/>
        <v>18</v>
      </c>
      <c r="W6" s="14">
        <f t="shared" si="6"/>
        <v>1</v>
      </c>
      <c r="X6" s="18">
        <f t="shared" si="7"/>
        <v>309.26</v>
      </c>
    </row>
    <row r="7" spans="1:24" x14ac:dyDescent="0.25">
      <c r="A7" s="14" t="s">
        <v>57</v>
      </c>
      <c r="B7" s="14" t="s">
        <v>261</v>
      </c>
      <c r="C7" s="14" t="s">
        <v>262</v>
      </c>
      <c r="D7" s="14" t="s">
        <v>73</v>
      </c>
      <c r="E7" s="14">
        <v>0</v>
      </c>
      <c r="F7" s="14">
        <v>0</v>
      </c>
      <c r="G7" s="14">
        <v>0</v>
      </c>
      <c r="H7" s="14">
        <v>0</v>
      </c>
      <c r="I7" s="14">
        <v>1</v>
      </c>
      <c r="J7" s="18">
        <v>33</v>
      </c>
      <c r="K7" s="14">
        <v>0</v>
      </c>
      <c r="L7" s="18">
        <v>163.98</v>
      </c>
      <c r="M7" s="14" t="s">
        <v>86</v>
      </c>
      <c r="P7" s="14" t="str">
        <f>Setup!$A$7</f>
        <v>Expert 04</v>
      </c>
      <c r="Q7" s="14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1</v>
      </c>
      <c r="X7" s="18">
        <f t="shared" si="7"/>
        <v>0</v>
      </c>
    </row>
    <row r="8" spans="1:24" x14ac:dyDescent="0.25">
      <c r="A8" s="14" t="s">
        <v>57</v>
      </c>
      <c r="B8" s="14" t="s">
        <v>263</v>
      </c>
      <c r="C8" s="14" t="s">
        <v>264</v>
      </c>
      <c r="D8" s="14" t="s">
        <v>76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8">
        <v>0</v>
      </c>
      <c r="K8" s="14">
        <v>0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0</v>
      </c>
      <c r="X8" s="18">
        <f t="shared" si="7"/>
        <v>0</v>
      </c>
    </row>
    <row r="9" spans="1:24" x14ac:dyDescent="0.25">
      <c r="A9" s="14" t="s">
        <v>61</v>
      </c>
      <c r="B9" s="14" t="s">
        <v>265</v>
      </c>
      <c r="C9" s="14" t="s">
        <v>266</v>
      </c>
      <c r="D9" s="14" t="s">
        <v>75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0</v>
      </c>
      <c r="L9" s="18">
        <v>146.65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0</v>
      </c>
      <c r="X9" s="18">
        <f t="shared" si="7"/>
        <v>0</v>
      </c>
    </row>
    <row r="10" spans="1:24" x14ac:dyDescent="0.25">
      <c r="A10" s="14" t="s">
        <v>53</v>
      </c>
      <c r="B10" s="14" t="s">
        <v>267</v>
      </c>
      <c r="C10" s="14" t="s">
        <v>268</v>
      </c>
      <c r="D10" s="14" t="s">
        <v>48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24</v>
      </c>
      <c r="K10" s="14">
        <v>1</v>
      </c>
      <c r="L10" s="18">
        <v>37.229999999999997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16</v>
      </c>
      <c r="W10" s="14">
        <f t="shared" si="6"/>
        <v>0</v>
      </c>
      <c r="X10" s="18">
        <f t="shared" si="7"/>
        <v>0</v>
      </c>
    </row>
    <row r="11" spans="1:24" x14ac:dyDescent="0.25">
      <c r="A11" s="14" t="s">
        <v>43</v>
      </c>
      <c r="B11" s="14" t="s">
        <v>269</v>
      </c>
      <c r="C11" s="14" t="s">
        <v>270</v>
      </c>
      <c r="D11" s="14" t="s">
        <v>74</v>
      </c>
      <c r="E11" s="14">
        <v>0</v>
      </c>
      <c r="F11" s="14">
        <v>0</v>
      </c>
      <c r="G11" s="14">
        <v>0</v>
      </c>
      <c r="H11" s="14">
        <v>0</v>
      </c>
      <c r="I11" s="14">
        <v>1</v>
      </c>
      <c r="J11" s="18">
        <v>18</v>
      </c>
      <c r="K11" s="14">
        <v>0</v>
      </c>
      <c r="L11" s="18">
        <v>91.2</v>
      </c>
      <c r="M11" s="14" t="s">
        <v>86</v>
      </c>
      <c r="P11" s="14" t="str">
        <f>Setup!$A$11</f>
        <v>Expert 08</v>
      </c>
      <c r="Q11" s="14">
        <f t="shared" si="0"/>
        <v>1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64</v>
      </c>
      <c r="W11" s="14">
        <f t="shared" si="6"/>
        <v>2</v>
      </c>
      <c r="X11" s="18">
        <f t="shared" si="7"/>
        <v>84.34</v>
      </c>
    </row>
    <row r="12" spans="1:24" x14ac:dyDescent="0.25">
      <c r="A12" s="14" t="s">
        <v>57</v>
      </c>
      <c r="B12" s="14" t="s">
        <v>271</v>
      </c>
      <c r="C12" s="14" t="s">
        <v>272</v>
      </c>
      <c r="D12" s="14" t="s">
        <v>72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16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0</v>
      </c>
      <c r="X12" s="18">
        <f t="shared" si="7"/>
        <v>0</v>
      </c>
    </row>
    <row r="13" spans="1:24" x14ac:dyDescent="0.25">
      <c r="A13" s="14" t="s">
        <v>39</v>
      </c>
      <c r="B13" s="14" t="s">
        <v>273</v>
      </c>
      <c r="C13" s="14" t="s">
        <v>274</v>
      </c>
      <c r="D13" s="14" t="s">
        <v>48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8">
        <v>15</v>
      </c>
      <c r="K13" s="14">
        <v>1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2</v>
      </c>
      <c r="R13" s="14">
        <f t="shared" si="1"/>
        <v>1</v>
      </c>
      <c r="S13" s="14">
        <f t="shared" si="2"/>
        <v>0</v>
      </c>
      <c r="T13" s="14">
        <f t="shared" si="3"/>
        <v>1</v>
      </c>
      <c r="U13" s="14">
        <f t="shared" si="4"/>
        <v>1</v>
      </c>
      <c r="V13" s="18">
        <f t="shared" si="5"/>
        <v>88</v>
      </c>
      <c r="W13" s="14">
        <f t="shared" si="6"/>
        <v>4</v>
      </c>
      <c r="X13" s="18">
        <f t="shared" si="7"/>
        <v>186.89999999999998</v>
      </c>
    </row>
    <row r="14" spans="1:24" x14ac:dyDescent="0.25">
      <c r="A14" s="14" t="s">
        <v>57</v>
      </c>
      <c r="B14" s="14" t="s">
        <v>275</v>
      </c>
      <c r="C14" s="14" t="s">
        <v>276</v>
      </c>
      <c r="D14" s="14" t="s">
        <v>56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8">
        <v>15</v>
      </c>
      <c r="K14" s="14">
        <v>1</v>
      </c>
      <c r="L14" s="18">
        <v>0</v>
      </c>
      <c r="M14" s="14" t="s">
        <v>111</v>
      </c>
      <c r="P14" s="14" t="str">
        <f>Setup!$A$14</f>
        <v>Expert 11</v>
      </c>
      <c r="Q14" s="14">
        <f t="shared" si="0"/>
        <v>1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0</v>
      </c>
      <c r="W14" s="14">
        <f t="shared" si="6"/>
        <v>1</v>
      </c>
      <c r="X14" s="18">
        <f t="shared" si="7"/>
        <v>0</v>
      </c>
    </row>
    <row r="15" spans="1:24" x14ac:dyDescent="0.25">
      <c r="A15" s="14" t="s">
        <v>57</v>
      </c>
      <c r="B15" s="14" t="s">
        <v>277</v>
      </c>
      <c r="C15" s="14" t="s">
        <v>278</v>
      </c>
      <c r="D15" s="14" t="s">
        <v>50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24</v>
      </c>
      <c r="K15" s="14">
        <v>1</v>
      </c>
      <c r="L15" s="18">
        <v>22.92</v>
      </c>
      <c r="M15" s="14" t="s">
        <v>86</v>
      </c>
      <c r="P15" s="14" t="str">
        <f>Setup!$A$15</f>
        <v>Expert 12</v>
      </c>
      <c r="Q15" s="14">
        <f t="shared" si="0"/>
        <v>2</v>
      </c>
      <c r="R15" s="14">
        <f t="shared" si="1"/>
        <v>2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24</v>
      </c>
      <c r="W15" s="14">
        <f t="shared" si="6"/>
        <v>2</v>
      </c>
      <c r="X15" s="18">
        <f t="shared" si="7"/>
        <v>236.23000000000002</v>
      </c>
    </row>
    <row r="16" spans="1:24" x14ac:dyDescent="0.25">
      <c r="A16" s="14" t="s">
        <v>57</v>
      </c>
      <c r="B16" s="14" t="s">
        <v>279</v>
      </c>
      <c r="C16" s="14" t="s">
        <v>280</v>
      </c>
      <c r="D16" s="14" t="s">
        <v>68</v>
      </c>
      <c r="E16" s="14">
        <v>0</v>
      </c>
      <c r="F16" s="14">
        <v>0</v>
      </c>
      <c r="G16" s="14">
        <v>0</v>
      </c>
      <c r="H16" s="14">
        <v>1</v>
      </c>
      <c r="I16" s="14">
        <v>0</v>
      </c>
      <c r="J16" s="18">
        <v>0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6</v>
      </c>
      <c r="R16" s="20">
        <f t="shared" si="8"/>
        <v>4</v>
      </c>
      <c r="S16" s="20">
        <f t="shared" si="8"/>
        <v>0</v>
      </c>
      <c r="T16" s="20">
        <f t="shared" si="8"/>
        <v>1</v>
      </c>
      <c r="U16" s="20">
        <f t="shared" si="8"/>
        <v>3</v>
      </c>
      <c r="V16" s="21">
        <f t="shared" si="8"/>
        <v>225</v>
      </c>
      <c r="W16" s="20">
        <f t="shared" si="8"/>
        <v>12</v>
      </c>
      <c r="X16" s="21">
        <f t="shared" si="8"/>
        <v>816.73</v>
      </c>
    </row>
    <row r="17" spans="1:13" x14ac:dyDescent="0.25">
      <c r="A17" s="14" t="s">
        <v>53</v>
      </c>
      <c r="B17" s="14" t="s">
        <v>281</v>
      </c>
      <c r="C17" s="14" t="s">
        <v>282</v>
      </c>
      <c r="D17" s="14" t="s">
        <v>69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8">
        <v>24</v>
      </c>
      <c r="K17" s="14">
        <v>1</v>
      </c>
      <c r="L17" s="18">
        <v>47.11</v>
      </c>
      <c r="M17" s="14" t="s">
        <v>86</v>
      </c>
    </row>
    <row r="18" spans="1:13" x14ac:dyDescent="0.25">
      <c r="A18" s="14" t="s">
        <v>53</v>
      </c>
      <c r="B18" s="14" t="s">
        <v>283</v>
      </c>
      <c r="C18" s="14" t="s">
        <v>284</v>
      </c>
      <c r="D18" s="14" t="s">
        <v>76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0</v>
      </c>
      <c r="K18" s="14">
        <v>0</v>
      </c>
      <c r="L18" s="18">
        <v>0</v>
      </c>
      <c r="M18" s="14" t="s">
        <v>86</v>
      </c>
    </row>
    <row r="19" spans="1:13" x14ac:dyDescent="0.25">
      <c r="A19" s="14" t="s">
        <v>43</v>
      </c>
      <c r="B19" s="14" t="s">
        <v>285</v>
      </c>
      <c r="C19" s="14" t="s">
        <v>286</v>
      </c>
      <c r="D19" s="14" t="s">
        <v>54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120.59</v>
      </c>
      <c r="M19" s="14" t="s">
        <v>86</v>
      </c>
    </row>
    <row r="20" spans="1:13" x14ac:dyDescent="0.25">
      <c r="A20" s="14" t="s">
        <v>59</v>
      </c>
      <c r="B20" s="14" t="s">
        <v>287</v>
      </c>
      <c r="C20" s="14" t="s">
        <v>288</v>
      </c>
      <c r="D20" s="14" t="s">
        <v>44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0</v>
      </c>
      <c r="M20" s="14" t="s">
        <v>86</v>
      </c>
    </row>
    <row r="21" spans="1:13" x14ac:dyDescent="0.25">
      <c r="A21" s="14" t="s">
        <v>61</v>
      </c>
      <c r="B21" s="14" t="s">
        <v>289</v>
      </c>
      <c r="C21" s="14" t="s">
        <v>290</v>
      </c>
      <c r="D21" s="14" t="s">
        <v>70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61</v>
      </c>
      <c r="B22" s="14" t="s">
        <v>291</v>
      </c>
      <c r="C22" s="14" t="s">
        <v>292</v>
      </c>
      <c r="D22" s="14" t="s">
        <v>77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8">
        <v>24</v>
      </c>
      <c r="K22" s="14">
        <v>0</v>
      </c>
      <c r="L22" s="18">
        <v>89.58</v>
      </c>
      <c r="M22" s="14" t="s">
        <v>86</v>
      </c>
    </row>
    <row r="23" spans="1:13" x14ac:dyDescent="0.25">
      <c r="A23" s="14" t="s">
        <v>53</v>
      </c>
      <c r="B23" s="14" t="s">
        <v>293</v>
      </c>
      <c r="C23" s="14" t="s">
        <v>294</v>
      </c>
      <c r="D23" s="14" t="s">
        <v>76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8">
        <v>16</v>
      </c>
      <c r="K23" s="14">
        <v>0</v>
      </c>
      <c r="L23" s="18">
        <v>0</v>
      </c>
      <c r="M23" s="14" t="s">
        <v>86</v>
      </c>
    </row>
    <row r="24" spans="1:13" x14ac:dyDescent="0.25">
      <c r="A24" s="14" t="s">
        <v>41</v>
      </c>
      <c r="B24" s="14" t="s">
        <v>295</v>
      </c>
      <c r="C24" s="14" t="s">
        <v>296</v>
      </c>
      <c r="D24" s="14" t="s">
        <v>74</v>
      </c>
      <c r="E24" s="14">
        <v>0</v>
      </c>
      <c r="F24" s="14">
        <v>0</v>
      </c>
      <c r="G24" s="14">
        <v>0</v>
      </c>
      <c r="H24" s="14">
        <v>0</v>
      </c>
      <c r="I24" s="14">
        <v>1</v>
      </c>
      <c r="J24" s="18">
        <v>0</v>
      </c>
      <c r="K24" s="14">
        <v>0</v>
      </c>
      <c r="L24" s="18">
        <v>0</v>
      </c>
      <c r="M24" s="14" t="s">
        <v>86</v>
      </c>
    </row>
    <row r="25" spans="1:13" x14ac:dyDescent="0.25">
      <c r="A25" s="14" t="s">
        <v>45</v>
      </c>
      <c r="B25" s="14" t="s">
        <v>297</v>
      </c>
      <c r="C25" s="14" t="s">
        <v>298</v>
      </c>
      <c r="D25" s="14" t="s">
        <v>68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8">
        <v>0</v>
      </c>
      <c r="K25" s="14">
        <v>1</v>
      </c>
      <c r="L25" s="18">
        <v>0</v>
      </c>
      <c r="M25" s="14" t="s">
        <v>86</v>
      </c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8"/>
      <c r="K26" s="14"/>
      <c r="L26" s="18"/>
      <c r="M26" s="14"/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8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8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8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299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51</v>
      </c>
      <c r="B4" s="14" t="s">
        <v>300</v>
      </c>
      <c r="C4" s="14" t="s">
        <v>301</v>
      </c>
      <c r="D4" s="14" t="s">
        <v>46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8">
        <v>0</v>
      </c>
      <c r="K4" s="14">
        <v>1</v>
      </c>
      <c r="L4" s="18">
        <v>148.80000000000001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2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15</v>
      </c>
      <c r="W4" s="14">
        <f t="shared" ref="W4:W15" si="6">SUMIF($A$4:$A$43,$P4,K$4:K$43)</f>
        <v>2</v>
      </c>
      <c r="X4" s="18">
        <f t="shared" ref="X4:X15" si="7">SUMIF($A$4:$A$43,$P4,L$4:L$43)</f>
        <v>217.28</v>
      </c>
    </row>
    <row r="5" spans="1:24" x14ac:dyDescent="0.25">
      <c r="A5" s="14" t="s">
        <v>41</v>
      </c>
      <c r="B5" s="14" t="s">
        <v>302</v>
      </c>
      <c r="C5" s="14" t="s">
        <v>303</v>
      </c>
      <c r="D5" s="14" t="s">
        <v>69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6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0</v>
      </c>
      <c r="W5" s="14">
        <f t="shared" si="6"/>
        <v>6</v>
      </c>
      <c r="X5" s="18">
        <f t="shared" si="7"/>
        <v>285.13</v>
      </c>
    </row>
    <row r="6" spans="1:24" x14ac:dyDescent="0.25">
      <c r="A6" s="14" t="s">
        <v>39</v>
      </c>
      <c r="B6" s="14" t="s">
        <v>304</v>
      </c>
      <c r="C6" s="14" t="s">
        <v>305</v>
      </c>
      <c r="D6" s="14" t="s">
        <v>71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15</v>
      </c>
      <c r="K6" s="14">
        <v>1</v>
      </c>
      <c r="L6" s="18">
        <v>141.63</v>
      </c>
      <c r="M6" s="14" t="s">
        <v>111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1</v>
      </c>
      <c r="X6" s="18">
        <f t="shared" si="7"/>
        <v>0</v>
      </c>
    </row>
    <row r="7" spans="1:24" x14ac:dyDescent="0.25">
      <c r="A7" s="14" t="s">
        <v>53</v>
      </c>
      <c r="B7" s="14" t="s">
        <v>223</v>
      </c>
      <c r="C7" s="14" t="s">
        <v>306</v>
      </c>
      <c r="D7" s="14" t="s">
        <v>70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33</v>
      </c>
      <c r="K7" s="14">
        <v>1</v>
      </c>
      <c r="L7" s="18">
        <v>36.85</v>
      </c>
      <c r="M7" s="14" t="s">
        <v>86</v>
      </c>
      <c r="P7" s="14" t="str">
        <f>Setup!$A$7</f>
        <v>Expert 04</v>
      </c>
      <c r="Q7" s="14">
        <f t="shared" si="0"/>
        <v>3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15</v>
      </c>
      <c r="W7" s="14">
        <f t="shared" si="6"/>
        <v>3</v>
      </c>
      <c r="X7" s="18">
        <f t="shared" si="7"/>
        <v>230.01999999999998</v>
      </c>
    </row>
    <row r="8" spans="1:24" x14ac:dyDescent="0.25">
      <c r="A8" s="14" t="s">
        <v>45</v>
      </c>
      <c r="B8" s="14" t="s">
        <v>307</v>
      </c>
      <c r="C8" s="14" t="s">
        <v>308</v>
      </c>
      <c r="D8" s="14" t="s">
        <v>71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2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33</v>
      </c>
      <c r="W8" s="14">
        <f t="shared" si="6"/>
        <v>2</v>
      </c>
      <c r="X8" s="18">
        <f t="shared" si="7"/>
        <v>197.43</v>
      </c>
    </row>
    <row r="9" spans="1:24" x14ac:dyDescent="0.25">
      <c r="A9" s="14" t="s">
        <v>45</v>
      </c>
      <c r="B9" s="14" t="s">
        <v>309</v>
      </c>
      <c r="C9" s="14" t="s">
        <v>310</v>
      </c>
      <c r="D9" s="14" t="s">
        <v>42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15</v>
      </c>
      <c r="K9" s="14">
        <v>1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0</v>
      </c>
      <c r="X9" s="18">
        <f t="shared" si="7"/>
        <v>0</v>
      </c>
    </row>
    <row r="10" spans="1:24" x14ac:dyDescent="0.25">
      <c r="A10" s="14" t="s">
        <v>61</v>
      </c>
      <c r="B10" s="14" t="s">
        <v>311</v>
      </c>
      <c r="C10" s="14" t="s">
        <v>312</v>
      </c>
      <c r="D10" s="14" t="s">
        <v>66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179.67</v>
      </c>
      <c r="M10" s="14" t="s">
        <v>86</v>
      </c>
      <c r="P10" s="14" t="str">
        <f>Setup!$A$10</f>
        <v>Expert 07</v>
      </c>
      <c r="Q10" s="14">
        <f t="shared" si="0"/>
        <v>3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33</v>
      </c>
      <c r="W10" s="14">
        <f t="shared" si="6"/>
        <v>4</v>
      </c>
      <c r="X10" s="18">
        <f t="shared" si="7"/>
        <v>361.63</v>
      </c>
    </row>
    <row r="11" spans="1:24" x14ac:dyDescent="0.25">
      <c r="A11" s="14" t="s">
        <v>57</v>
      </c>
      <c r="B11" s="14" t="s">
        <v>313</v>
      </c>
      <c r="C11" s="14" t="s">
        <v>314</v>
      </c>
      <c r="D11" s="14" t="s">
        <v>71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18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2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51</v>
      </c>
      <c r="W11" s="14">
        <f t="shared" si="6"/>
        <v>3</v>
      </c>
      <c r="X11" s="18">
        <f t="shared" si="7"/>
        <v>36.85</v>
      </c>
    </row>
    <row r="12" spans="1:24" x14ac:dyDescent="0.25">
      <c r="A12" s="14" t="s">
        <v>41</v>
      </c>
      <c r="B12" s="14" t="s">
        <v>315</v>
      </c>
      <c r="C12" s="14" t="s">
        <v>316</v>
      </c>
      <c r="D12" s="14" t="s">
        <v>63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15.5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0</v>
      </c>
      <c r="X12" s="18">
        <f t="shared" si="7"/>
        <v>0</v>
      </c>
    </row>
    <row r="13" spans="1:24" x14ac:dyDescent="0.25">
      <c r="A13" s="14" t="s">
        <v>41</v>
      </c>
      <c r="B13" s="14" t="s">
        <v>317</v>
      </c>
      <c r="C13" s="14" t="s">
        <v>318</v>
      </c>
      <c r="D13" s="14" t="s">
        <v>52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117.18</v>
      </c>
      <c r="M13" s="14" t="s">
        <v>86</v>
      </c>
      <c r="P13" s="14" t="str">
        <f>Setup!$A$13</f>
        <v>Expert 10</v>
      </c>
      <c r="Q13" s="14">
        <f t="shared" si="0"/>
        <v>2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1</v>
      </c>
      <c r="V13" s="18">
        <f t="shared" si="5"/>
        <v>67</v>
      </c>
      <c r="W13" s="14">
        <f t="shared" si="6"/>
        <v>2</v>
      </c>
      <c r="X13" s="18">
        <f t="shared" si="7"/>
        <v>196.9</v>
      </c>
    </row>
    <row r="14" spans="1:24" x14ac:dyDescent="0.25">
      <c r="A14" s="14" t="s">
        <v>57</v>
      </c>
      <c r="B14" s="14" t="s">
        <v>319</v>
      </c>
      <c r="C14" s="14" t="s">
        <v>320</v>
      </c>
      <c r="D14" s="14" t="s">
        <v>74</v>
      </c>
      <c r="E14" s="14">
        <v>0</v>
      </c>
      <c r="F14" s="14">
        <v>0</v>
      </c>
      <c r="G14" s="14">
        <v>0</v>
      </c>
      <c r="H14" s="14">
        <v>0</v>
      </c>
      <c r="I14" s="14">
        <v>1</v>
      </c>
      <c r="J14" s="18">
        <v>33</v>
      </c>
      <c r="K14" s="14">
        <v>0</v>
      </c>
      <c r="L14" s="18">
        <v>66.63</v>
      </c>
      <c r="M14" s="14" t="s">
        <v>86</v>
      </c>
      <c r="P14" s="14" t="str">
        <f>Setup!$A$14</f>
        <v>Expert 11</v>
      </c>
      <c r="Q14" s="14">
        <f t="shared" si="0"/>
        <v>2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15</v>
      </c>
      <c r="W14" s="14">
        <f t="shared" si="6"/>
        <v>2</v>
      </c>
      <c r="X14" s="18">
        <f t="shared" si="7"/>
        <v>104.2</v>
      </c>
    </row>
    <row r="15" spans="1:24" x14ac:dyDescent="0.25">
      <c r="A15" s="14" t="s">
        <v>41</v>
      </c>
      <c r="B15" s="14" t="s">
        <v>321</v>
      </c>
      <c r="C15" s="14" t="s">
        <v>322</v>
      </c>
      <c r="D15" s="14" t="s">
        <v>40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64.8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1</v>
      </c>
      <c r="V15" s="18">
        <f t="shared" si="5"/>
        <v>15</v>
      </c>
      <c r="W15" s="14">
        <f t="shared" si="6"/>
        <v>1</v>
      </c>
      <c r="X15" s="18">
        <f t="shared" si="7"/>
        <v>272.87</v>
      </c>
    </row>
    <row r="16" spans="1:24" x14ac:dyDescent="0.25">
      <c r="A16" s="14" t="s">
        <v>61</v>
      </c>
      <c r="B16" s="14" t="s">
        <v>323</v>
      </c>
      <c r="C16" s="14" t="s">
        <v>324</v>
      </c>
      <c r="D16" s="14" t="s">
        <v>74</v>
      </c>
      <c r="E16" s="14">
        <v>0</v>
      </c>
      <c r="F16" s="14">
        <v>1</v>
      </c>
      <c r="G16" s="14">
        <v>0</v>
      </c>
      <c r="H16" s="14">
        <v>0</v>
      </c>
      <c r="I16" s="14">
        <v>1</v>
      </c>
      <c r="J16" s="18">
        <v>15</v>
      </c>
      <c r="K16" s="14">
        <v>0</v>
      </c>
      <c r="L16" s="18">
        <v>93.2</v>
      </c>
      <c r="M16" s="14" t="s">
        <v>86</v>
      </c>
      <c r="P16" s="19" t="s">
        <v>112</v>
      </c>
      <c r="Q16" s="20">
        <f t="shared" ref="Q16:X16" si="8">SUM(Q4:Q15)</f>
        <v>24</v>
      </c>
      <c r="R16" s="20">
        <f t="shared" si="8"/>
        <v>1</v>
      </c>
      <c r="S16" s="20">
        <f t="shared" si="8"/>
        <v>0</v>
      </c>
      <c r="T16" s="20">
        <f t="shared" si="8"/>
        <v>0</v>
      </c>
      <c r="U16" s="20">
        <f t="shared" si="8"/>
        <v>2</v>
      </c>
      <c r="V16" s="21">
        <f t="shared" si="8"/>
        <v>244</v>
      </c>
      <c r="W16" s="20">
        <f t="shared" si="8"/>
        <v>26</v>
      </c>
      <c r="X16" s="21">
        <f t="shared" si="8"/>
        <v>1902.31</v>
      </c>
    </row>
    <row r="17" spans="1:13" x14ac:dyDescent="0.25">
      <c r="A17" s="14" t="s">
        <v>47</v>
      </c>
      <c r="B17" s="14" t="s">
        <v>325</v>
      </c>
      <c r="C17" s="14" t="s">
        <v>326</v>
      </c>
      <c r="D17" s="14" t="s">
        <v>48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69.739999999999995</v>
      </c>
      <c r="M17" s="14" t="s">
        <v>86</v>
      </c>
    </row>
    <row r="18" spans="1:13" x14ac:dyDescent="0.25">
      <c r="A18" s="14" t="s">
        <v>39</v>
      </c>
      <c r="B18" s="14" t="s">
        <v>327</v>
      </c>
      <c r="C18" s="14" t="s">
        <v>328</v>
      </c>
      <c r="D18" s="14" t="s">
        <v>63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8">
        <v>0</v>
      </c>
      <c r="K18" s="14">
        <v>1</v>
      </c>
      <c r="L18" s="18">
        <v>75.650000000000006</v>
      </c>
      <c r="M18" s="14" t="s">
        <v>86</v>
      </c>
    </row>
    <row r="19" spans="1:13" x14ac:dyDescent="0.25">
      <c r="A19" s="14" t="s">
        <v>43</v>
      </c>
      <c r="B19" s="14" t="s">
        <v>329</v>
      </c>
      <c r="C19" s="14" t="s">
        <v>330</v>
      </c>
      <c r="D19" s="14" t="s">
        <v>58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57</v>
      </c>
      <c r="B20" s="14" t="s">
        <v>331</v>
      </c>
      <c r="C20" s="14" t="s">
        <v>332</v>
      </c>
      <c r="D20" s="14" t="s">
        <v>70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16</v>
      </c>
      <c r="K20" s="14">
        <v>1</v>
      </c>
      <c r="L20" s="18">
        <v>130.27000000000001</v>
      </c>
      <c r="M20" s="14" t="s">
        <v>86</v>
      </c>
    </row>
    <row r="21" spans="1:13" x14ac:dyDescent="0.25">
      <c r="A21" s="14" t="s">
        <v>59</v>
      </c>
      <c r="B21" s="14" t="s">
        <v>333</v>
      </c>
      <c r="C21" s="14" t="s">
        <v>334</v>
      </c>
      <c r="D21" s="14" t="s">
        <v>67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59</v>
      </c>
      <c r="B22" s="14" t="s">
        <v>335</v>
      </c>
      <c r="C22" s="14" t="s">
        <v>336</v>
      </c>
      <c r="D22" s="14" t="s">
        <v>64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15</v>
      </c>
      <c r="K22" s="14">
        <v>1</v>
      </c>
      <c r="L22" s="18">
        <v>104.2</v>
      </c>
      <c r="M22" s="14" t="s">
        <v>86</v>
      </c>
    </row>
    <row r="23" spans="1:13" x14ac:dyDescent="0.25">
      <c r="A23" s="14" t="s">
        <v>51</v>
      </c>
      <c r="B23" s="14" t="s">
        <v>337</v>
      </c>
      <c r="C23" s="14" t="s">
        <v>338</v>
      </c>
      <c r="D23" s="14" t="s">
        <v>63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18</v>
      </c>
      <c r="K23" s="14">
        <v>1</v>
      </c>
      <c r="L23" s="18">
        <v>0</v>
      </c>
      <c r="M23" s="14" t="s">
        <v>86</v>
      </c>
    </row>
    <row r="24" spans="1:13" x14ac:dyDescent="0.25">
      <c r="A24" s="14" t="s">
        <v>53</v>
      </c>
      <c r="B24" s="14" t="s">
        <v>339</v>
      </c>
      <c r="C24" s="14" t="s">
        <v>340</v>
      </c>
      <c r="D24" s="14" t="s">
        <v>58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8">
        <v>18</v>
      </c>
      <c r="K24" s="14">
        <v>1</v>
      </c>
      <c r="L24" s="18">
        <v>0</v>
      </c>
      <c r="M24" s="14" t="s">
        <v>111</v>
      </c>
    </row>
    <row r="25" spans="1:13" x14ac:dyDescent="0.25">
      <c r="A25" s="14" t="s">
        <v>47</v>
      </c>
      <c r="B25" s="14" t="s">
        <v>341</v>
      </c>
      <c r="C25" s="14" t="s">
        <v>342</v>
      </c>
      <c r="D25" s="14" t="s">
        <v>71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33</v>
      </c>
      <c r="K25" s="14">
        <v>1</v>
      </c>
      <c r="L25" s="18">
        <v>127.69</v>
      </c>
      <c r="M25" s="14" t="s">
        <v>86</v>
      </c>
    </row>
    <row r="26" spans="1:13" x14ac:dyDescent="0.25">
      <c r="A26" s="14" t="s">
        <v>41</v>
      </c>
      <c r="B26" s="14" t="s">
        <v>343</v>
      </c>
      <c r="C26" s="14" t="s">
        <v>344</v>
      </c>
      <c r="D26" s="14" t="s">
        <v>60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87.65</v>
      </c>
      <c r="M26" s="14" t="s">
        <v>86</v>
      </c>
    </row>
    <row r="27" spans="1:13" x14ac:dyDescent="0.25">
      <c r="A27" s="14" t="s">
        <v>41</v>
      </c>
      <c r="B27" s="14" t="s">
        <v>345</v>
      </c>
      <c r="C27" s="14" t="s">
        <v>346</v>
      </c>
      <c r="D27" s="14" t="s">
        <v>71</v>
      </c>
      <c r="E27" s="14">
        <v>1</v>
      </c>
      <c r="F27" s="14">
        <v>0</v>
      </c>
      <c r="G27" s="14">
        <v>0</v>
      </c>
      <c r="H27" s="14">
        <v>0</v>
      </c>
      <c r="I27" s="14">
        <v>0</v>
      </c>
      <c r="J27" s="18">
        <v>0</v>
      </c>
      <c r="K27" s="14">
        <v>1</v>
      </c>
      <c r="L27" s="18">
        <v>0</v>
      </c>
      <c r="M27" s="14" t="s">
        <v>86</v>
      </c>
    </row>
    <row r="28" spans="1:13" x14ac:dyDescent="0.25">
      <c r="A28" s="14" t="s">
        <v>45</v>
      </c>
      <c r="B28" s="14" t="s">
        <v>347</v>
      </c>
      <c r="C28" s="14" t="s">
        <v>348</v>
      </c>
      <c r="D28" s="14" t="s">
        <v>60</v>
      </c>
      <c r="E28" s="14">
        <v>1</v>
      </c>
      <c r="F28" s="14">
        <v>0</v>
      </c>
      <c r="G28" s="14">
        <v>0</v>
      </c>
      <c r="H28" s="14">
        <v>0</v>
      </c>
      <c r="I28" s="14">
        <v>0</v>
      </c>
      <c r="J28" s="18">
        <v>0</v>
      </c>
      <c r="K28" s="14">
        <v>1</v>
      </c>
      <c r="L28" s="18">
        <v>79.27</v>
      </c>
      <c r="M28" s="14" t="s">
        <v>86</v>
      </c>
    </row>
    <row r="29" spans="1:13" x14ac:dyDescent="0.25">
      <c r="A29" s="14" t="s">
        <v>51</v>
      </c>
      <c r="B29" s="14" t="s">
        <v>349</v>
      </c>
      <c r="C29" s="14" t="s">
        <v>350</v>
      </c>
      <c r="D29" s="14" t="s">
        <v>62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0</v>
      </c>
      <c r="K29" s="14">
        <v>1</v>
      </c>
      <c r="L29" s="18">
        <v>91.87</v>
      </c>
      <c r="M29" s="14" t="s">
        <v>86</v>
      </c>
    </row>
    <row r="30" spans="1:13" x14ac:dyDescent="0.25">
      <c r="A30" s="14" t="s">
        <v>45</v>
      </c>
      <c r="B30" s="14" t="s">
        <v>351</v>
      </c>
      <c r="C30" s="14" t="s">
        <v>352</v>
      </c>
      <c r="D30" s="14" t="s">
        <v>76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8">
        <v>0</v>
      </c>
      <c r="K30" s="14">
        <v>0</v>
      </c>
      <c r="L30" s="18">
        <v>150.75</v>
      </c>
      <c r="M30" s="14" t="s">
        <v>86</v>
      </c>
    </row>
    <row r="31" spans="1:13" x14ac:dyDescent="0.25">
      <c r="A31" s="14" t="s">
        <v>53</v>
      </c>
      <c r="B31" s="14" t="s">
        <v>353</v>
      </c>
      <c r="C31" s="14" t="s">
        <v>354</v>
      </c>
      <c r="D31" s="14" t="s">
        <v>68</v>
      </c>
      <c r="E31" s="14">
        <v>1</v>
      </c>
      <c r="F31" s="14">
        <v>0</v>
      </c>
      <c r="G31" s="14">
        <v>0</v>
      </c>
      <c r="H31" s="14">
        <v>0</v>
      </c>
      <c r="I31" s="14">
        <v>0</v>
      </c>
      <c r="J31" s="18">
        <v>0</v>
      </c>
      <c r="K31" s="14">
        <v>1</v>
      </c>
      <c r="L31" s="18">
        <v>0</v>
      </c>
      <c r="M31" s="14" t="s">
        <v>86</v>
      </c>
    </row>
    <row r="32" spans="1:13" x14ac:dyDescent="0.25">
      <c r="A32" s="14" t="s">
        <v>51</v>
      </c>
      <c r="B32" s="14" t="s">
        <v>355</v>
      </c>
      <c r="C32" s="14" t="s">
        <v>356</v>
      </c>
      <c r="D32" s="14" t="s">
        <v>46</v>
      </c>
      <c r="E32" s="14">
        <v>1</v>
      </c>
      <c r="F32" s="14">
        <v>0</v>
      </c>
      <c r="G32" s="14">
        <v>0</v>
      </c>
      <c r="H32" s="14">
        <v>0</v>
      </c>
      <c r="I32" s="14">
        <v>0</v>
      </c>
      <c r="J32" s="18">
        <v>15</v>
      </c>
      <c r="K32" s="14">
        <v>1</v>
      </c>
      <c r="L32" s="18">
        <v>120.96</v>
      </c>
      <c r="M32" s="14" t="s">
        <v>86</v>
      </c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9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9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9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357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53</v>
      </c>
      <c r="B4" s="14" t="s">
        <v>358</v>
      </c>
      <c r="C4" s="14" t="s">
        <v>359</v>
      </c>
      <c r="D4" s="14" t="s">
        <v>73</v>
      </c>
      <c r="E4" s="14">
        <v>0</v>
      </c>
      <c r="F4" s="14">
        <v>0</v>
      </c>
      <c r="G4" s="14">
        <v>0</v>
      </c>
      <c r="H4" s="14">
        <v>0</v>
      </c>
      <c r="I4" s="14">
        <v>1</v>
      </c>
      <c r="J4" s="18">
        <v>18</v>
      </c>
      <c r="K4" s="14">
        <v>0</v>
      </c>
      <c r="L4" s="18">
        <v>102.61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0</v>
      </c>
      <c r="X4" s="18">
        <f t="shared" ref="X4:X15" si="7">SUMIF($A$4:$A$43,$P4,L$4:L$43)</f>
        <v>0</v>
      </c>
    </row>
    <row r="5" spans="1:24" x14ac:dyDescent="0.25">
      <c r="A5" s="14" t="s">
        <v>45</v>
      </c>
      <c r="B5" s="14" t="s">
        <v>360</v>
      </c>
      <c r="C5" s="14" t="s">
        <v>361</v>
      </c>
      <c r="D5" s="14" t="s">
        <v>64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3</v>
      </c>
      <c r="R5" s="14">
        <f t="shared" si="1"/>
        <v>1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48</v>
      </c>
      <c r="W5" s="14">
        <f t="shared" si="6"/>
        <v>3</v>
      </c>
      <c r="X5" s="18">
        <f t="shared" si="7"/>
        <v>118.57</v>
      </c>
    </row>
    <row r="6" spans="1:24" x14ac:dyDescent="0.25">
      <c r="A6" s="14" t="s">
        <v>55</v>
      </c>
      <c r="B6" s="14" t="s">
        <v>362</v>
      </c>
      <c r="C6" s="14" t="s">
        <v>363</v>
      </c>
      <c r="D6" s="14" t="s">
        <v>48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24</v>
      </c>
      <c r="K6" s="14">
        <v>1</v>
      </c>
      <c r="L6" s="18">
        <v>15.74</v>
      </c>
      <c r="M6" s="14" t="s">
        <v>86</v>
      </c>
      <c r="P6" s="14" t="str">
        <f>Setup!$A$6</f>
        <v>Expert 03</v>
      </c>
      <c r="Q6" s="14">
        <f t="shared" si="0"/>
        <v>0</v>
      </c>
      <c r="R6" s="14">
        <f t="shared" si="1"/>
        <v>2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16</v>
      </c>
      <c r="W6" s="14">
        <f t="shared" si="6"/>
        <v>2</v>
      </c>
      <c r="X6" s="18">
        <f t="shared" si="7"/>
        <v>152.59</v>
      </c>
    </row>
    <row r="7" spans="1:24" x14ac:dyDescent="0.25">
      <c r="A7" s="14" t="s">
        <v>57</v>
      </c>
      <c r="B7" s="14" t="s">
        <v>364</v>
      </c>
      <c r="C7" s="14" t="s">
        <v>365</v>
      </c>
      <c r="D7" s="14" t="s">
        <v>52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1</v>
      </c>
      <c r="X7" s="18">
        <f t="shared" si="7"/>
        <v>0</v>
      </c>
    </row>
    <row r="8" spans="1:24" x14ac:dyDescent="0.25">
      <c r="A8" s="14" t="s">
        <v>43</v>
      </c>
      <c r="B8" s="14" t="s">
        <v>366</v>
      </c>
      <c r="C8" s="14" t="s">
        <v>367</v>
      </c>
      <c r="D8" s="14" t="s">
        <v>71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8">
        <v>16</v>
      </c>
      <c r="K8" s="14">
        <v>1</v>
      </c>
      <c r="L8" s="18">
        <v>152.59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0</v>
      </c>
      <c r="X8" s="18">
        <f t="shared" si="7"/>
        <v>0</v>
      </c>
    </row>
    <row r="9" spans="1:24" x14ac:dyDescent="0.25">
      <c r="A9" s="14" t="s">
        <v>51</v>
      </c>
      <c r="B9" s="14" t="s">
        <v>368</v>
      </c>
      <c r="C9" s="14" t="s">
        <v>369</v>
      </c>
      <c r="D9" s="14" t="s">
        <v>54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24</v>
      </c>
      <c r="K9" s="14">
        <v>1</v>
      </c>
      <c r="L9" s="18">
        <v>81.900000000000006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0</v>
      </c>
      <c r="X9" s="18">
        <f t="shared" si="7"/>
        <v>0</v>
      </c>
    </row>
    <row r="10" spans="1:24" x14ac:dyDescent="0.25">
      <c r="A10" s="14" t="s">
        <v>53</v>
      </c>
      <c r="B10" s="14" t="s">
        <v>370</v>
      </c>
      <c r="C10" s="14" t="s">
        <v>371</v>
      </c>
      <c r="D10" s="14" t="s">
        <v>73</v>
      </c>
      <c r="E10" s="14">
        <v>0</v>
      </c>
      <c r="F10" s="14">
        <v>0</v>
      </c>
      <c r="G10" s="14">
        <v>0</v>
      </c>
      <c r="H10" s="14">
        <v>0</v>
      </c>
      <c r="I10" s="14">
        <v>1</v>
      </c>
      <c r="J10" s="18">
        <v>33</v>
      </c>
      <c r="K10" s="14">
        <v>0</v>
      </c>
      <c r="L10" s="18">
        <v>123.76</v>
      </c>
      <c r="M10" s="14" t="s">
        <v>86</v>
      </c>
      <c r="P10" s="14" t="str">
        <f>Setup!$A$10</f>
        <v>Expert 07</v>
      </c>
      <c r="Q10" s="14">
        <f t="shared" si="0"/>
        <v>1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24</v>
      </c>
      <c r="W10" s="14">
        <f t="shared" si="6"/>
        <v>1</v>
      </c>
      <c r="X10" s="18">
        <f t="shared" si="7"/>
        <v>81.900000000000006</v>
      </c>
    </row>
    <row r="11" spans="1:24" x14ac:dyDescent="0.25">
      <c r="A11" s="14" t="s">
        <v>57</v>
      </c>
      <c r="B11" s="14" t="s">
        <v>372</v>
      </c>
      <c r="C11" s="14" t="s">
        <v>373</v>
      </c>
      <c r="D11" s="14" t="s">
        <v>64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0</v>
      </c>
      <c r="M11" s="14" t="s">
        <v>111</v>
      </c>
      <c r="P11" s="14" t="str">
        <f>Setup!$A$11</f>
        <v>Expert 08</v>
      </c>
      <c r="Q11" s="14">
        <f t="shared" si="0"/>
        <v>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2</v>
      </c>
      <c r="V11" s="18">
        <f t="shared" si="5"/>
        <v>51</v>
      </c>
      <c r="W11" s="14">
        <f t="shared" si="6"/>
        <v>1</v>
      </c>
      <c r="X11" s="18">
        <f t="shared" si="7"/>
        <v>239.57</v>
      </c>
    </row>
    <row r="12" spans="1:24" x14ac:dyDescent="0.25">
      <c r="A12" s="14" t="s">
        <v>59</v>
      </c>
      <c r="B12" s="14" t="s">
        <v>374</v>
      </c>
      <c r="C12" s="14" t="s">
        <v>375</v>
      </c>
      <c r="D12" s="14" t="s">
        <v>46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33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1</v>
      </c>
      <c r="S12" s="14">
        <f t="shared" si="2"/>
        <v>0</v>
      </c>
      <c r="T12" s="14">
        <f t="shared" si="3"/>
        <v>0</v>
      </c>
      <c r="U12" s="14">
        <f t="shared" si="4"/>
        <v>1</v>
      </c>
      <c r="V12" s="18">
        <f t="shared" si="5"/>
        <v>40</v>
      </c>
      <c r="W12" s="14">
        <f t="shared" si="6"/>
        <v>2</v>
      </c>
      <c r="X12" s="18">
        <f t="shared" si="7"/>
        <v>15.74</v>
      </c>
    </row>
    <row r="13" spans="1:24" x14ac:dyDescent="0.25">
      <c r="A13" s="14" t="s">
        <v>41</v>
      </c>
      <c r="B13" s="14" t="s">
        <v>376</v>
      </c>
      <c r="C13" s="14" t="s">
        <v>377</v>
      </c>
      <c r="D13" s="14" t="s">
        <v>56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1</v>
      </c>
      <c r="R13" s="14">
        <f t="shared" si="1"/>
        <v>2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18</v>
      </c>
      <c r="W13" s="14">
        <f t="shared" si="6"/>
        <v>3</v>
      </c>
      <c r="X13" s="18">
        <f t="shared" si="7"/>
        <v>70.930000000000007</v>
      </c>
    </row>
    <row r="14" spans="1:24" x14ac:dyDescent="0.25">
      <c r="A14" s="14" t="s">
        <v>55</v>
      </c>
      <c r="B14" s="14" t="s">
        <v>378</v>
      </c>
      <c r="C14" s="14" t="s">
        <v>379</v>
      </c>
      <c r="D14" s="14" t="s">
        <v>46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8">
        <v>16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2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33</v>
      </c>
      <c r="W14" s="14">
        <f t="shared" si="6"/>
        <v>2</v>
      </c>
      <c r="X14" s="18">
        <f t="shared" si="7"/>
        <v>18.23</v>
      </c>
    </row>
    <row r="15" spans="1:24" x14ac:dyDescent="0.25">
      <c r="A15" s="14" t="s">
        <v>57</v>
      </c>
      <c r="B15" s="14" t="s">
        <v>380</v>
      </c>
      <c r="C15" s="14" t="s">
        <v>381</v>
      </c>
      <c r="D15" s="14" t="s">
        <v>56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18</v>
      </c>
      <c r="K15" s="14">
        <v>1</v>
      </c>
      <c r="L15" s="18">
        <v>70.930000000000007</v>
      </c>
      <c r="M15" s="14" t="s">
        <v>86</v>
      </c>
      <c r="P15" s="14" t="str">
        <f>Setup!$A$15</f>
        <v>Expert 12</v>
      </c>
      <c r="Q15" s="14">
        <f t="shared" si="0"/>
        <v>0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0</v>
      </c>
      <c r="W15" s="14">
        <f t="shared" si="6"/>
        <v>1</v>
      </c>
      <c r="X15" s="18">
        <f t="shared" si="7"/>
        <v>0</v>
      </c>
    </row>
    <row r="16" spans="1:24" x14ac:dyDescent="0.25">
      <c r="A16" s="14" t="s">
        <v>41</v>
      </c>
      <c r="B16" s="14" t="s">
        <v>382</v>
      </c>
      <c r="C16" s="14" t="s">
        <v>383</v>
      </c>
      <c r="D16" s="14" t="s">
        <v>71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33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8</v>
      </c>
      <c r="R16" s="20">
        <f t="shared" si="8"/>
        <v>6</v>
      </c>
      <c r="S16" s="20">
        <f t="shared" si="8"/>
        <v>0</v>
      </c>
      <c r="T16" s="20">
        <f t="shared" si="8"/>
        <v>0</v>
      </c>
      <c r="U16" s="20">
        <f t="shared" si="8"/>
        <v>3</v>
      </c>
      <c r="V16" s="21">
        <f t="shared" si="8"/>
        <v>230</v>
      </c>
      <c r="W16" s="20">
        <f t="shared" si="8"/>
        <v>16</v>
      </c>
      <c r="X16" s="21">
        <f t="shared" si="8"/>
        <v>697.53</v>
      </c>
    </row>
    <row r="17" spans="1:13" x14ac:dyDescent="0.25">
      <c r="A17" s="14" t="s">
        <v>59</v>
      </c>
      <c r="B17" s="14" t="s">
        <v>384</v>
      </c>
      <c r="C17" s="14" t="s">
        <v>385</v>
      </c>
      <c r="D17" s="14" t="s">
        <v>44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18.23</v>
      </c>
      <c r="M17" s="14" t="s">
        <v>86</v>
      </c>
    </row>
    <row r="18" spans="1:13" x14ac:dyDescent="0.25">
      <c r="A18" s="14" t="s">
        <v>43</v>
      </c>
      <c r="B18" s="14" t="s">
        <v>386</v>
      </c>
      <c r="C18" s="14" t="s">
        <v>387</v>
      </c>
      <c r="D18" s="14" t="s">
        <v>70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8">
        <v>0</v>
      </c>
      <c r="K18" s="14">
        <v>1</v>
      </c>
      <c r="L18" s="18">
        <v>0</v>
      </c>
      <c r="M18" s="14" t="s">
        <v>86</v>
      </c>
    </row>
    <row r="19" spans="1:13" x14ac:dyDescent="0.25">
      <c r="A19" s="14" t="s">
        <v>55</v>
      </c>
      <c r="B19" s="14" t="s">
        <v>388</v>
      </c>
      <c r="C19" s="14" t="s">
        <v>389</v>
      </c>
      <c r="D19" s="14" t="s">
        <v>73</v>
      </c>
      <c r="E19" s="14">
        <v>0</v>
      </c>
      <c r="F19" s="14">
        <v>0</v>
      </c>
      <c r="G19" s="14">
        <v>0</v>
      </c>
      <c r="H19" s="14">
        <v>0</v>
      </c>
      <c r="I19" s="14">
        <v>1</v>
      </c>
      <c r="J19" s="18">
        <v>0</v>
      </c>
      <c r="K19" s="14">
        <v>0</v>
      </c>
      <c r="L19" s="18">
        <v>0</v>
      </c>
      <c r="M19" s="14" t="s">
        <v>86</v>
      </c>
    </row>
    <row r="20" spans="1:13" x14ac:dyDescent="0.25">
      <c r="A20" s="14" t="s">
        <v>41</v>
      </c>
      <c r="B20" s="14" t="s">
        <v>390</v>
      </c>
      <c r="C20" s="14" t="s">
        <v>391</v>
      </c>
      <c r="D20" s="14" t="s">
        <v>62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118.57</v>
      </c>
      <c r="M20" s="14" t="s">
        <v>86</v>
      </c>
    </row>
    <row r="21" spans="1:13" x14ac:dyDescent="0.25">
      <c r="A21" s="14" t="s">
        <v>61</v>
      </c>
      <c r="B21" s="14" t="s">
        <v>392</v>
      </c>
      <c r="C21" s="14" t="s">
        <v>393</v>
      </c>
      <c r="D21" s="14" t="s">
        <v>58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41</v>
      </c>
      <c r="B22" s="14" t="s">
        <v>394</v>
      </c>
      <c r="C22" s="14" t="s">
        <v>395</v>
      </c>
      <c r="D22" s="14" t="s">
        <v>75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15</v>
      </c>
      <c r="K22" s="14">
        <v>0</v>
      </c>
      <c r="L22" s="18">
        <v>0</v>
      </c>
      <c r="M22" s="14" t="s">
        <v>86</v>
      </c>
    </row>
    <row r="23" spans="1:13" x14ac:dyDescent="0.25">
      <c r="A23" s="14" t="s">
        <v>53</v>
      </c>
      <c r="B23" s="14" t="s">
        <v>396</v>
      </c>
      <c r="C23" s="14" t="s">
        <v>397</v>
      </c>
      <c r="D23" s="14" t="s">
        <v>54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13.2</v>
      </c>
      <c r="M23" s="14" t="s">
        <v>86</v>
      </c>
    </row>
    <row r="24" spans="1:13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8"/>
      <c r="K24" s="14"/>
      <c r="L24" s="18"/>
      <c r="M24" s="14"/>
    </row>
    <row r="25" spans="1:13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8"/>
      <c r="K25" s="14"/>
      <c r="L25" s="18"/>
      <c r="M25" s="14"/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8"/>
      <c r="K26" s="14"/>
      <c r="L26" s="18"/>
      <c r="M26" s="14"/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A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A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A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398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41</v>
      </c>
      <c r="B4" s="14" t="s">
        <v>399</v>
      </c>
      <c r="C4" s="14" t="s">
        <v>400</v>
      </c>
      <c r="D4" s="14" t="s">
        <v>77</v>
      </c>
      <c r="E4" s="14">
        <v>0</v>
      </c>
      <c r="F4" s="14">
        <v>0</v>
      </c>
      <c r="G4" s="14">
        <v>0</v>
      </c>
      <c r="H4" s="14">
        <v>1</v>
      </c>
      <c r="I4" s="14">
        <v>0</v>
      </c>
      <c r="J4" s="18">
        <v>0</v>
      </c>
      <c r="K4" s="14">
        <v>0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18</v>
      </c>
      <c r="W4" s="14">
        <f t="shared" ref="W4:W15" si="6">SUMIF($A$4:$A$43,$P4,K$4:K$43)</f>
        <v>1</v>
      </c>
      <c r="X4" s="18">
        <f t="shared" ref="X4:X15" si="7">SUMIF($A$4:$A$43,$P4,L$4:L$43)</f>
        <v>162.57</v>
      </c>
    </row>
    <row r="5" spans="1:24" x14ac:dyDescent="0.25">
      <c r="A5" s="14" t="s">
        <v>41</v>
      </c>
      <c r="B5" s="14" t="s">
        <v>401</v>
      </c>
      <c r="C5" s="14" t="s">
        <v>402</v>
      </c>
      <c r="D5" s="14" t="s">
        <v>46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24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3</v>
      </c>
      <c r="R5" s="14">
        <f t="shared" si="1"/>
        <v>0</v>
      </c>
      <c r="S5" s="14">
        <f t="shared" si="2"/>
        <v>0</v>
      </c>
      <c r="T5" s="14">
        <f t="shared" si="3"/>
        <v>1</v>
      </c>
      <c r="U5" s="14">
        <f t="shared" si="4"/>
        <v>0</v>
      </c>
      <c r="V5" s="18">
        <f t="shared" si="5"/>
        <v>75</v>
      </c>
      <c r="W5" s="14">
        <f t="shared" si="6"/>
        <v>3</v>
      </c>
      <c r="X5" s="18">
        <f t="shared" si="7"/>
        <v>117.26</v>
      </c>
    </row>
    <row r="6" spans="1:24" x14ac:dyDescent="0.25">
      <c r="A6" s="14" t="s">
        <v>47</v>
      </c>
      <c r="B6" s="14" t="s">
        <v>403</v>
      </c>
      <c r="C6" s="14" t="s">
        <v>404</v>
      </c>
      <c r="D6" s="14" t="s">
        <v>62</v>
      </c>
      <c r="E6" s="14">
        <v>0</v>
      </c>
      <c r="F6" s="14">
        <v>0</v>
      </c>
      <c r="G6" s="14">
        <v>0</v>
      </c>
      <c r="H6" s="14">
        <v>1</v>
      </c>
      <c r="I6" s="14">
        <v>0</v>
      </c>
      <c r="J6" s="18">
        <v>0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1</v>
      </c>
      <c r="X6" s="18">
        <f t="shared" si="7"/>
        <v>35.82</v>
      </c>
    </row>
    <row r="7" spans="1:24" x14ac:dyDescent="0.25">
      <c r="A7" s="14" t="s">
        <v>45</v>
      </c>
      <c r="B7" s="14" t="s">
        <v>405</v>
      </c>
      <c r="C7" s="14" t="s">
        <v>406</v>
      </c>
      <c r="D7" s="14" t="s">
        <v>62</v>
      </c>
      <c r="E7" s="14">
        <v>1</v>
      </c>
      <c r="F7" s="14">
        <v>0</v>
      </c>
      <c r="G7" s="14">
        <v>1</v>
      </c>
      <c r="H7" s="14">
        <v>0</v>
      </c>
      <c r="I7" s="14">
        <v>0</v>
      </c>
      <c r="J7" s="18">
        <v>0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1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1</v>
      </c>
      <c r="X7" s="18">
        <f t="shared" si="7"/>
        <v>0</v>
      </c>
    </row>
    <row r="8" spans="1:24" x14ac:dyDescent="0.25">
      <c r="A8" s="14" t="s">
        <v>47</v>
      </c>
      <c r="B8" s="14" t="s">
        <v>407</v>
      </c>
      <c r="C8" s="14" t="s">
        <v>408</v>
      </c>
      <c r="D8" s="14" t="s">
        <v>74</v>
      </c>
      <c r="E8" s="14">
        <v>0</v>
      </c>
      <c r="F8" s="14">
        <v>0</v>
      </c>
      <c r="G8" s="14">
        <v>0</v>
      </c>
      <c r="H8" s="14">
        <v>0</v>
      </c>
      <c r="I8" s="14">
        <v>1</v>
      </c>
      <c r="J8" s="18">
        <v>0</v>
      </c>
      <c r="K8" s="14">
        <v>0</v>
      </c>
      <c r="L8" s="18">
        <v>33.130000000000003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1</v>
      </c>
      <c r="U8" s="14">
        <f t="shared" si="4"/>
        <v>1</v>
      </c>
      <c r="V8" s="18">
        <f t="shared" si="5"/>
        <v>0</v>
      </c>
      <c r="W8" s="14">
        <f t="shared" si="6"/>
        <v>1</v>
      </c>
      <c r="X8" s="18">
        <f t="shared" si="7"/>
        <v>33.130000000000003</v>
      </c>
    </row>
    <row r="9" spans="1:24" x14ac:dyDescent="0.25">
      <c r="A9" s="14" t="s">
        <v>41</v>
      </c>
      <c r="B9" s="14" t="s">
        <v>409</v>
      </c>
      <c r="C9" s="14" t="s">
        <v>410</v>
      </c>
      <c r="D9" s="14" t="s">
        <v>76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8">
        <v>18</v>
      </c>
      <c r="K9" s="14">
        <v>0</v>
      </c>
      <c r="L9" s="18">
        <v>0.88</v>
      </c>
      <c r="M9" s="14" t="s">
        <v>86</v>
      </c>
      <c r="P9" s="14" t="str">
        <f>Setup!$A$9</f>
        <v>Expert 06</v>
      </c>
      <c r="Q9" s="14">
        <f t="shared" si="0"/>
        <v>1</v>
      </c>
      <c r="R9" s="14">
        <f t="shared" si="1"/>
        <v>1</v>
      </c>
      <c r="S9" s="14">
        <f t="shared" si="2"/>
        <v>0</v>
      </c>
      <c r="T9" s="14">
        <f t="shared" si="3"/>
        <v>1</v>
      </c>
      <c r="U9" s="14">
        <f t="shared" si="4"/>
        <v>1</v>
      </c>
      <c r="V9" s="18">
        <f t="shared" si="5"/>
        <v>0</v>
      </c>
      <c r="W9" s="14">
        <f t="shared" si="6"/>
        <v>2</v>
      </c>
      <c r="X9" s="18">
        <f t="shared" si="7"/>
        <v>46.26</v>
      </c>
    </row>
    <row r="10" spans="1:24" x14ac:dyDescent="0.25">
      <c r="A10" s="14" t="s">
        <v>59</v>
      </c>
      <c r="B10" s="14" t="s">
        <v>411</v>
      </c>
      <c r="C10" s="14" t="s">
        <v>412</v>
      </c>
      <c r="D10" s="14" t="s">
        <v>56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0</v>
      </c>
      <c r="M10" s="14" t="s">
        <v>111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1</v>
      </c>
      <c r="U10" s="14">
        <f t="shared" si="4"/>
        <v>1</v>
      </c>
      <c r="V10" s="18">
        <f t="shared" si="5"/>
        <v>0</v>
      </c>
      <c r="W10" s="14">
        <f t="shared" si="6"/>
        <v>0</v>
      </c>
      <c r="X10" s="18">
        <f t="shared" si="7"/>
        <v>144.30000000000001</v>
      </c>
    </row>
    <row r="11" spans="1:24" x14ac:dyDescent="0.25">
      <c r="A11" s="14" t="s">
        <v>49</v>
      </c>
      <c r="B11" s="14" t="s">
        <v>413</v>
      </c>
      <c r="C11" s="14" t="s">
        <v>414</v>
      </c>
      <c r="D11" s="14" t="s">
        <v>66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0</v>
      </c>
      <c r="W11" s="14">
        <f t="shared" si="6"/>
        <v>0</v>
      </c>
      <c r="X11" s="18">
        <f t="shared" si="7"/>
        <v>0</v>
      </c>
    </row>
    <row r="12" spans="1:24" x14ac:dyDescent="0.25">
      <c r="A12" s="14" t="s">
        <v>39</v>
      </c>
      <c r="B12" s="14" t="s">
        <v>415</v>
      </c>
      <c r="C12" s="14" t="s">
        <v>416</v>
      </c>
      <c r="D12" s="14" t="s">
        <v>72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1</v>
      </c>
      <c r="U12" s="14">
        <f t="shared" si="4"/>
        <v>0</v>
      </c>
      <c r="V12" s="18">
        <f t="shared" si="5"/>
        <v>33</v>
      </c>
      <c r="W12" s="14">
        <f t="shared" si="6"/>
        <v>1</v>
      </c>
      <c r="X12" s="18">
        <f t="shared" si="7"/>
        <v>112.33</v>
      </c>
    </row>
    <row r="13" spans="1:24" x14ac:dyDescent="0.25">
      <c r="A13" s="14" t="s">
        <v>41</v>
      </c>
      <c r="B13" s="14" t="s">
        <v>417</v>
      </c>
      <c r="C13" s="14" t="s">
        <v>418</v>
      </c>
      <c r="D13" s="14" t="s">
        <v>56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33</v>
      </c>
      <c r="K13" s="14">
        <v>1</v>
      </c>
      <c r="L13" s="18">
        <v>20.010000000000002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0</v>
      </c>
      <c r="S13" s="14">
        <f t="shared" si="2"/>
        <v>1</v>
      </c>
      <c r="T13" s="14">
        <f t="shared" si="3"/>
        <v>1</v>
      </c>
      <c r="U13" s="14">
        <f t="shared" si="4"/>
        <v>1</v>
      </c>
      <c r="V13" s="18">
        <f t="shared" si="5"/>
        <v>0</v>
      </c>
      <c r="W13" s="14">
        <f t="shared" si="6"/>
        <v>0</v>
      </c>
      <c r="X13" s="18">
        <f t="shared" si="7"/>
        <v>72.569999999999993</v>
      </c>
    </row>
    <row r="14" spans="1:24" x14ac:dyDescent="0.25">
      <c r="A14" s="14" t="s">
        <v>43</v>
      </c>
      <c r="B14" s="14" t="s">
        <v>419</v>
      </c>
      <c r="C14" s="14" t="s">
        <v>420</v>
      </c>
      <c r="D14" s="14" t="s">
        <v>62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35.82</v>
      </c>
      <c r="M14" s="14" t="s">
        <v>86</v>
      </c>
      <c r="P14" s="14" t="str">
        <f>Setup!$A$14</f>
        <v>Expert 11</v>
      </c>
      <c r="Q14" s="14">
        <f t="shared" si="0"/>
        <v>1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0</v>
      </c>
      <c r="W14" s="14">
        <f t="shared" si="6"/>
        <v>2</v>
      </c>
      <c r="X14" s="18">
        <f t="shared" si="7"/>
        <v>0</v>
      </c>
    </row>
    <row r="15" spans="1:24" x14ac:dyDescent="0.25">
      <c r="A15" s="14" t="s">
        <v>49</v>
      </c>
      <c r="B15" s="14" t="s">
        <v>421</v>
      </c>
      <c r="C15" s="14" t="s">
        <v>422</v>
      </c>
      <c r="D15" s="14" t="s">
        <v>42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46.26</v>
      </c>
      <c r="M15" s="14" t="s">
        <v>86</v>
      </c>
      <c r="P15" s="14" t="str">
        <f>Setup!$A$15</f>
        <v>Expert 12</v>
      </c>
      <c r="Q15" s="14">
        <f t="shared" si="0"/>
        <v>0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1</v>
      </c>
      <c r="V15" s="18">
        <f t="shared" si="5"/>
        <v>39</v>
      </c>
      <c r="W15" s="14">
        <f t="shared" si="6"/>
        <v>1</v>
      </c>
      <c r="X15" s="18">
        <f t="shared" si="7"/>
        <v>60.19</v>
      </c>
    </row>
    <row r="16" spans="1:24" x14ac:dyDescent="0.25">
      <c r="A16" s="14" t="s">
        <v>41</v>
      </c>
      <c r="B16" s="14" t="s">
        <v>423</v>
      </c>
      <c r="C16" s="14" t="s">
        <v>424</v>
      </c>
      <c r="D16" s="14" t="s">
        <v>71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96.37</v>
      </c>
      <c r="M16" s="14" t="s">
        <v>86</v>
      </c>
      <c r="P16" s="19" t="s">
        <v>112</v>
      </c>
      <c r="Q16" s="20">
        <f t="shared" ref="Q16:X16" si="8">SUM(Q4:Q15)</f>
        <v>8</v>
      </c>
      <c r="R16" s="20">
        <f t="shared" si="8"/>
        <v>1</v>
      </c>
      <c r="S16" s="20">
        <f t="shared" si="8"/>
        <v>2</v>
      </c>
      <c r="T16" s="20">
        <f t="shared" si="8"/>
        <v>6</v>
      </c>
      <c r="U16" s="20">
        <f t="shared" si="8"/>
        <v>5</v>
      </c>
      <c r="V16" s="21">
        <f t="shared" si="8"/>
        <v>165</v>
      </c>
      <c r="W16" s="20">
        <f t="shared" si="8"/>
        <v>13</v>
      </c>
      <c r="X16" s="21">
        <f t="shared" si="8"/>
        <v>784.43000000000006</v>
      </c>
    </row>
    <row r="17" spans="1:13" x14ac:dyDescent="0.25">
      <c r="A17" s="14" t="s">
        <v>49</v>
      </c>
      <c r="B17" s="14" t="s">
        <v>425</v>
      </c>
      <c r="C17" s="14" t="s">
        <v>426</v>
      </c>
      <c r="D17" s="14" t="s">
        <v>74</v>
      </c>
      <c r="E17" s="14">
        <v>0</v>
      </c>
      <c r="F17" s="14">
        <v>1</v>
      </c>
      <c r="G17" s="14">
        <v>0</v>
      </c>
      <c r="H17" s="14">
        <v>1</v>
      </c>
      <c r="I17" s="14">
        <v>1</v>
      </c>
      <c r="J17" s="18">
        <v>0</v>
      </c>
      <c r="K17" s="14">
        <v>0</v>
      </c>
      <c r="L17" s="18">
        <v>0</v>
      </c>
      <c r="M17" s="14" t="s">
        <v>86</v>
      </c>
    </row>
    <row r="18" spans="1:13" x14ac:dyDescent="0.25">
      <c r="A18" s="14" t="s">
        <v>61</v>
      </c>
      <c r="B18" s="14" t="s">
        <v>427</v>
      </c>
      <c r="C18" s="14" t="s">
        <v>428</v>
      </c>
      <c r="D18" s="14" t="s">
        <v>74</v>
      </c>
      <c r="E18" s="14">
        <v>0</v>
      </c>
      <c r="F18" s="14">
        <v>0</v>
      </c>
      <c r="G18" s="14">
        <v>0</v>
      </c>
      <c r="H18" s="14">
        <v>0</v>
      </c>
      <c r="I18" s="14">
        <v>1</v>
      </c>
      <c r="J18" s="18">
        <v>15</v>
      </c>
      <c r="K18" s="14">
        <v>0</v>
      </c>
      <c r="L18" s="18">
        <v>60.19</v>
      </c>
      <c r="M18" s="14" t="s">
        <v>86</v>
      </c>
    </row>
    <row r="19" spans="1:13" x14ac:dyDescent="0.25">
      <c r="A19" s="14" t="s">
        <v>51</v>
      </c>
      <c r="B19" s="14" t="s">
        <v>429</v>
      </c>
      <c r="C19" s="14" t="s">
        <v>430</v>
      </c>
      <c r="D19" s="14" t="s">
        <v>74</v>
      </c>
      <c r="E19" s="14">
        <v>0</v>
      </c>
      <c r="F19" s="14">
        <v>0</v>
      </c>
      <c r="G19" s="14">
        <v>0</v>
      </c>
      <c r="H19" s="14">
        <v>1</v>
      </c>
      <c r="I19" s="14">
        <v>1</v>
      </c>
      <c r="J19" s="18">
        <v>0</v>
      </c>
      <c r="K19" s="14">
        <v>0</v>
      </c>
      <c r="L19" s="18">
        <v>144.30000000000001</v>
      </c>
      <c r="M19" s="14" t="s">
        <v>86</v>
      </c>
    </row>
    <row r="20" spans="1:13" x14ac:dyDescent="0.25">
      <c r="A20" s="14" t="s">
        <v>55</v>
      </c>
      <c r="B20" s="14" t="s">
        <v>431</v>
      </c>
      <c r="C20" s="14" t="s">
        <v>432</v>
      </c>
      <c r="D20" s="14" t="s">
        <v>46</v>
      </c>
      <c r="E20" s="14">
        <v>1</v>
      </c>
      <c r="F20" s="14">
        <v>0</v>
      </c>
      <c r="G20" s="14">
        <v>0</v>
      </c>
      <c r="H20" s="14">
        <v>1</v>
      </c>
      <c r="I20" s="14">
        <v>0</v>
      </c>
      <c r="J20" s="18">
        <v>33</v>
      </c>
      <c r="K20" s="14">
        <v>1</v>
      </c>
      <c r="L20" s="18">
        <v>112.33</v>
      </c>
      <c r="M20" s="14" t="s">
        <v>86</v>
      </c>
    </row>
    <row r="21" spans="1:13" x14ac:dyDescent="0.25">
      <c r="A21" s="14" t="s">
        <v>57</v>
      </c>
      <c r="B21" s="14" t="s">
        <v>433</v>
      </c>
      <c r="C21" s="14" t="s">
        <v>434</v>
      </c>
      <c r="D21" s="14" t="s">
        <v>73</v>
      </c>
      <c r="E21" s="14">
        <v>0</v>
      </c>
      <c r="F21" s="14">
        <v>0</v>
      </c>
      <c r="G21" s="14">
        <v>1</v>
      </c>
      <c r="H21" s="14">
        <v>1</v>
      </c>
      <c r="I21" s="14">
        <v>1</v>
      </c>
      <c r="J21" s="18">
        <v>0</v>
      </c>
      <c r="K21" s="14">
        <v>0</v>
      </c>
      <c r="L21" s="18">
        <v>72.569999999999993</v>
      </c>
      <c r="M21" s="14" t="s">
        <v>86</v>
      </c>
    </row>
    <row r="22" spans="1:13" x14ac:dyDescent="0.25">
      <c r="A22" s="14" t="s">
        <v>59</v>
      </c>
      <c r="B22" s="14" t="s">
        <v>435</v>
      </c>
      <c r="C22" s="14" t="s">
        <v>436</v>
      </c>
      <c r="D22" s="14" t="s">
        <v>72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0</v>
      </c>
      <c r="M22" s="14" t="s">
        <v>111</v>
      </c>
    </row>
    <row r="23" spans="1:13" x14ac:dyDescent="0.25">
      <c r="A23" s="14" t="s">
        <v>39</v>
      </c>
      <c r="B23" s="14" t="s">
        <v>437</v>
      </c>
      <c r="C23" s="14" t="s">
        <v>438</v>
      </c>
      <c r="D23" s="14" t="s">
        <v>77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8">
        <v>18</v>
      </c>
      <c r="K23" s="14">
        <v>0</v>
      </c>
      <c r="L23" s="18">
        <v>162.57</v>
      </c>
      <c r="M23" s="14" t="s">
        <v>86</v>
      </c>
    </row>
    <row r="24" spans="1:13" x14ac:dyDescent="0.25">
      <c r="A24" s="14" t="s">
        <v>61</v>
      </c>
      <c r="B24" s="14" t="s">
        <v>439</v>
      </c>
      <c r="C24" s="14" t="s">
        <v>440</v>
      </c>
      <c r="D24" s="14" t="s">
        <v>42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8">
        <v>24</v>
      </c>
      <c r="K24" s="14">
        <v>1</v>
      </c>
      <c r="L24" s="18">
        <v>0</v>
      </c>
      <c r="M24" s="14" t="s">
        <v>86</v>
      </c>
    </row>
    <row r="25" spans="1:13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8"/>
      <c r="K25" s="14"/>
      <c r="L25" s="18"/>
      <c r="M25" s="14"/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8"/>
      <c r="K26" s="14"/>
      <c r="L26" s="18"/>
      <c r="M26" s="14"/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B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B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B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441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57</v>
      </c>
      <c r="B4" s="14" t="s">
        <v>442</v>
      </c>
      <c r="C4" s="14" t="s">
        <v>443</v>
      </c>
      <c r="D4" s="14" t="s">
        <v>52</v>
      </c>
      <c r="E4" s="14">
        <v>1</v>
      </c>
      <c r="F4" s="14">
        <v>0</v>
      </c>
      <c r="G4" s="14">
        <v>0</v>
      </c>
      <c r="H4" s="14">
        <v>1</v>
      </c>
      <c r="I4" s="14">
        <v>0</v>
      </c>
      <c r="J4" s="18">
        <v>0</v>
      </c>
      <c r="K4" s="14">
        <v>1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3</v>
      </c>
      <c r="R4" s="14">
        <f t="shared" ref="R4:R15" si="1">SUMIF($A$4:$A$43,$P4,F$4:F$43)</f>
        <v>1</v>
      </c>
      <c r="S4" s="14">
        <f t="shared" ref="S4:S15" si="2">SUMIF($A$4:$A$43,$P4,G$4:G$43)</f>
        <v>0</v>
      </c>
      <c r="T4" s="14">
        <f t="shared" ref="T4:T15" si="3">SUMIF($A$4:$A$43,$P4,H$4:H$43)</f>
        <v>1</v>
      </c>
      <c r="U4" s="14">
        <f t="shared" ref="U4:U15" si="4">SUMIF($A$4:$A$43,$P4,I$4:I$43)</f>
        <v>0</v>
      </c>
      <c r="V4" s="18">
        <f t="shared" ref="V4:V15" si="5">SUMIF($A$4:$A$43,$P4,J$4:J$43)</f>
        <v>36</v>
      </c>
      <c r="W4" s="14">
        <f t="shared" ref="W4:W15" si="6">SUMIF($A$4:$A$43,$P4,K$4:K$43)</f>
        <v>3</v>
      </c>
      <c r="X4" s="18">
        <f t="shared" ref="X4:X15" si="7">SUMIF($A$4:$A$43,$P4,L$4:L$43)</f>
        <v>317.83</v>
      </c>
    </row>
    <row r="5" spans="1:24" x14ac:dyDescent="0.25">
      <c r="A5" s="14" t="s">
        <v>59</v>
      </c>
      <c r="B5" s="14" t="s">
        <v>444</v>
      </c>
      <c r="C5" s="14" t="s">
        <v>445</v>
      </c>
      <c r="D5" s="14" t="s">
        <v>68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8">
        <v>33</v>
      </c>
      <c r="K5" s="14">
        <v>1</v>
      </c>
      <c r="L5" s="18">
        <v>170.07</v>
      </c>
      <c r="M5" s="14" t="s">
        <v>86</v>
      </c>
      <c r="P5" s="14" t="str">
        <f>Setup!$A$5</f>
        <v>Expert 02</v>
      </c>
      <c r="Q5" s="14">
        <f t="shared" si="0"/>
        <v>0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0</v>
      </c>
      <c r="W5" s="14">
        <f t="shared" si="6"/>
        <v>0</v>
      </c>
      <c r="X5" s="18">
        <f t="shared" si="7"/>
        <v>0</v>
      </c>
    </row>
    <row r="6" spans="1:24" x14ac:dyDescent="0.25">
      <c r="A6" s="14" t="s">
        <v>43</v>
      </c>
      <c r="B6" s="14" t="s">
        <v>446</v>
      </c>
      <c r="C6" s="14" t="s">
        <v>447</v>
      </c>
      <c r="D6" s="14" t="s">
        <v>73</v>
      </c>
      <c r="E6" s="14">
        <v>0</v>
      </c>
      <c r="F6" s="14">
        <v>1</v>
      </c>
      <c r="G6" s="14">
        <v>0</v>
      </c>
      <c r="H6" s="14">
        <v>0</v>
      </c>
      <c r="I6" s="14">
        <v>1</v>
      </c>
      <c r="J6" s="18">
        <v>0</v>
      </c>
      <c r="K6" s="14">
        <v>0</v>
      </c>
      <c r="L6" s="18">
        <v>126.32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1</v>
      </c>
      <c r="S6" s="14">
        <f t="shared" si="2"/>
        <v>0</v>
      </c>
      <c r="T6" s="14">
        <f t="shared" si="3"/>
        <v>0</v>
      </c>
      <c r="U6" s="14">
        <f t="shared" si="4"/>
        <v>1</v>
      </c>
      <c r="V6" s="18">
        <f t="shared" si="5"/>
        <v>24</v>
      </c>
      <c r="W6" s="14">
        <f t="shared" si="6"/>
        <v>1</v>
      </c>
      <c r="X6" s="18">
        <f t="shared" si="7"/>
        <v>284.64</v>
      </c>
    </row>
    <row r="7" spans="1:24" x14ac:dyDescent="0.25">
      <c r="A7" s="14" t="s">
        <v>53</v>
      </c>
      <c r="B7" s="14" t="s">
        <v>448</v>
      </c>
      <c r="C7" s="14" t="s">
        <v>449</v>
      </c>
      <c r="D7" s="14" t="s">
        <v>54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2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2</v>
      </c>
      <c r="X7" s="18">
        <f t="shared" si="7"/>
        <v>119.72</v>
      </c>
    </row>
    <row r="8" spans="1:24" x14ac:dyDescent="0.25">
      <c r="A8" s="14" t="s">
        <v>47</v>
      </c>
      <c r="B8" s="14" t="s">
        <v>450</v>
      </c>
      <c r="C8" s="14" t="s">
        <v>451</v>
      </c>
      <c r="D8" s="14" t="s">
        <v>63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2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1</v>
      </c>
      <c r="V8" s="18">
        <f t="shared" si="5"/>
        <v>15</v>
      </c>
      <c r="W8" s="14">
        <f t="shared" si="6"/>
        <v>2</v>
      </c>
      <c r="X8" s="18">
        <f t="shared" si="7"/>
        <v>144.88999999999999</v>
      </c>
    </row>
    <row r="9" spans="1:24" x14ac:dyDescent="0.25">
      <c r="A9" s="14" t="s">
        <v>57</v>
      </c>
      <c r="B9" s="14" t="s">
        <v>452</v>
      </c>
      <c r="C9" s="14" t="s">
        <v>453</v>
      </c>
      <c r="D9" s="14" t="s">
        <v>76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8">
        <v>16</v>
      </c>
      <c r="K9" s="14">
        <v>0</v>
      </c>
      <c r="L9" s="18">
        <v>14.23</v>
      </c>
      <c r="M9" s="14" t="s">
        <v>86</v>
      </c>
      <c r="P9" s="14" t="str">
        <f>Setup!$A$9</f>
        <v>Expert 06</v>
      </c>
      <c r="Q9" s="14">
        <f t="shared" si="0"/>
        <v>3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15</v>
      </c>
      <c r="W9" s="14">
        <f t="shared" si="6"/>
        <v>2</v>
      </c>
      <c r="X9" s="18">
        <f t="shared" si="7"/>
        <v>51.61</v>
      </c>
    </row>
    <row r="10" spans="1:24" x14ac:dyDescent="0.25">
      <c r="A10" s="14" t="s">
        <v>45</v>
      </c>
      <c r="B10" s="14" t="s">
        <v>454</v>
      </c>
      <c r="C10" s="14" t="s">
        <v>455</v>
      </c>
      <c r="D10" s="14" t="s">
        <v>54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107.95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1</v>
      </c>
      <c r="V10" s="18">
        <f t="shared" si="5"/>
        <v>0</v>
      </c>
      <c r="W10" s="14">
        <f t="shared" si="6"/>
        <v>0</v>
      </c>
      <c r="X10" s="18">
        <f t="shared" si="7"/>
        <v>0</v>
      </c>
    </row>
    <row r="11" spans="1:24" x14ac:dyDescent="0.25">
      <c r="A11" s="14" t="s">
        <v>55</v>
      </c>
      <c r="B11" s="14" t="s">
        <v>456</v>
      </c>
      <c r="C11" s="14" t="s">
        <v>457</v>
      </c>
      <c r="D11" s="14" t="s">
        <v>63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2</v>
      </c>
      <c r="R11" s="14">
        <f t="shared" si="1"/>
        <v>2</v>
      </c>
      <c r="S11" s="14">
        <f t="shared" si="2"/>
        <v>1</v>
      </c>
      <c r="T11" s="14">
        <f t="shared" si="3"/>
        <v>0</v>
      </c>
      <c r="U11" s="14">
        <f t="shared" si="4"/>
        <v>0</v>
      </c>
      <c r="V11" s="18">
        <f t="shared" si="5"/>
        <v>18</v>
      </c>
      <c r="W11" s="14">
        <f t="shared" si="6"/>
        <v>5</v>
      </c>
      <c r="X11" s="18">
        <f t="shared" si="7"/>
        <v>67.69</v>
      </c>
    </row>
    <row r="12" spans="1:24" x14ac:dyDescent="0.25">
      <c r="A12" s="14" t="s">
        <v>43</v>
      </c>
      <c r="B12" s="14" t="s">
        <v>458</v>
      </c>
      <c r="C12" s="14" t="s">
        <v>459</v>
      </c>
      <c r="D12" s="14" t="s">
        <v>67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24</v>
      </c>
      <c r="K12" s="14">
        <v>1</v>
      </c>
      <c r="L12" s="18">
        <v>158.32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2</v>
      </c>
      <c r="X12" s="18">
        <f t="shared" si="7"/>
        <v>76.5</v>
      </c>
    </row>
    <row r="13" spans="1:24" x14ac:dyDescent="0.25">
      <c r="A13" s="14" t="s">
        <v>53</v>
      </c>
      <c r="B13" s="14" t="s">
        <v>460</v>
      </c>
      <c r="C13" s="14" t="s">
        <v>461</v>
      </c>
      <c r="D13" s="14" t="s">
        <v>60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1</v>
      </c>
      <c r="R13" s="14">
        <f t="shared" si="1"/>
        <v>1</v>
      </c>
      <c r="S13" s="14">
        <f t="shared" si="2"/>
        <v>0</v>
      </c>
      <c r="T13" s="14">
        <f t="shared" si="3"/>
        <v>1</v>
      </c>
      <c r="U13" s="14">
        <f t="shared" si="4"/>
        <v>0</v>
      </c>
      <c r="V13" s="18">
        <f t="shared" si="5"/>
        <v>16</v>
      </c>
      <c r="W13" s="14">
        <f t="shared" si="6"/>
        <v>2</v>
      </c>
      <c r="X13" s="18">
        <f t="shared" si="7"/>
        <v>14.23</v>
      </c>
    </row>
    <row r="14" spans="1:24" x14ac:dyDescent="0.25">
      <c r="A14" s="14" t="s">
        <v>57</v>
      </c>
      <c r="B14" s="14" t="s">
        <v>462</v>
      </c>
      <c r="C14" s="14" t="s">
        <v>463</v>
      </c>
      <c r="D14" s="14" t="s">
        <v>63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1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33</v>
      </c>
      <c r="W14" s="14">
        <f t="shared" si="6"/>
        <v>2</v>
      </c>
      <c r="X14" s="18">
        <f t="shared" si="7"/>
        <v>284.38</v>
      </c>
    </row>
    <row r="15" spans="1:24" x14ac:dyDescent="0.25">
      <c r="A15" s="14" t="s">
        <v>61</v>
      </c>
      <c r="B15" s="14" t="s">
        <v>464</v>
      </c>
      <c r="C15" s="14" t="s">
        <v>465</v>
      </c>
      <c r="D15" s="14" t="s">
        <v>44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24</v>
      </c>
      <c r="K15" s="14">
        <v>1</v>
      </c>
      <c r="L15" s="18">
        <v>122.51</v>
      </c>
      <c r="M15" s="14" t="s">
        <v>86</v>
      </c>
      <c r="P15" s="14" t="str">
        <f>Setup!$A$15</f>
        <v>Expert 12</v>
      </c>
      <c r="Q15" s="14">
        <f t="shared" si="0"/>
        <v>0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2</v>
      </c>
      <c r="V15" s="18">
        <f t="shared" si="5"/>
        <v>64</v>
      </c>
      <c r="W15" s="14">
        <f t="shared" si="6"/>
        <v>1</v>
      </c>
      <c r="X15" s="18">
        <f t="shared" si="7"/>
        <v>298.84000000000003</v>
      </c>
    </row>
    <row r="16" spans="1:24" x14ac:dyDescent="0.25">
      <c r="A16" s="14" t="s">
        <v>39</v>
      </c>
      <c r="B16" s="14" t="s">
        <v>466</v>
      </c>
      <c r="C16" s="14" t="s">
        <v>467</v>
      </c>
      <c r="D16" s="14" t="s">
        <v>75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0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16</v>
      </c>
      <c r="R16" s="20">
        <f t="shared" si="8"/>
        <v>5</v>
      </c>
      <c r="S16" s="20">
        <f t="shared" si="8"/>
        <v>1</v>
      </c>
      <c r="T16" s="20">
        <f t="shared" si="8"/>
        <v>2</v>
      </c>
      <c r="U16" s="20">
        <f t="shared" si="8"/>
        <v>5</v>
      </c>
      <c r="V16" s="21">
        <f t="shared" si="8"/>
        <v>221</v>
      </c>
      <c r="W16" s="20">
        <f t="shared" si="8"/>
        <v>22</v>
      </c>
      <c r="X16" s="21">
        <f t="shared" si="8"/>
        <v>1660.3300000000004</v>
      </c>
    </row>
    <row r="17" spans="1:13" x14ac:dyDescent="0.25">
      <c r="A17" s="14" t="s">
        <v>53</v>
      </c>
      <c r="B17" s="14" t="s">
        <v>468</v>
      </c>
      <c r="C17" s="14" t="s">
        <v>469</v>
      </c>
      <c r="D17" s="14" t="s">
        <v>66</v>
      </c>
      <c r="E17" s="14">
        <v>0</v>
      </c>
      <c r="F17" s="14">
        <v>1</v>
      </c>
      <c r="G17" s="14">
        <v>1</v>
      </c>
      <c r="H17" s="14">
        <v>0</v>
      </c>
      <c r="I17" s="14">
        <v>0</v>
      </c>
      <c r="J17" s="18">
        <v>0</v>
      </c>
      <c r="K17" s="14">
        <v>1</v>
      </c>
      <c r="L17" s="18">
        <v>0</v>
      </c>
      <c r="M17" s="14" t="s">
        <v>86</v>
      </c>
    </row>
    <row r="18" spans="1:13" x14ac:dyDescent="0.25">
      <c r="A18" s="14" t="s">
        <v>61</v>
      </c>
      <c r="B18" s="14" t="s">
        <v>470</v>
      </c>
      <c r="C18" s="14" t="s">
        <v>471</v>
      </c>
      <c r="D18" s="14" t="s">
        <v>73</v>
      </c>
      <c r="E18" s="14">
        <v>0</v>
      </c>
      <c r="F18" s="14">
        <v>0</v>
      </c>
      <c r="G18" s="14">
        <v>0</v>
      </c>
      <c r="H18" s="14">
        <v>0</v>
      </c>
      <c r="I18" s="14">
        <v>1</v>
      </c>
      <c r="J18" s="18">
        <v>24</v>
      </c>
      <c r="K18" s="14">
        <v>0</v>
      </c>
      <c r="L18" s="18">
        <v>176.33</v>
      </c>
      <c r="M18" s="14" t="s">
        <v>86</v>
      </c>
    </row>
    <row r="19" spans="1:13" x14ac:dyDescent="0.25">
      <c r="A19" s="14" t="s">
        <v>39</v>
      </c>
      <c r="B19" s="14" t="s">
        <v>472</v>
      </c>
      <c r="C19" s="14" t="s">
        <v>473</v>
      </c>
      <c r="D19" s="14" t="s">
        <v>70</v>
      </c>
      <c r="E19" s="14">
        <v>1</v>
      </c>
      <c r="F19" s="14">
        <v>0</v>
      </c>
      <c r="G19" s="14">
        <v>0</v>
      </c>
      <c r="H19" s="14">
        <v>1</v>
      </c>
      <c r="I19" s="14">
        <v>0</v>
      </c>
      <c r="J19" s="18">
        <v>0</v>
      </c>
      <c r="K19" s="14">
        <v>1</v>
      </c>
      <c r="L19" s="18">
        <v>73.55</v>
      </c>
      <c r="M19" s="14" t="s">
        <v>86</v>
      </c>
    </row>
    <row r="20" spans="1:13" x14ac:dyDescent="0.25">
      <c r="A20" s="14" t="s">
        <v>55</v>
      </c>
      <c r="B20" s="14" t="s">
        <v>474</v>
      </c>
      <c r="C20" s="14" t="s">
        <v>475</v>
      </c>
      <c r="D20" s="14" t="s">
        <v>70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76.5</v>
      </c>
      <c r="M20" s="14" t="s">
        <v>86</v>
      </c>
    </row>
    <row r="21" spans="1:13" x14ac:dyDescent="0.25">
      <c r="A21" s="14" t="s">
        <v>47</v>
      </c>
      <c r="B21" s="14" t="s">
        <v>476</v>
      </c>
      <c r="C21" s="14" t="s">
        <v>477</v>
      </c>
      <c r="D21" s="14" t="s">
        <v>64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15</v>
      </c>
      <c r="K21" s="14">
        <v>1</v>
      </c>
      <c r="L21" s="18">
        <v>144.88999999999999</v>
      </c>
      <c r="M21" s="14" t="s">
        <v>86</v>
      </c>
    </row>
    <row r="22" spans="1:13" x14ac:dyDescent="0.25">
      <c r="A22" s="14" t="s">
        <v>53</v>
      </c>
      <c r="B22" s="14" t="s">
        <v>478</v>
      </c>
      <c r="C22" s="14" t="s">
        <v>479</v>
      </c>
      <c r="D22" s="14" t="s">
        <v>44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1.38</v>
      </c>
      <c r="M22" s="14" t="s">
        <v>86</v>
      </c>
    </row>
    <row r="23" spans="1:13" x14ac:dyDescent="0.25">
      <c r="A23" s="14" t="s">
        <v>49</v>
      </c>
      <c r="B23" s="14" t="s">
        <v>480</v>
      </c>
      <c r="C23" s="14" t="s">
        <v>481</v>
      </c>
      <c r="D23" s="14" t="s">
        <v>75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0</v>
      </c>
      <c r="L23" s="18">
        <v>0</v>
      </c>
      <c r="M23" s="14" t="s">
        <v>86</v>
      </c>
    </row>
    <row r="24" spans="1:13" x14ac:dyDescent="0.25">
      <c r="A24" s="14" t="s">
        <v>51</v>
      </c>
      <c r="B24" s="14" t="s">
        <v>482</v>
      </c>
      <c r="C24" s="14" t="s">
        <v>483</v>
      </c>
      <c r="D24" s="14" t="s">
        <v>73</v>
      </c>
      <c r="E24" s="14">
        <v>0</v>
      </c>
      <c r="F24" s="14">
        <v>0</v>
      </c>
      <c r="G24" s="14">
        <v>0</v>
      </c>
      <c r="H24" s="14">
        <v>0</v>
      </c>
      <c r="I24" s="14">
        <v>1</v>
      </c>
      <c r="J24" s="18">
        <v>0</v>
      </c>
      <c r="K24" s="14">
        <v>0</v>
      </c>
      <c r="L24" s="18">
        <v>0</v>
      </c>
      <c r="M24" s="14" t="s">
        <v>86</v>
      </c>
    </row>
    <row r="25" spans="1:13" x14ac:dyDescent="0.25">
      <c r="A25" s="14" t="s">
        <v>47</v>
      </c>
      <c r="B25" s="14" t="s">
        <v>484</v>
      </c>
      <c r="C25" s="14" t="s">
        <v>485</v>
      </c>
      <c r="D25" s="14" t="s">
        <v>74</v>
      </c>
      <c r="E25" s="14">
        <v>0</v>
      </c>
      <c r="F25" s="14">
        <v>0</v>
      </c>
      <c r="G25" s="14">
        <v>0</v>
      </c>
      <c r="H25" s="14">
        <v>0</v>
      </c>
      <c r="I25" s="14">
        <v>1</v>
      </c>
      <c r="J25" s="18">
        <v>0</v>
      </c>
      <c r="K25" s="14">
        <v>0</v>
      </c>
      <c r="L25" s="18">
        <v>0</v>
      </c>
      <c r="M25" s="14" t="s">
        <v>86</v>
      </c>
    </row>
    <row r="26" spans="1:13" x14ac:dyDescent="0.25">
      <c r="A26" s="14" t="s">
        <v>49</v>
      </c>
      <c r="B26" s="14" t="s">
        <v>486</v>
      </c>
      <c r="C26" s="14" t="s">
        <v>487</v>
      </c>
      <c r="D26" s="14" t="s">
        <v>60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0</v>
      </c>
      <c r="M26" s="14" t="s">
        <v>86</v>
      </c>
    </row>
    <row r="27" spans="1:13" x14ac:dyDescent="0.25">
      <c r="A27" s="14" t="s">
        <v>39</v>
      </c>
      <c r="B27" s="14" t="s">
        <v>488</v>
      </c>
      <c r="C27" s="14" t="s">
        <v>489</v>
      </c>
      <c r="D27" s="14" t="s">
        <v>67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8">
        <v>18</v>
      </c>
      <c r="K27" s="14">
        <v>1</v>
      </c>
      <c r="L27" s="18">
        <v>146.52000000000001</v>
      </c>
      <c r="M27" s="14" t="s">
        <v>111</v>
      </c>
    </row>
    <row r="28" spans="1:13" x14ac:dyDescent="0.25">
      <c r="A28" s="14" t="s">
        <v>45</v>
      </c>
      <c r="B28" s="14" t="s">
        <v>490</v>
      </c>
      <c r="C28" s="14" t="s">
        <v>491</v>
      </c>
      <c r="D28" s="14" t="s">
        <v>76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8">
        <v>0</v>
      </c>
      <c r="K28" s="14">
        <v>0</v>
      </c>
      <c r="L28" s="18">
        <v>11.77</v>
      </c>
      <c r="M28" s="14" t="s">
        <v>86</v>
      </c>
    </row>
    <row r="29" spans="1:13" x14ac:dyDescent="0.25">
      <c r="A29" s="14" t="s">
        <v>53</v>
      </c>
      <c r="B29" s="14" t="s">
        <v>492</v>
      </c>
      <c r="C29" s="14" t="s">
        <v>493</v>
      </c>
      <c r="D29" s="14" t="s">
        <v>69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8">
        <v>18</v>
      </c>
      <c r="K29" s="14">
        <v>1</v>
      </c>
      <c r="L29" s="18">
        <v>66.31</v>
      </c>
      <c r="M29" s="14" t="s">
        <v>86</v>
      </c>
    </row>
    <row r="30" spans="1:13" x14ac:dyDescent="0.25">
      <c r="A30" s="14" t="s">
        <v>45</v>
      </c>
      <c r="B30" s="14" t="s">
        <v>494</v>
      </c>
      <c r="C30" s="14" t="s">
        <v>495</v>
      </c>
      <c r="D30" s="14" t="s">
        <v>44</v>
      </c>
      <c r="E30" s="14">
        <v>1</v>
      </c>
      <c r="F30" s="14">
        <v>0</v>
      </c>
      <c r="G30" s="14">
        <v>0</v>
      </c>
      <c r="H30" s="14">
        <v>0</v>
      </c>
      <c r="I30" s="14">
        <v>0</v>
      </c>
      <c r="J30" s="18">
        <v>0</v>
      </c>
      <c r="K30" s="14">
        <v>1</v>
      </c>
      <c r="L30" s="18">
        <v>0</v>
      </c>
      <c r="M30" s="14" t="s">
        <v>86</v>
      </c>
    </row>
    <row r="31" spans="1:13" x14ac:dyDescent="0.25">
      <c r="A31" s="14" t="s">
        <v>39</v>
      </c>
      <c r="B31" s="14" t="s">
        <v>496</v>
      </c>
      <c r="C31" s="14" t="s">
        <v>497</v>
      </c>
      <c r="D31" s="14" t="s">
        <v>40</v>
      </c>
      <c r="E31" s="14">
        <v>1</v>
      </c>
      <c r="F31" s="14">
        <v>0</v>
      </c>
      <c r="G31" s="14">
        <v>0</v>
      </c>
      <c r="H31" s="14">
        <v>0</v>
      </c>
      <c r="I31" s="14">
        <v>0</v>
      </c>
      <c r="J31" s="18">
        <v>18</v>
      </c>
      <c r="K31" s="14">
        <v>1</v>
      </c>
      <c r="L31" s="18">
        <v>97.76</v>
      </c>
      <c r="M31" s="14" t="s">
        <v>86</v>
      </c>
    </row>
    <row r="32" spans="1:13" x14ac:dyDescent="0.25">
      <c r="A32" s="14" t="s">
        <v>61</v>
      </c>
      <c r="B32" s="14" t="s">
        <v>498</v>
      </c>
      <c r="C32" s="14" t="s">
        <v>499</v>
      </c>
      <c r="D32" s="14" t="s">
        <v>74</v>
      </c>
      <c r="E32" s="14">
        <v>0</v>
      </c>
      <c r="F32" s="14">
        <v>0</v>
      </c>
      <c r="G32" s="14">
        <v>0</v>
      </c>
      <c r="H32" s="14">
        <v>0</v>
      </c>
      <c r="I32" s="14">
        <v>1</v>
      </c>
      <c r="J32" s="18">
        <v>16</v>
      </c>
      <c r="K32" s="14">
        <v>0</v>
      </c>
      <c r="L32" s="18">
        <v>0</v>
      </c>
      <c r="M32" s="14" t="s">
        <v>86</v>
      </c>
    </row>
    <row r="33" spans="1:13" x14ac:dyDescent="0.25">
      <c r="A33" s="14" t="s">
        <v>49</v>
      </c>
      <c r="B33" s="14" t="s">
        <v>500</v>
      </c>
      <c r="C33" s="14" t="s">
        <v>501</v>
      </c>
      <c r="D33" s="14" t="s">
        <v>69</v>
      </c>
      <c r="E33" s="14">
        <v>1</v>
      </c>
      <c r="F33" s="14">
        <v>0</v>
      </c>
      <c r="G33" s="14">
        <v>0</v>
      </c>
      <c r="H33" s="14">
        <v>0</v>
      </c>
      <c r="I33" s="14">
        <v>0</v>
      </c>
      <c r="J33" s="18">
        <v>15</v>
      </c>
      <c r="K33" s="14">
        <v>1</v>
      </c>
      <c r="L33" s="18">
        <v>51.61</v>
      </c>
      <c r="M33" s="14" t="s">
        <v>86</v>
      </c>
    </row>
    <row r="34" spans="1:13" x14ac:dyDescent="0.25">
      <c r="A34" s="14" t="s">
        <v>59</v>
      </c>
      <c r="B34" s="14" t="s">
        <v>502</v>
      </c>
      <c r="C34" s="14" t="s">
        <v>503</v>
      </c>
      <c r="D34" s="14" t="s">
        <v>69</v>
      </c>
      <c r="E34" s="14">
        <v>1</v>
      </c>
      <c r="F34" s="14">
        <v>0</v>
      </c>
      <c r="G34" s="14">
        <v>0</v>
      </c>
      <c r="H34" s="14">
        <v>0</v>
      </c>
      <c r="I34" s="14">
        <v>0</v>
      </c>
      <c r="J34" s="18">
        <v>0</v>
      </c>
      <c r="K34" s="14">
        <v>1</v>
      </c>
      <c r="L34" s="18">
        <v>114.31</v>
      </c>
      <c r="M34" s="14" t="s">
        <v>86</v>
      </c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C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C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C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504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39</v>
      </c>
      <c r="B4" s="14" t="s">
        <v>505</v>
      </c>
      <c r="C4" s="14" t="s">
        <v>506</v>
      </c>
      <c r="D4" s="14" t="s">
        <v>42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33</v>
      </c>
      <c r="K4" s="14">
        <v>1</v>
      </c>
      <c r="L4" s="18">
        <v>119.89</v>
      </c>
      <c r="M4" s="14" t="s">
        <v>111</v>
      </c>
      <c r="P4" s="14" t="str">
        <f>Setup!$A$4</f>
        <v>Expert 01</v>
      </c>
      <c r="Q4" s="14">
        <f t="shared" ref="Q4:Q15" si="0">SUMIF($A$4:$A$43,$P4,E$4:E$43)</f>
        <v>2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66</v>
      </c>
      <c r="W4" s="14">
        <f t="shared" ref="W4:W15" si="6">SUMIF($A$4:$A$43,$P4,K$4:K$43)</f>
        <v>3</v>
      </c>
      <c r="X4" s="18">
        <f t="shared" ref="X4:X15" si="7">SUMIF($A$4:$A$43,$P4,L$4:L$43)</f>
        <v>133.5</v>
      </c>
    </row>
    <row r="5" spans="1:24" x14ac:dyDescent="0.25">
      <c r="A5" s="14" t="s">
        <v>39</v>
      </c>
      <c r="B5" s="14" t="s">
        <v>281</v>
      </c>
      <c r="C5" s="14" t="s">
        <v>507</v>
      </c>
      <c r="D5" s="14" t="s">
        <v>67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8">
        <v>33</v>
      </c>
      <c r="K5" s="14">
        <v>1</v>
      </c>
      <c r="L5" s="18">
        <v>13.61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1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15</v>
      </c>
      <c r="W5" s="14">
        <f t="shared" si="6"/>
        <v>2</v>
      </c>
      <c r="X5" s="18">
        <f t="shared" si="7"/>
        <v>197.6</v>
      </c>
    </row>
    <row r="6" spans="1:24" x14ac:dyDescent="0.25">
      <c r="A6" s="14" t="s">
        <v>41</v>
      </c>
      <c r="B6" s="14" t="s">
        <v>508</v>
      </c>
      <c r="C6" s="14" t="s">
        <v>509</v>
      </c>
      <c r="D6" s="14" t="s">
        <v>75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0</v>
      </c>
      <c r="L6" s="18">
        <v>172.49</v>
      </c>
      <c r="M6" s="14" t="s">
        <v>86</v>
      </c>
      <c r="P6" s="14" t="str">
        <f>Setup!$A$6</f>
        <v>Expert 03</v>
      </c>
      <c r="Q6" s="14">
        <f t="shared" si="0"/>
        <v>2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15</v>
      </c>
      <c r="W6" s="14">
        <f t="shared" si="6"/>
        <v>2</v>
      </c>
      <c r="X6" s="18">
        <f t="shared" si="7"/>
        <v>153.06</v>
      </c>
    </row>
    <row r="7" spans="1:24" x14ac:dyDescent="0.25">
      <c r="A7" s="14" t="s">
        <v>51</v>
      </c>
      <c r="B7" s="14" t="s">
        <v>510</v>
      </c>
      <c r="C7" s="14" t="s">
        <v>511</v>
      </c>
      <c r="D7" s="14" t="s">
        <v>63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2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36</v>
      </c>
      <c r="W7" s="14">
        <f t="shared" si="6"/>
        <v>3</v>
      </c>
      <c r="X7" s="18">
        <f t="shared" si="7"/>
        <v>232.87</v>
      </c>
    </row>
    <row r="8" spans="1:24" x14ac:dyDescent="0.25">
      <c r="A8" s="14" t="s">
        <v>41</v>
      </c>
      <c r="B8" s="14" t="s">
        <v>512</v>
      </c>
      <c r="C8" s="14" t="s">
        <v>513</v>
      </c>
      <c r="D8" s="14" t="s">
        <v>46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24.89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0</v>
      </c>
      <c r="X8" s="18">
        <f t="shared" si="7"/>
        <v>0</v>
      </c>
    </row>
    <row r="9" spans="1:24" x14ac:dyDescent="0.25">
      <c r="A9" s="14" t="s">
        <v>43</v>
      </c>
      <c r="B9" s="14" t="s">
        <v>514</v>
      </c>
      <c r="C9" s="14" t="s">
        <v>515</v>
      </c>
      <c r="D9" s="14" t="s">
        <v>52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41.85</v>
      </c>
      <c r="M9" s="14" t="s">
        <v>86</v>
      </c>
      <c r="P9" s="14" t="str">
        <f>Setup!$A$9</f>
        <v>Expert 06</v>
      </c>
      <c r="Q9" s="14">
        <f t="shared" si="0"/>
        <v>3</v>
      </c>
      <c r="R9" s="14">
        <f t="shared" si="1"/>
        <v>2</v>
      </c>
      <c r="S9" s="14">
        <f t="shared" si="2"/>
        <v>1</v>
      </c>
      <c r="T9" s="14">
        <f t="shared" si="3"/>
        <v>0</v>
      </c>
      <c r="U9" s="14">
        <f t="shared" si="4"/>
        <v>2</v>
      </c>
      <c r="V9" s="18">
        <f t="shared" si="5"/>
        <v>36</v>
      </c>
      <c r="W9" s="14">
        <f t="shared" si="6"/>
        <v>4</v>
      </c>
      <c r="X9" s="18">
        <f t="shared" si="7"/>
        <v>249.06</v>
      </c>
    </row>
    <row r="10" spans="1:24" x14ac:dyDescent="0.25">
      <c r="A10" s="14" t="s">
        <v>45</v>
      </c>
      <c r="B10" s="14" t="s">
        <v>516</v>
      </c>
      <c r="C10" s="14" t="s">
        <v>517</v>
      </c>
      <c r="D10" s="14" t="s">
        <v>50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1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0</v>
      </c>
      <c r="W10" s="14">
        <f t="shared" si="6"/>
        <v>2</v>
      </c>
      <c r="X10" s="18">
        <f t="shared" si="7"/>
        <v>0</v>
      </c>
    </row>
    <row r="11" spans="1:24" x14ac:dyDescent="0.25">
      <c r="A11" s="14" t="s">
        <v>49</v>
      </c>
      <c r="B11" s="14" t="s">
        <v>518</v>
      </c>
      <c r="C11" s="14" t="s">
        <v>519</v>
      </c>
      <c r="D11" s="14" t="s">
        <v>67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70.790000000000006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0</v>
      </c>
      <c r="W11" s="14">
        <f t="shared" si="6"/>
        <v>0</v>
      </c>
      <c r="X11" s="18">
        <f t="shared" si="7"/>
        <v>0</v>
      </c>
    </row>
    <row r="12" spans="1:24" x14ac:dyDescent="0.25">
      <c r="A12" s="14" t="s">
        <v>49</v>
      </c>
      <c r="B12" s="14" t="s">
        <v>520</v>
      </c>
      <c r="C12" s="14" t="s">
        <v>521</v>
      </c>
      <c r="D12" s="14" t="s">
        <v>74</v>
      </c>
      <c r="E12" s="14">
        <v>0</v>
      </c>
      <c r="F12" s="14">
        <v>1</v>
      </c>
      <c r="G12" s="14">
        <v>0</v>
      </c>
      <c r="H12" s="14">
        <v>0</v>
      </c>
      <c r="I12" s="14">
        <v>1</v>
      </c>
      <c r="J12" s="18">
        <v>0</v>
      </c>
      <c r="K12" s="14">
        <v>0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0</v>
      </c>
      <c r="X12" s="18">
        <f t="shared" si="7"/>
        <v>0</v>
      </c>
    </row>
    <row r="13" spans="1:24" x14ac:dyDescent="0.25">
      <c r="A13" s="14" t="s">
        <v>43</v>
      </c>
      <c r="B13" s="14" t="s">
        <v>522</v>
      </c>
      <c r="C13" s="14" t="s">
        <v>523</v>
      </c>
      <c r="D13" s="14" t="s">
        <v>66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15</v>
      </c>
      <c r="K13" s="14">
        <v>1</v>
      </c>
      <c r="L13" s="18">
        <v>111.21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0</v>
      </c>
      <c r="W13" s="14">
        <f t="shared" si="6"/>
        <v>0</v>
      </c>
      <c r="X13" s="18">
        <f t="shared" si="7"/>
        <v>0</v>
      </c>
    </row>
    <row r="14" spans="1:24" x14ac:dyDescent="0.25">
      <c r="A14" s="14" t="s">
        <v>51</v>
      </c>
      <c r="B14" s="14" t="s">
        <v>524</v>
      </c>
      <c r="C14" s="14" t="s">
        <v>525</v>
      </c>
      <c r="D14" s="14" t="s">
        <v>67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1</v>
      </c>
      <c r="S14" s="14">
        <f t="shared" si="2"/>
        <v>0</v>
      </c>
      <c r="T14" s="14">
        <f t="shared" si="3"/>
        <v>1</v>
      </c>
      <c r="U14" s="14">
        <f t="shared" si="4"/>
        <v>0</v>
      </c>
      <c r="V14" s="18">
        <f t="shared" si="5"/>
        <v>24</v>
      </c>
      <c r="W14" s="14">
        <f t="shared" si="6"/>
        <v>2</v>
      </c>
      <c r="X14" s="18">
        <f t="shared" si="7"/>
        <v>239.75</v>
      </c>
    </row>
    <row r="15" spans="1:24" x14ac:dyDescent="0.25">
      <c r="A15" s="14" t="s">
        <v>59</v>
      </c>
      <c r="B15" s="14" t="s">
        <v>526</v>
      </c>
      <c r="C15" s="14" t="s">
        <v>527</v>
      </c>
      <c r="D15" s="14" t="s">
        <v>56</v>
      </c>
      <c r="E15" s="14">
        <v>0</v>
      </c>
      <c r="F15" s="14">
        <v>0</v>
      </c>
      <c r="G15" s="14">
        <v>0</v>
      </c>
      <c r="H15" s="14">
        <v>1</v>
      </c>
      <c r="I15" s="14">
        <v>0</v>
      </c>
      <c r="J15" s="18">
        <v>0</v>
      </c>
      <c r="K15" s="14">
        <v>1</v>
      </c>
      <c r="L15" s="18">
        <v>106.33</v>
      </c>
      <c r="M15" s="14" t="s">
        <v>86</v>
      </c>
      <c r="P15" s="14" t="str">
        <f>Setup!$A$15</f>
        <v>Expert 12</v>
      </c>
      <c r="Q15" s="14">
        <f t="shared" si="0"/>
        <v>2</v>
      </c>
      <c r="R15" s="14">
        <f t="shared" si="1"/>
        <v>0</v>
      </c>
      <c r="S15" s="14">
        <f t="shared" si="2"/>
        <v>1</v>
      </c>
      <c r="T15" s="14">
        <f t="shared" si="3"/>
        <v>0</v>
      </c>
      <c r="U15" s="14">
        <f t="shared" si="4"/>
        <v>0</v>
      </c>
      <c r="V15" s="18">
        <f t="shared" si="5"/>
        <v>39</v>
      </c>
      <c r="W15" s="14">
        <f t="shared" si="6"/>
        <v>2</v>
      </c>
      <c r="X15" s="18">
        <f t="shared" si="7"/>
        <v>44.29</v>
      </c>
    </row>
    <row r="16" spans="1:24" x14ac:dyDescent="0.25">
      <c r="A16" s="14" t="s">
        <v>39</v>
      </c>
      <c r="B16" s="14" t="s">
        <v>528</v>
      </c>
      <c r="C16" s="14" t="s">
        <v>529</v>
      </c>
      <c r="D16" s="14" t="s">
        <v>72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13</v>
      </c>
      <c r="R16" s="20">
        <f t="shared" si="8"/>
        <v>4</v>
      </c>
      <c r="S16" s="20">
        <f t="shared" si="8"/>
        <v>2</v>
      </c>
      <c r="T16" s="20">
        <f t="shared" si="8"/>
        <v>1</v>
      </c>
      <c r="U16" s="20">
        <f t="shared" si="8"/>
        <v>2</v>
      </c>
      <c r="V16" s="21">
        <f t="shared" si="8"/>
        <v>231</v>
      </c>
      <c r="W16" s="20">
        <f t="shared" si="8"/>
        <v>20</v>
      </c>
      <c r="X16" s="21">
        <f t="shared" si="8"/>
        <v>1250.1299999999999</v>
      </c>
    </row>
    <row r="17" spans="1:13" x14ac:dyDescent="0.25">
      <c r="A17" s="14" t="s">
        <v>61</v>
      </c>
      <c r="B17" s="14" t="s">
        <v>530</v>
      </c>
      <c r="C17" s="14" t="s">
        <v>531</v>
      </c>
      <c r="D17" s="14" t="s">
        <v>58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15</v>
      </c>
      <c r="K17" s="14">
        <v>1</v>
      </c>
      <c r="L17" s="18">
        <v>44.29</v>
      </c>
      <c r="M17" s="14" t="s">
        <v>86</v>
      </c>
    </row>
    <row r="18" spans="1:13" x14ac:dyDescent="0.25">
      <c r="A18" s="14" t="s">
        <v>61</v>
      </c>
      <c r="B18" s="14" t="s">
        <v>532</v>
      </c>
      <c r="C18" s="14" t="s">
        <v>533</v>
      </c>
      <c r="D18" s="14" t="s">
        <v>50</v>
      </c>
      <c r="E18" s="14">
        <v>1</v>
      </c>
      <c r="F18" s="14">
        <v>0</v>
      </c>
      <c r="G18" s="14">
        <v>1</v>
      </c>
      <c r="H18" s="14">
        <v>0</v>
      </c>
      <c r="I18" s="14">
        <v>0</v>
      </c>
      <c r="J18" s="18">
        <v>24</v>
      </c>
      <c r="K18" s="14">
        <v>1</v>
      </c>
      <c r="L18" s="18">
        <v>0</v>
      </c>
      <c r="M18" s="14" t="s">
        <v>86</v>
      </c>
    </row>
    <row r="19" spans="1:13" x14ac:dyDescent="0.25">
      <c r="A19" s="14" t="s">
        <v>49</v>
      </c>
      <c r="B19" s="14" t="s">
        <v>534</v>
      </c>
      <c r="C19" s="14" t="s">
        <v>535</v>
      </c>
      <c r="D19" s="14" t="s">
        <v>74</v>
      </c>
      <c r="E19" s="14">
        <v>0</v>
      </c>
      <c r="F19" s="14">
        <v>0</v>
      </c>
      <c r="G19" s="14">
        <v>1</v>
      </c>
      <c r="H19" s="14">
        <v>0</v>
      </c>
      <c r="I19" s="14">
        <v>1</v>
      </c>
      <c r="J19" s="18">
        <v>18</v>
      </c>
      <c r="K19" s="14">
        <v>0</v>
      </c>
      <c r="L19" s="18">
        <v>0</v>
      </c>
      <c r="M19" s="14" t="s">
        <v>86</v>
      </c>
    </row>
    <row r="20" spans="1:13" x14ac:dyDescent="0.25">
      <c r="A20" s="14" t="s">
        <v>49</v>
      </c>
      <c r="B20" s="14" t="s">
        <v>536</v>
      </c>
      <c r="C20" s="14" t="s">
        <v>537</v>
      </c>
      <c r="D20" s="14" t="s">
        <v>69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22.65</v>
      </c>
      <c r="M20" s="14" t="s">
        <v>111</v>
      </c>
    </row>
    <row r="21" spans="1:13" x14ac:dyDescent="0.25">
      <c r="A21" s="14" t="s">
        <v>49</v>
      </c>
      <c r="B21" s="14" t="s">
        <v>538</v>
      </c>
      <c r="C21" s="14" t="s">
        <v>539</v>
      </c>
      <c r="D21" s="14" t="s">
        <v>67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155.62</v>
      </c>
      <c r="M21" s="14" t="s">
        <v>86</v>
      </c>
    </row>
    <row r="22" spans="1:13" x14ac:dyDescent="0.25">
      <c r="A22" s="14" t="s">
        <v>41</v>
      </c>
      <c r="B22" s="14" t="s">
        <v>540</v>
      </c>
      <c r="C22" s="14" t="s">
        <v>541</v>
      </c>
      <c r="D22" s="14" t="s">
        <v>60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8">
        <v>15</v>
      </c>
      <c r="K22" s="14">
        <v>1</v>
      </c>
      <c r="L22" s="18">
        <v>0.22</v>
      </c>
      <c r="M22" s="14" t="s">
        <v>111</v>
      </c>
    </row>
    <row r="23" spans="1:13" x14ac:dyDescent="0.25">
      <c r="A23" s="14" t="s">
        <v>45</v>
      </c>
      <c r="B23" s="14" t="s">
        <v>542</v>
      </c>
      <c r="C23" s="14" t="s">
        <v>543</v>
      </c>
      <c r="D23" s="14" t="s">
        <v>63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8">
        <v>18</v>
      </c>
      <c r="K23" s="14">
        <v>1</v>
      </c>
      <c r="L23" s="18">
        <v>95.6</v>
      </c>
      <c r="M23" s="14" t="s">
        <v>86</v>
      </c>
    </row>
    <row r="24" spans="1:13" x14ac:dyDescent="0.25">
      <c r="A24" s="14" t="s">
        <v>49</v>
      </c>
      <c r="B24" s="14" t="s">
        <v>544</v>
      </c>
      <c r="C24" s="14" t="s">
        <v>545</v>
      </c>
      <c r="D24" s="14" t="s">
        <v>56</v>
      </c>
      <c r="E24" s="14">
        <v>1</v>
      </c>
      <c r="F24" s="14">
        <v>0</v>
      </c>
      <c r="G24" s="14">
        <v>0</v>
      </c>
      <c r="H24" s="14">
        <v>0</v>
      </c>
      <c r="I24" s="14">
        <v>0</v>
      </c>
      <c r="J24" s="18">
        <v>18</v>
      </c>
      <c r="K24" s="14">
        <v>1</v>
      </c>
      <c r="L24" s="18">
        <v>0</v>
      </c>
      <c r="M24" s="14" t="s">
        <v>86</v>
      </c>
    </row>
    <row r="25" spans="1:13" x14ac:dyDescent="0.25">
      <c r="A25" s="14" t="s">
        <v>59</v>
      </c>
      <c r="B25" s="14" t="s">
        <v>546</v>
      </c>
      <c r="C25" s="14" t="s">
        <v>547</v>
      </c>
      <c r="D25" s="14" t="s">
        <v>70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8">
        <v>24</v>
      </c>
      <c r="K25" s="14">
        <v>1</v>
      </c>
      <c r="L25" s="18">
        <v>133.41999999999999</v>
      </c>
      <c r="M25" s="14" t="s">
        <v>86</v>
      </c>
    </row>
    <row r="26" spans="1:13" x14ac:dyDescent="0.25">
      <c r="A26" s="14" t="s">
        <v>45</v>
      </c>
      <c r="B26" s="14" t="s">
        <v>548</v>
      </c>
      <c r="C26" s="14" t="s">
        <v>549</v>
      </c>
      <c r="D26" s="14" t="s">
        <v>50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18</v>
      </c>
      <c r="K26" s="14">
        <v>1</v>
      </c>
      <c r="L26" s="18">
        <v>137.27000000000001</v>
      </c>
      <c r="M26" s="14" t="s">
        <v>86</v>
      </c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D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D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D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550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59</v>
      </c>
      <c r="B4" s="14" t="s">
        <v>551</v>
      </c>
      <c r="C4" s="14" t="s">
        <v>552</v>
      </c>
      <c r="D4" s="14" t="s">
        <v>76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8">
        <v>0</v>
      </c>
      <c r="K4" s="14">
        <v>0</v>
      </c>
      <c r="L4" s="18">
        <v>59.04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2</v>
      </c>
      <c r="R4" s="14">
        <f t="shared" ref="R4:R15" si="1">SUMIF($A$4:$A$43,$P4,F$4:F$43)</f>
        <v>1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24</v>
      </c>
      <c r="W4" s="14">
        <f t="shared" ref="W4:W15" si="6">SUMIF($A$4:$A$43,$P4,K$4:K$43)</f>
        <v>4</v>
      </c>
      <c r="X4" s="18">
        <f t="shared" ref="X4:X15" si="7">SUMIF($A$4:$A$43,$P4,L$4:L$43)</f>
        <v>276.94</v>
      </c>
    </row>
    <row r="5" spans="1:24" x14ac:dyDescent="0.25">
      <c r="A5" s="14" t="s">
        <v>53</v>
      </c>
      <c r="B5" s="14" t="s">
        <v>553</v>
      </c>
      <c r="C5" s="14" t="s">
        <v>554</v>
      </c>
      <c r="D5" s="14" t="s">
        <v>63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24</v>
      </c>
      <c r="K5" s="14">
        <v>1</v>
      </c>
      <c r="L5" s="18">
        <v>174.45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1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0</v>
      </c>
      <c r="W5" s="14">
        <f t="shared" si="6"/>
        <v>2</v>
      </c>
      <c r="X5" s="18">
        <f t="shared" si="7"/>
        <v>264.33</v>
      </c>
    </row>
    <row r="6" spans="1:24" x14ac:dyDescent="0.25">
      <c r="A6" s="14" t="s">
        <v>39</v>
      </c>
      <c r="B6" s="14" t="s">
        <v>555</v>
      </c>
      <c r="C6" s="14" t="s">
        <v>556</v>
      </c>
      <c r="D6" s="14" t="s">
        <v>44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73.69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1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2</v>
      </c>
      <c r="X6" s="18">
        <f t="shared" si="7"/>
        <v>157.57999999999998</v>
      </c>
    </row>
    <row r="7" spans="1:24" x14ac:dyDescent="0.25">
      <c r="A7" s="14" t="s">
        <v>51</v>
      </c>
      <c r="B7" s="14" t="s">
        <v>557</v>
      </c>
      <c r="C7" s="14" t="s">
        <v>558</v>
      </c>
      <c r="D7" s="14" t="s">
        <v>48</v>
      </c>
      <c r="E7" s="14">
        <v>1</v>
      </c>
      <c r="F7" s="14">
        <v>0</v>
      </c>
      <c r="G7" s="14">
        <v>0</v>
      </c>
      <c r="H7" s="14">
        <v>1</v>
      </c>
      <c r="I7" s="14">
        <v>0</v>
      </c>
      <c r="J7" s="18">
        <v>0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1</v>
      </c>
      <c r="X7" s="18">
        <f t="shared" si="7"/>
        <v>52.47</v>
      </c>
    </row>
    <row r="8" spans="1:24" x14ac:dyDescent="0.25">
      <c r="A8" s="14" t="s">
        <v>43</v>
      </c>
      <c r="B8" s="14" t="s">
        <v>559</v>
      </c>
      <c r="C8" s="14" t="s">
        <v>560</v>
      </c>
      <c r="D8" s="14" t="s">
        <v>69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60.16</v>
      </c>
      <c r="M8" s="14" t="s">
        <v>86</v>
      </c>
      <c r="P8" s="14" t="str">
        <f>Setup!$A$8</f>
        <v>Expert 05</v>
      </c>
      <c r="Q8" s="14">
        <f t="shared" si="0"/>
        <v>1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15</v>
      </c>
      <c r="W8" s="14">
        <f t="shared" si="6"/>
        <v>1</v>
      </c>
      <c r="X8" s="18">
        <f t="shared" si="7"/>
        <v>308.8</v>
      </c>
    </row>
    <row r="9" spans="1:24" x14ac:dyDescent="0.25">
      <c r="A9" s="14" t="s">
        <v>55</v>
      </c>
      <c r="B9" s="14" t="s">
        <v>561</v>
      </c>
      <c r="C9" s="14" t="s">
        <v>562</v>
      </c>
      <c r="D9" s="14" t="s">
        <v>76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8">
        <v>0</v>
      </c>
      <c r="K9" s="14">
        <v>0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2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66</v>
      </c>
      <c r="W9" s="14">
        <f t="shared" si="6"/>
        <v>3</v>
      </c>
      <c r="X9" s="18">
        <f t="shared" si="7"/>
        <v>2.37</v>
      </c>
    </row>
    <row r="10" spans="1:24" x14ac:dyDescent="0.25">
      <c r="A10" s="14" t="s">
        <v>39</v>
      </c>
      <c r="B10" s="14" t="s">
        <v>563</v>
      </c>
      <c r="C10" s="14" t="s">
        <v>564</v>
      </c>
      <c r="D10" s="14" t="s">
        <v>68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24</v>
      </c>
      <c r="K10" s="14">
        <v>1</v>
      </c>
      <c r="L10" s="18">
        <v>103.4</v>
      </c>
      <c r="M10" s="14" t="s">
        <v>86</v>
      </c>
      <c r="P10" s="14" t="str">
        <f>Setup!$A$10</f>
        <v>Expert 07</v>
      </c>
      <c r="Q10" s="14">
        <f t="shared" si="0"/>
        <v>1</v>
      </c>
      <c r="R10" s="14">
        <f t="shared" si="1"/>
        <v>1</v>
      </c>
      <c r="S10" s="14">
        <f t="shared" si="2"/>
        <v>0</v>
      </c>
      <c r="T10" s="14">
        <f t="shared" si="3"/>
        <v>1</v>
      </c>
      <c r="U10" s="14">
        <f t="shared" si="4"/>
        <v>0</v>
      </c>
      <c r="V10" s="18">
        <f t="shared" si="5"/>
        <v>33</v>
      </c>
      <c r="W10" s="14">
        <f t="shared" si="6"/>
        <v>2</v>
      </c>
      <c r="X10" s="18">
        <f t="shared" si="7"/>
        <v>95.38</v>
      </c>
    </row>
    <row r="11" spans="1:24" x14ac:dyDescent="0.25">
      <c r="A11" s="14" t="s">
        <v>43</v>
      </c>
      <c r="B11" s="14" t="s">
        <v>565</v>
      </c>
      <c r="C11" s="14" t="s">
        <v>566</v>
      </c>
      <c r="D11" s="14" t="s">
        <v>68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97.42</v>
      </c>
      <c r="M11" s="14" t="s">
        <v>111</v>
      </c>
      <c r="P11" s="14" t="str">
        <f>Setup!$A$11</f>
        <v>Expert 08</v>
      </c>
      <c r="Q11" s="14">
        <f t="shared" si="0"/>
        <v>2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1</v>
      </c>
      <c r="V11" s="18">
        <f t="shared" si="5"/>
        <v>24</v>
      </c>
      <c r="W11" s="14">
        <f t="shared" si="6"/>
        <v>2</v>
      </c>
      <c r="X11" s="18">
        <f t="shared" si="7"/>
        <v>174.45</v>
      </c>
    </row>
    <row r="12" spans="1:24" x14ac:dyDescent="0.25">
      <c r="A12" s="14" t="s">
        <v>39</v>
      </c>
      <c r="B12" s="14" t="s">
        <v>567</v>
      </c>
      <c r="C12" s="14" t="s">
        <v>568</v>
      </c>
      <c r="D12" s="14" t="s">
        <v>40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99.85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1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2</v>
      </c>
      <c r="X12" s="18">
        <f t="shared" si="7"/>
        <v>190.66</v>
      </c>
    </row>
    <row r="13" spans="1:24" x14ac:dyDescent="0.25">
      <c r="A13" s="14" t="s">
        <v>55</v>
      </c>
      <c r="B13" s="14" t="s">
        <v>569</v>
      </c>
      <c r="C13" s="14" t="s">
        <v>570</v>
      </c>
      <c r="D13" s="14" t="s">
        <v>50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126.39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16</v>
      </c>
      <c r="W13" s="14">
        <f t="shared" si="6"/>
        <v>1</v>
      </c>
      <c r="X13" s="18">
        <f t="shared" si="7"/>
        <v>153.09</v>
      </c>
    </row>
    <row r="14" spans="1:24" x14ac:dyDescent="0.25">
      <c r="A14" s="14" t="s">
        <v>49</v>
      </c>
      <c r="B14" s="14" t="s">
        <v>571</v>
      </c>
      <c r="C14" s="14" t="s">
        <v>572</v>
      </c>
      <c r="D14" s="14" t="s">
        <v>66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33</v>
      </c>
      <c r="K14" s="14">
        <v>1</v>
      </c>
      <c r="L14" s="18">
        <v>2.37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0</v>
      </c>
      <c r="W14" s="14">
        <f t="shared" si="6"/>
        <v>1</v>
      </c>
      <c r="X14" s="18">
        <f t="shared" si="7"/>
        <v>59.04</v>
      </c>
    </row>
    <row r="15" spans="1:24" x14ac:dyDescent="0.25">
      <c r="A15" s="14" t="s">
        <v>39</v>
      </c>
      <c r="B15" s="14" t="s">
        <v>573</v>
      </c>
      <c r="C15" s="14" t="s">
        <v>574</v>
      </c>
      <c r="D15" s="14" t="s">
        <v>42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0</v>
      </c>
      <c r="M15" s="14" t="s">
        <v>86</v>
      </c>
      <c r="P15" s="14" t="str">
        <f>Setup!$A$15</f>
        <v>Expert 12</v>
      </c>
      <c r="Q15" s="14">
        <f t="shared" si="0"/>
        <v>0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0</v>
      </c>
      <c r="W15" s="14">
        <f t="shared" si="6"/>
        <v>0</v>
      </c>
      <c r="X15" s="18">
        <f t="shared" si="7"/>
        <v>0</v>
      </c>
    </row>
    <row r="16" spans="1:24" x14ac:dyDescent="0.25">
      <c r="A16" s="14" t="s">
        <v>41</v>
      </c>
      <c r="B16" s="14" t="s">
        <v>575</v>
      </c>
      <c r="C16" s="14" t="s">
        <v>576</v>
      </c>
      <c r="D16" s="14" t="s">
        <v>72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102.58</v>
      </c>
      <c r="M16" s="14" t="s">
        <v>111</v>
      </c>
      <c r="P16" s="19" t="s">
        <v>112</v>
      </c>
      <c r="Q16" s="20">
        <f t="shared" ref="Q16:X16" si="8">SUM(Q4:Q15)</f>
        <v>12</v>
      </c>
      <c r="R16" s="20">
        <f t="shared" si="8"/>
        <v>5</v>
      </c>
      <c r="S16" s="20">
        <f t="shared" si="8"/>
        <v>0</v>
      </c>
      <c r="T16" s="20">
        <f t="shared" si="8"/>
        <v>1</v>
      </c>
      <c r="U16" s="20">
        <f t="shared" si="8"/>
        <v>1</v>
      </c>
      <c r="V16" s="21">
        <f t="shared" si="8"/>
        <v>178</v>
      </c>
      <c r="W16" s="20">
        <f t="shared" si="8"/>
        <v>21</v>
      </c>
      <c r="X16" s="21">
        <f t="shared" si="8"/>
        <v>1735.11</v>
      </c>
    </row>
    <row r="17" spans="1:13" x14ac:dyDescent="0.25">
      <c r="A17" s="14" t="s">
        <v>59</v>
      </c>
      <c r="B17" s="14" t="s">
        <v>577</v>
      </c>
      <c r="C17" s="14" t="s">
        <v>578</v>
      </c>
      <c r="D17" s="14" t="s">
        <v>66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0</v>
      </c>
      <c r="M17" s="14" t="s">
        <v>86</v>
      </c>
    </row>
    <row r="18" spans="1:13" x14ac:dyDescent="0.25">
      <c r="A18" s="14" t="s">
        <v>55</v>
      </c>
      <c r="B18" s="14" t="s">
        <v>579</v>
      </c>
      <c r="C18" s="14" t="s">
        <v>580</v>
      </c>
      <c r="D18" s="14" t="s">
        <v>42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8">
        <v>0</v>
      </c>
      <c r="K18" s="14">
        <v>1</v>
      </c>
      <c r="L18" s="18">
        <v>64.27</v>
      </c>
      <c r="M18" s="14" t="s">
        <v>86</v>
      </c>
    </row>
    <row r="19" spans="1:13" x14ac:dyDescent="0.25">
      <c r="A19" s="14" t="s">
        <v>49</v>
      </c>
      <c r="B19" s="14" t="s">
        <v>581</v>
      </c>
      <c r="C19" s="14" t="s">
        <v>582</v>
      </c>
      <c r="D19" s="14" t="s">
        <v>46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47</v>
      </c>
      <c r="B20" s="14" t="s">
        <v>583</v>
      </c>
      <c r="C20" s="14" t="s">
        <v>584</v>
      </c>
      <c r="D20" s="14" t="s">
        <v>77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8">
        <v>15</v>
      </c>
      <c r="K20" s="14">
        <v>0</v>
      </c>
      <c r="L20" s="18">
        <v>157.72</v>
      </c>
      <c r="M20" s="14" t="s">
        <v>86</v>
      </c>
    </row>
    <row r="21" spans="1:13" x14ac:dyDescent="0.25">
      <c r="A21" s="14" t="s">
        <v>47</v>
      </c>
      <c r="B21" s="14" t="s">
        <v>585</v>
      </c>
      <c r="C21" s="14" t="s">
        <v>586</v>
      </c>
      <c r="D21" s="14" t="s">
        <v>40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151.08000000000001</v>
      </c>
      <c r="M21" s="14" t="s">
        <v>86</v>
      </c>
    </row>
    <row r="22" spans="1:13" x14ac:dyDescent="0.25">
      <c r="A22" s="14" t="s">
        <v>57</v>
      </c>
      <c r="B22" s="14" t="s">
        <v>587</v>
      </c>
      <c r="C22" s="14" t="s">
        <v>588</v>
      </c>
      <c r="D22" s="14" t="s">
        <v>71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8">
        <v>16</v>
      </c>
      <c r="K22" s="14">
        <v>1</v>
      </c>
      <c r="L22" s="18">
        <v>153.09</v>
      </c>
      <c r="M22" s="14" t="s">
        <v>86</v>
      </c>
    </row>
    <row r="23" spans="1:13" x14ac:dyDescent="0.25">
      <c r="A23" s="14" t="s">
        <v>49</v>
      </c>
      <c r="B23" s="14" t="s">
        <v>589</v>
      </c>
      <c r="C23" s="14" t="s">
        <v>590</v>
      </c>
      <c r="D23" s="14" t="s">
        <v>67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8">
        <v>33</v>
      </c>
      <c r="K23" s="14">
        <v>1</v>
      </c>
      <c r="L23" s="18">
        <v>0</v>
      </c>
      <c r="M23" s="14" t="s">
        <v>86</v>
      </c>
    </row>
    <row r="24" spans="1:13" x14ac:dyDescent="0.25">
      <c r="A24" s="14" t="s">
        <v>53</v>
      </c>
      <c r="B24" s="14" t="s">
        <v>591</v>
      </c>
      <c r="C24" s="14" t="s">
        <v>592</v>
      </c>
      <c r="D24" s="14" t="s">
        <v>73</v>
      </c>
      <c r="E24" s="14">
        <v>0</v>
      </c>
      <c r="F24" s="14">
        <v>0</v>
      </c>
      <c r="G24" s="14">
        <v>0</v>
      </c>
      <c r="H24" s="14">
        <v>0</v>
      </c>
      <c r="I24" s="14">
        <v>1</v>
      </c>
      <c r="J24" s="18">
        <v>0</v>
      </c>
      <c r="K24" s="14">
        <v>0</v>
      </c>
      <c r="L24" s="18">
        <v>0</v>
      </c>
      <c r="M24" s="14" t="s">
        <v>86</v>
      </c>
    </row>
    <row r="25" spans="1:13" x14ac:dyDescent="0.25">
      <c r="A25" s="14" t="s">
        <v>41</v>
      </c>
      <c r="B25" s="14" t="s">
        <v>593</v>
      </c>
      <c r="C25" s="14" t="s">
        <v>594</v>
      </c>
      <c r="D25" s="14" t="s">
        <v>60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8">
        <v>0</v>
      </c>
      <c r="K25" s="14">
        <v>1</v>
      </c>
      <c r="L25" s="18">
        <v>161.75</v>
      </c>
      <c r="M25" s="14" t="s">
        <v>86</v>
      </c>
    </row>
    <row r="26" spans="1:13" x14ac:dyDescent="0.25">
      <c r="A26" s="14" t="s">
        <v>53</v>
      </c>
      <c r="B26" s="14" t="s">
        <v>595</v>
      </c>
      <c r="C26" s="14" t="s">
        <v>596</v>
      </c>
      <c r="D26" s="14" t="s">
        <v>50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0</v>
      </c>
      <c r="M26" s="14" t="s">
        <v>86</v>
      </c>
    </row>
    <row r="27" spans="1:13" x14ac:dyDescent="0.25">
      <c r="A27" s="14" t="s">
        <v>45</v>
      </c>
      <c r="B27" s="14" t="s">
        <v>597</v>
      </c>
      <c r="C27" s="14" t="s">
        <v>598</v>
      </c>
      <c r="D27" s="14" t="s">
        <v>62</v>
      </c>
      <c r="E27" s="14">
        <v>1</v>
      </c>
      <c r="F27" s="14">
        <v>0</v>
      </c>
      <c r="G27" s="14">
        <v>0</v>
      </c>
      <c r="H27" s="14">
        <v>0</v>
      </c>
      <c r="I27" s="14">
        <v>0</v>
      </c>
      <c r="J27" s="18">
        <v>0</v>
      </c>
      <c r="K27" s="14">
        <v>1</v>
      </c>
      <c r="L27" s="18">
        <v>52.47</v>
      </c>
      <c r="M27" s="14" t="s">
        <v>86</v>
      </c>
    </row>
    <row r="28" spans="1:13" x14ac:dyDescent="0.25">
      <c r="A28" s="14" t="s">
        <v>51</v>
      </c>
      <c r="B28" s="14" t="s">
        <v>599</v>
      </c>
      <c r="C28" s="14" t="s">
        <v>600</v>
      </c>
      <c r="D28" s="14" t="s">
        <v>71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8">
        <v>33</v>
      </c>
      <c r="K28" s="14">
        <v>1</v>
      </c>
      <c r="L28" s="18">
        <v>95.38</v>
      </c>
      <c r="M28" s="14" t="s">
        <v>86</v>
      </c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E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E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E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601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49</v>
      </c>
      <c r="B4" s="14" t="s">
        <v>193</v>
      </c>
      <c r="C4" s="14" t="s">
        <v>602</v>
      </c>
      <c r="D4" s="14" t="s">
        <v>40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8">
        <v>0</v>
      </c>
      <c r="K4" s="14">
        <v>1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15</v>
      </c>
      <c r="W4" s="14">
        <f t="shared" ref="W4:W15" si="6">SUMIF($A$4:$A$43,$P4,K$4:K$43)</f>
        <v>1</v>
      </c>
      <c r="X4" s="18">
        <f t="shared" ref="X4:X15" si="7">SUMIF($A$4:$A$43,$P4,L$4:L$43)</f>
        <v>3.66</v>
      </c>
    </row>
    <row r="5" spans="1:24" x14ac:dyDescent="0.25">
      <c r="A5" s="14" t="s">
        <v>49</v>
      </c>
      <c r="B5" s="14" t="s">
        <v>603</v>
      </c>
      <c r="C5" s="14" t="s">
        <v>604</v>
      </c>
      <c r="D5" s="14" t="s">
        <v>56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15</v>
      </c>
      <c r="K5" s="14">
        <v>1</v>
      </c>
      <c r="L5" s="18">
        <v>66.3</v>
      </c>
      <c r="M5" s="14" t="s">
        <v>86</v>
      </c>
      <c r="P5" s="14" t="str">
        <f>Setup!$A$5</f>
        <v>Expert 02</v>
      </c>
      <c r="Q5" s="14">
        <f t="shared" si="0"/>
        <v>2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33</v>
      </c>
      <c r="W5" s="14">
        <f t="shared" si="6"/>
        <v>2</v>
      </c>
      <c r="X5" s="18">
        <f t="shared" si="7"/>
        <v>7.49</v>
      </c>
    </row>
    <row r="6" spans="1:24" x14ac:dyDescent="0.25">
      <c r="A6" s="14" t="s">
        <v>41</v>
      </c>
      <c r="B6" s="14" t="s">
        <v>605</v>
      </c>
      <c r="C6" s="14" t="s">
        <v>606</v>
      </c>
      <c r="D6" s="14" t="s">
        <v>58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0</v>
      </c>
      <c r="M6" s="14" t="s">
        <v>111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1</v>
      </c>
      <c r="X6" s="18">
        <f t="shared" si="7"/>
        <v>0</v>
      </c>
    </row>
    <row r="7" spans="1:24" x14ac:dyDescent="0.25">
      <c r="A7" s="14" t="s">
        <v>47</v>
      </c>
      <c r="B7" s="14" t="s">
        <v>607</v>
      </c>
      <c r="C7" s="14" t="s">
        <v>608</v>
      </c>
      <c r="D7" s="14" t="s">
        <v>48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15</v>
      </c>
      <c r="K7" s="14">
        <v>1</v>
      </c>
      <c r="L7" s="18">
        <v>43.01</v>
      </c>
      <c r="M7" s="14" t="s">
        <v>86</v>
      </c>
      <c r="P7" s="14" t="str">
        <f>Setup!$A$7</f>
        <v>Expert 04</v>
      </c>
      <c r="Q7" s="14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0</v>
      </c>
      <c r="X7" s="18">
        <f t="shared" si="7"/>
        <v>0</v>
      </c>
    </row>
    <row r="8" spans="1:24" x14ac:dyDescent="0.25">
      <c r="A8" s="14" t="s">
        <v>59</v>
      </c>
      <c r="B8" s="14" t="s">
        <v>609</v>
      </c>
      <c r="C8" s="14" t="s">
        <v>610</v>
      </c>
      <c r="D8" s="14" t="s">
        <v>68</v>
      </c>
      <c r="E8" s="14">
        <v>0</v>
      </c>
      <c r="F8" s="14">
        <v>1</v>
      </c>
      <c r="G8" s="14">
        <v>0</v>
      </c>
      <c r="H8" s="14">
        <v>1</v>
      </c>
      <c r="I8" s="14">
        <v>0</v>
      </c>
      <c r="J8" s="18">
        <v>0</v>
      </c>
      <c r="K8" s="14">
        <v>1</v>
      </c>
      <c r="L8" s="18">
        <v>20.85</v>
      </c>
      <c r="M8" s="14" t="s">
        <v>86</v>
      </c>
      <c r="P8" s="14" t="str">
        <f>Setup!$A$8</f>
        <v>Expert 05</v>
      </c>
      <c r="Q8" s="14">
        <f t="shared" si="0"/>
        <v>1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15</v>
      </c>
      <c r="W8" s="14">
        <f t="shared" si="6"/>
        <v>1</v>
      </c>
      <c r="X8" s="18">
        <f t="shared" si="7"/>
        <v>43.01</v>
      </c>
    </row>
    <row r="9" spans="1:24" x14ac:dyDescent="0.25">
      <c r="A9" s="14" t="s">
        <v>57</v>
      </c>
      <c r="B9" s="14" t="s">
        <v>611</v>
      </c>
      <c r="C9" s="14" t="s">
        <v>612</v>
      </c>
      <c r="D9" s="14" t="s">
        <v>73</v>
      </c>
      <c r="E9" s="14">
        <v>0</v>
      </c>
      <c r="F9" s="14">
        <v>0</v>
      </c>
      <c r="G9" s="14">
        <v>0</v>
      </c>
      <c r="H9" s="14">
        <v>0</v>
      </c>
      <c r="I9" s="14">
        <v>1</v>
      </c>
      <c r="J9" s="18">
        <v>0</v>
      </c>
      <c r="K9" s="14">
        <v>0</v>
      </c>
      <c r="L9" s="18">
        <v>24.89</v>
      </c>
      <c r="M9" s="14" t="s">
        <v>111</v>
      </c>
      <c r="P9" s="14" t="str">
        <f>Setup!$A$9</f>
        <v>Expert 06</v>
      </c>
      <c r="Q9" s="14">
        <f t="shared" si="0"/>
        <v>3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39</v>
      </c>
      <c r="W9" s="14">
        <f t="shared" si="6"/>
        <v>5</v>
      </c>
      <c r="X9" s="18">
        <f t="shared" si="7"/>
        <v>312.42999999999995</v>
      </c>
    </row>
    <row r="10" spans="1:24" x14ac:dyDescent="0.25">
      <c r="A10" s="14" t="s">
        <v>55</v>
      </c>
      <c r="B10" s="14" t="s">
        <v>613</v>
      </c>
      <c r="C10" s="14" t="s">
        <v>614</v>
      </c>
      <c r="D10" s="14" t="s">
        <v>56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0</v>
      </c>
      <c r="W10" s="14">
        <f t="shared" si="6"/>
        <v>0</v>
      </c>
      <c r="X10" s="18">
        <f t="shared" si="7"/>
        <v>0</v>
      </c>
    </row>
    <row r="11" spans="1:24" x14ac:dyDescent="0.25">
      <c r="A11" s="14" t="s">
        <v>49</v>
      </c>
      <c r="B11" s="14" t="s">
        <v>615</v>
      </c>
      <c r="C11" s="14" t="s">
        <v>616</v>
      </c>
      <c r="D11" s="14" t="s">
        <v>68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24</v>
      </c>
      <c r="K11" s="14">
        <v>1</v>
      </c>
      <c r="L11" s="18">
        <v>136.79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0</v>
      </c>
      <c r="W11" s="14">
        <f t="shared" si="6"/>
        <v>0</v>
      </c>
      <c r="X11" s="18">
        <f t="shared" si="7"/>
        <v>0</v>
      </c>
    </row>
    <row r="12" spans="1:24" x14ac:dyDescent="0.25">
      <c r="A12" s="14" t="s">
        <v>61</v>
      </c>
      <c r="B12" s="14" t="s">
        <v>617</v>
      </c>
      <c r="C12" s="14" t="s">
        <v>618</v>
      </c>
      <c r="D12" s="14" t="s">
        <v>68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8">
        <v>33</v>
      </c>
      <c r="K12" s="14">
        <v>1</v>
      </c>
      <c r="L12" s="18">
        <v>148.35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33</v>
      </c>
      <c r="W12" s="14">
        <f t="shared" si="6"/>
        <v>2</v>
      </c>
      <c r="X12" s="18">
        <f t="shared" si="7"/>
        <v>195.78</v>
      </c>
    </row>
    <row r="13" spans="1:24" x14ac:dyDescent="0.25">
      <c r="A13" s="14" t="s">
        <v>49</v>
      </c>
      <c r="B13" s="14" t="s">
        <v>619</v>
      </c>
      <c r="C13" s="14" t="s">
        <v>620</v>
      </c>
      <c r="D13" s="14" t="s">
        <v>64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1</v>
      </c>
      <c r="V13" s="18">
        <f t="shared" si="5"/>
        <v>0</v>
      </c>
      <c r="W13" s="14">
        <f t="shared" si="6"/>
        <v>0</v>
      </c>
      <c r="X13" s="18">
        <f t="shared" si="7"/>
        <v>24.89</v>
      </c>
    </row>
    <row r="14" spans="1:24" x14ac:dyDescent="0.25">
      <c r="A14" s="14" t="s">
        <v>59</v>
      </c>
      <c r="B14" s="14" t="s">
        <v>621</v>
      </c>
      <c r="C14" s="14" t="s">
        <v>622</v>
      </c>
      <c r="D14" s="14" t="s">
        <v>68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48.26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1</v>
      </c>
      <c r="S14" s="14">
        <f t="shared" si="2"/>
        <v>0</v>
      </c>
      <c r="T14" s="14">
        <f t="shared" si="3"/>
        <v>1</v>
      </c>
      <c r="U14" s="14">
        <f t="shared" si="4"/>
        <v>1</v>
      </c>
      <c r="V14" s="18">
        <f t="shared" si="5"/>
        <v>0</v>
      </c>
      <c r="W14" s="14">
        <f t="shared" si="6"/>
        <v>2</v>
      </c>
      <c r="X14" s="18">
        <f t="shared" si="7"/>
        <v>128.87</v>
      </c>
    </row>
    <row r="15" spans="1:24" x14ac:dyDescent="0.25">
      <c r="A15" s="14" t="s">
        <v>55</v>
      </c>
      <c r="B15" s="14" t="s">
        <v>623</v>
      </c>
      <c r="C15" s="14" t="s">
        <v>624</v>
      </c>
      <c r="D15" s="14" t="s">
        <v>77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0</v>
      </c>
      <c r="L15" s="18">
        <v>149.04</v>
      </c>
      <c r="M15" s="14" t="s">
        <v>86</v>
      </c>
      <c r="P15" s="14" t="str">
        <f>Setup!$A$15</f>
        <v>Expert 12</v>
      </c>
      <c r="Q15" s="14">
        <f t="shared" si="0"/>
        <v>0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33</v>
      </c>
      <c r="W15" s="14">
        <f t="shared" si="6"/>
        <v>1</v>
      </c>
      <c r="X15" s="18">
        <f t="shared" si="7"/>
        <v>148.35</v>
      </c>
    </row>
    <row r="16" spans="1:24" x14ac:dyDescent="0.25">
      <c r="A16" s="14" t="s">
        <v>49</v>
      </c>
      <c r="B16" s="14" t="s">
        <v>625</v>
      </c>
      <c r="C16" s="14" t="s">
        <v>626</v>
      </c>
      <c r="D16" s="14" t="s">
        <v>62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109.34</v>
      </c>
      <c r="M16" s="14" t="s">
        <v>86</v>
      </c>
      <c r="P16" s="19" t="s">
        <v>112</v>
      </c>
      <c r="Q16" s="20">
        <f t="shared" ref="Q16:X16" si="8">SUM(Q4:Q15)</f>
        <v>9</v>
      </c>
      <c r="R16" s="20">
        <f t="shared" si="8"/>
        <v>2</v>
      </c>
      <c r="S16" s="20">
        <f t="shared" si="8"/>
        <v>0</v>
      </c>
      <c r="T16" s="20">
        <f t="shared" si="8"/>
        <v>1</v>
      </c>
      <c r="U16" s="20">
        <f t="shared" si="8"/>
        <v>2</v>
      </c>
      <c r="V16" s="21">
        <f t="shared" si="8"/>
        <v>168</v>
      </c>
      <c r="W16" s="20">
        <f t="shared" si="8"/>
        <v>15</v>
      </c>
      <c r="X16" s="21">
        <f t="shared" si="8"/>
        <v>864.4799999999999</v>
      </c>
    </row>
    <row r="17" spans="1:13" x14ac:dyDescent="0.25">
      <c r="A17" s="14" t="s">
        <v>43</v>
      </c>
      <c r="B17" s="14" t="s">
        <v>627</v>
      </c>
      <c r="C17" s="14" t="s">
        <v>628</v>
      </c>
      <c r="D17" s="14" t="s">
        <v>63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0</v>
      </c>
      <c r="M17" s="14" t="s">
        <v>86</v>
      </c>
    </row>
    <row r="18" spans="1:13" x14ac:dyDescent="0.25">
      <c r="A18" s="14" t="s">
        <v>41</v>
      </c>
      <c r="B18" s="14" t="s">
        <v>629</v>
      </c>
      <c r="C18" s="14" t="s">
        <v>630</v>
      </c>
      <c r="D18" s="14" t="s">
        <v>68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8">
        <v>33</v>
      </c>
      <c r="K18" s="14">
        <v>1</v>
      </c>
      <c r="L18" s="18">
        <v>7.49</v>
      </c>
      <c r="M18" s="14" t="s">
        <v>86</v>
      </c>
    </row>
    <row r="19" spans="1:13" x14ac:dyDescent="0.25">
      <c r="A19" s="14" t="s">
        <v>39</v>
      </c>
      <c r="B19" s="14" t="s">
        <v>631</v>
      </c>
      <c r="C19" s="14" t="s">
        <v>632</v>
      </c>
      <c r="D19" s="14" t="s">
        <v>56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15</v>
      </c>
      <c r="K19" s="14">
        <v>1</v>
      </c>
      <c r="L19" s="18">
        <v>3.66</v>
      </c>
      <c r="M19" s="14" t="s">
        <v>86</v>
      </c>
    </row>
    <row r="20" spans="1:13" x14ac:dyDescent="0.25">
      <c r="A20" s="14" t="s">
        <v>59</v>
      </c>
      <c r="B20" s="14" t="s">
        <v>633</v>
      </c>
      <c r="C20" s="14" t="s">
        <v>634</v>
      </c>
      <c r="D20" s="14" t="s">
        <v>74</v>
      </c>
      <c r="E20" s="14">
        <v>0</v>
      </c>
      <c r="F20" s="14">
        <v>0</v>
      </c>
      <c r="G20" s="14">
        <v>0</v>
      </c>
      <c r="H20" s="14">
        <v>0</v>
      </c>
      <c r="I20" s="14">
        <v>1</v>
      </c>
      <c r="J20" s="18">
        <v>0</v>
      </c>
      <c r="K20" s="14">
        <v>0</v>
      </c>
      <c r="L20" s="18">
        <v>59.76</v>
      </c>
      <c r="M20" s="14" t="s">
        <v>86</v>
      </c>
    </row>
    <row r="21" spans="1:13" x14ac:dyDescent="0.25">
      <c r="A21" s="14" t="s">
        <v>55</v>
      </c>
      <c r="B21" s="14" t="s">
        <v>635</v>
      </c>
      <c r="C21" s="14" t="s">
        <v>636</v>
      </c>
      <c r="D21" s="14" t="s">
        <v>67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8">
        <v>33</v>
      </c>
      <c r="K21" s="14">
        <v>1</v>
      </c>
      <c r="L21" s="18">
        <v>46.74</v>
      </c>
      <c r="M21" s="14" t="s">
        <v>86</v>
      </c>
    </row>
    <row r="22" spans="1:13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8"/>
      <c r="K22" s="14"/>
      <c r="L22" s="18"/>
      <c r="M22" s="14"/>
    </row>
    <row r="23" spans="1:13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8"/>
      <c r="K23" s="14"/>
      <c r="L23" s="18"/>
      <c r="M23" s="14"/>
    </row>
    <row r="24" spans="1:13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8"/>
      <c r="K24" s="14"/>
      <c r="L24" s="18"/>
      <c r="M24" s="14"/>
    </row>
    <row r="25" spans="1:13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8"/>
      <c r="K25" s="14"/>
      <c r="L25" s="18"/>
      <c r="M25" s="14"/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8"/>
      <c r="K26" s="14"/>
      <c r="L26" s="18"/>
      <c r="M26" s="14"/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0F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0F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0F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637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57</v>
      </c>
      <c r="B4" s="14" t="s">
        <v>638</v>
      </c>
      <c r="C4" s="14" t="s">
        <v>639</v>
      </c>
      <c r="D4" s="14" t="s">
        <v>54</v>
      </c>
      <c r="E4" s="14">
        <v>0</v>
      </c>
      <c r="F4" s="14">
        <v>1</v>
      </c>
      <c r="G4" s="14">
        <v>0</v>
      </c>
      <c r="H4" s="14">
        <v>0</v>
      </c>
      <c r="I4" s="14">
        <v>0</v>
      </c>
      <c r="J4" s="18">
        <v>24</v>
      </c>
      <c r="K4" s="14">
        <v>1</v>
      </c>
      <c r="L4" s="18">
        <v>0</v>
      </c>
      <c r="M4" s="14" t="s">
        <v>111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0</v>
      </c>
      <c r="X4" s="18">
        <f t="shared" ref="X4:X15" si="7">SUMIF($A$4:$A$43,$P4,L$4:L$43)</f>
        <v>0</v>
      </c>
    </row>
    <row r="5" spans="1:24" x14ac:dyDescent="0.25">
      <c r="A5" s="14" t="s">
        <v>47</v>
      </c>
      <c r="B5" s="14" t="s">
        <v>640</v>
      </c>
      <c r="C5" s="14" t="s">
        <v>641</v>
      </c>
      <c r="D5" s="14" t="s">
        <v>72</v>
      </c>
      <c r="E5" s="14">
        <v>0</v>
      </c>
      <c r="F5" s="14">
        <v>1</v>
      </c>
      <c r="G5" s="14">
        <v>0</v>
      </c>
      <c r="H5" s="14">
        <v>0</v>
      </c>
      <c r="I5" s="14">
        <v>0</v>
      </c>
      <c r="J5" s="18">
        <v>18</v>
      </c>
      <c r="K5" s="14">
        <v>1</v>
      </c>
      <c r="L5" s="18">
        <v>43.51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2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32</v>
      </c>
      <c r="W5" s="14">
        <f t="shared" si="6"/>
        <v>3</v>
      </c>
      <c r="X5" s="18">
        <f t="shared" si="7"/>
        <v>189.58</v>
      </c>
    </row>
    <row r="6" spans="1:24" x14ac:dyDescent="0.25">
      <c r="A6" s="14" t="s">
        <v>47</v>
      </c>
      <c r="B6" s="14" t="s">
        <v>642</v>
      </c>
      <c r="C6" s="14" t="s">
        <v>643</v>
      </c>
      <c r="D6" s="14" t="s">
        <v>63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8">
        <v>16</v>
      </c>
      <c r="K6" s="14">
        <v>1</v>
      </c>
      <c r="L6" s="18">
        <v>20.59</v>
      </c>
      <c r="M6" s="14" t="s">
        <v>86</v>
      </c>
      <c r="P6" s="14" t="str">
        <f>Setup!$A$6</f>
        <v>Expert 03</v>
      </c>
      <c r="Q6" s="14">
        <f t="shared" si="0"/>
        <v>0</v>
      </c>
      <c r="R6" s="14">
        <f t="shared" si="1"/>
        <v>2</v>
      </c>
      <c r="S6" s="14">
        <f t="shared" si="2"/>
        <v>1</v>
      </c>
      <c r="T6" s="14">
        <f t="shared" si="3"/>
        <v>0</v>
      </c>
      <c r="U6" s="14">
        <f t="shared" si="4"/>
        <v>1</v>
      </c>
      <c r="V6" s="18">
        <f t="shared" si="5"/>
        <v>39</v>
      </c>
      <c r="W6" s="14">
        <f t="shared" si="6"/>
        <v>2</v>
      </c>
      <c r="X6" s="18">
        <f t="shared" si="7"/>
        <v>35.35</v>
      </c>
    </row>
    <row r="7" spans="1:24" x14ac:dyDescent="0.25">
      <c r="A7" s="14" t="s">
        <v>55</v>
      </c>
      <c r="B7" s="14" t="s">
        <v>644</v>
      </c>
      <c r="C7" s="14" t="s">
        <v>645</v>
      </c>
      <c r="D7" s="14" t="s">
        <v>72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58.67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1</v>
      </c>
      <c r="X7" s="18">
        <f t="shared" si="7"/>
        <v>0</v>
      </c>
    </row>
    <row r="8" spans="1:24" x14ac:dyDescent="0.25">
      <c r="A8" s="14" t="s">
        <v>47</v>
      </c>
      <c r="B8" s="14" t="s">
        <v>646</v>
      </c>
      <c r="C8" s="14" t="s">
        <v>647</v>
      </c>
      <c r="D8" s="14" t="s">
        <v>67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1</v>
      </c>
      <c r="R8" s="14">
        <f t="shared" si="1"/>
        <v>2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34</v>
      </c>
      <c r="W8" s="14">
        <f t="shared" si="6"/>
        <v>3</v>
      </c>
      <c r="X8" s="18">
        <f t="shared" si="7"/>
        <v>64.099999999999994</v>
      </c>
    </row>
    <row r="9" spans="1:24" x14ac:dyDescent="0.25">
      <c r="A9" s="14" t="s">
        <v>53</v>
      </c>
      <c r="B9" s="14" t="s">
        <v>648</v>
      </c>
      <c r="C9" s="14" t="s">
        <v>649</v>
      </c>
      <c r="D9" s="14" t="s">
        <v>74</v>
      </c>
      <c r="E9" s="14">
        <v>0</v>
      </c>
      <c r="F9" s="14">
        <v>0</v>
      </c>
      <c r="G9" s="14">
        <v>0</v>
      </c>
      <c r="H9" s="14">
        <v>0</v>
      </c>
      <c r="I9" s="14">
        <v>1</v>
      </c>
      <c r="J9" s="18">
        <v>0</v>
      </c>
      <c r="K9" s="14">
        <v>0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1</v>
      </c>
      <c r="X9" s="18">
        <f t="shared" si="7"/>
        <v>138.02000000000001</v>
      </c>
    </row>
    <row r="10" spans="1:24" x14ac:dyDescent="0.25">
      <c r="A10" s="14" t="s">
        <v>61</v>
      </c>
      <c r="B10" s="14" t="s">
        <v>650</v>
      </c>
      <c r="C10" s="14" t="s">
        <v>651</v>
      </c>
      <c r="D10" s="14" t="s">
        <v>64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1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33</v>
      </c>
      <c r="W10" s="14">
        <f t="shared" si="6"/>
        <v>1</v>
      </c>
      <c r="X10" s="18">
        <f t="shared" si="7"/>
        <v>0</v>
      </c>
    </row>
    <row r="11" spans="1:24" x14ac:dyDescent="0.25">
      <c r="A11" s="14" t="s">
        <v>51</v>
      </c>
      <c r="B11" s="14" t="s">
        <v>652</v>
      </c>
      <c r="C11" s="14" t="s">
        <v>653</v>
      </c>
      <c r="D11" s="14" t="s">
        <v>64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33</v>
      </c>
      <c r="K11" s="14">
        <v>1</v>
      </c>
      <c r="L11" s="18">
        <v>0</v>
      </c>
      <c r="M11" s="14" t="s">
        <v>111</v>
      </c>
      <c r="P11" s="14" t="str">
        <f>Setup!$A$11</f>
        <v>Expert 08</v>
      </c>
      <c r="Q11" s="14">
        <f t="shared" si="0"/>
        <v>2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1</v>
      </c>
      <c r="V11" s="18">
        <f t="shared" si="5"/>
        <v>24</v>
      </c>
      <c r="W11" s="14">
        <f t="shared" si="6"/>
        <v>2</v>
      </c>
      <c r="X11" s="18">
        <f t="shared" si="7"/>
        <v>41.07</v>
      </c>
    </row>
    <row r="12" spans="1:24" x14ac:dyDescent="0.25">
      <c r="A12" s="14" t="s">
        <v>55</v>
      </c>
      <c r="B12" s="14" t="s">
        <v>654</v>
      </c>
      <c r="C12" s="14" t="s">
        <v>655</v>
      </c>
      <c r="D12" s="14" t="s">
        <v>46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2</v>
      </c>
      <c r="X12" s="18">
        <f t="shared" si="7"/>
        <v>58.67</v>
      </c>
    </row>
    <row r="13" spans="1:24" x14ac:dyDescent="0.25">
      <c r="A13" s="14" t="s">
        <v>41</v>
      </c>
      <c r="B13" s="14" t="s">
        <v>656</v>
      </c>
      <c r="C13" s="14" t="s">
        <v>657</v>
      </c>
      <c r="D13" s="14" t="s">
        <v>77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8">
        <v>16</v>
      </c>
      <c r="K13" s="14">
        <v>0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1</v>
      </c>
      <c r="R13" s="14">
        <f t="shared" si="1"/>
        <v>1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40</v>
      </c>
      <c r="W13" s="14">
        <f t="shared" si="6"/>
        <v>3</v>
      </c>
      <c r="X13" s="18">
        <f t="shared" si="7"/>
        <v>54.74</v>
      </c>
    </row>
    <row r="14" spans="1:24" x14ac:dyDescent="0.25">
      <c r="A14" s="14" t="s">
        <v>61</v>
      </c>
      <c r="B14" s="14" t="s">
        <v>658</v>
      </c>
      <c r="C14" s="14" t="s">
        <v>659</v>
      </c>
      <c r="D14" s="14" t="s">
        <v>42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1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0</v>
      </c>
      <c r="W14" s="14">
        <f t="shared" si="6"/>
        <v>2</v>
      </c>
      <c r="X14" s="18">
        <f t="shared" si="7"/>
        <v>153.31</v>
      </c>
    </row>
    <row r="15" spans="1:24" x14ac:dyDescent="0.25">
      <c r="A15" s="14" t="s">
        <v>43</v>
      </c>
      <c r="B15" s="14" t="s">
        <v>660</v>
      </c>
      <c r="C15" s="14" t="s">
        <v>661</v>
      </c>
      <c r="D15" s="14" t="s">
        <v>52</v>
      </c>
      <c r="E15" s="14">
        <v>0</v>
      </c>
      <c r="F15" s="14">
        <v>1</v>
      </c>
      <c r="G15" s="14">
        <v>1</v>
      </c>
      <c r="H15" s="14">
        <v>0</v>
      </c>
      <c r="I15" s="14">
        <v>0</v>
      </c>
      <c r="J15" s="18">
        <v>0</v>
      </c>
      <c r="K15" s="14">
        <v>1</v>
      </c>
      <c r="L15" s="18">
        <v>11.1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0</v>
      </c>
      <c r="W15" s="14">
        <f t="shared" si="6"/>
        <v>2</v>
      </c>
      <c r="X15" s="18">
        <f t="shared" si="7"/>
        <v>0</v>
      </c>
    </row>
    <row r="16" spans="1:24" x14ac:dyDescent="0.25">
      <c r="A16" s="14" t="s">
        <v>53</v>
      </c>
      <c r="B16" s="14" t="s">
        <v>662</v>
      </c>
      <c r="C16" s="14" t="s">
        <v>663</v>
      </c>
      <c r="D16" s="14" t="s">
        <v>54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24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10</v>
      </c>
      <c r="R16" s="20">
        <f t="shared" si="8"/>
        <v>8</v>
      </c>
      <c r="S16" s="20">
        <f t="shared" si="8"/>
        <v>1</v>
      </c>
      <c r="T16" s="20">
        <f t="shared" si="8"/>
        <v>0</v>
      </c>
      <c r="U16" s="20">
        <f t="shared" si="8"/>
        <v>2</v>
      </c>
      <c r="V16" s="21">
        <f t="shared" si="8"/>
        <v>202</v>
      </c>
      <c r="W16" s="20">
        <f t="shared" si="8"/>
        <v>22</v>
      </c>
      <c r="X16" s="21">
        <f t="shared" si="8"/>
        <v>734.83999999999992</v>
      </c>
    </row>
    <row r="17" spans="1:13" x14ac:dyDescent="0.25">
      <c r="A17" s="14" t="s">
        <v>57</v>
      </c>
      <c r="B17" s="14" t="s">
        <v>664</v>
      </c>
      <c r="C17" s="14" t="s">
        <v>665</v>
      </c>
      <c r="D17" s="14" t="s">
        <v>70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8">
        <v>16</v>
      </c>
      <c r="K17" s="14">
        <v>1</v>
      </c>
      <c r="L17" s="18">
        <v>0</v>
      </c>
      <c r="M17" s="14" t="s">
        <v>86</v>
      </c>
    </row>
    <row r="18" spans="1:13" x14ac:dyDescent="0.25">
      <c r="A18" s="14" t="s">
        <v>43</v>
      </c>
      <c r="B18" s="14" t="s">
        <v>666</v>
      </c>
      <c r="C18" s="14" t="s">
        <v>667</v>
      </c>
      <c r="D18" s="14" t="s">
        <v>73</v>
      </c>
      <c r="E18" s="14">
        <v>0</v>
      </c>
      <c r="F18" s="14">
        <v>1</v>
      </c>
      <c r="G18" s="14">
        <v>0</v>
      </c>
      <c r="H18" s="14">
        <v>0</v>
      </c>
      <c r="I18" s="14">
        <v>1</v>
      </c>
      <c r="J18" s="18">
        <v>15</v>
      </c>
      <c r="K18" s="14">
        <v>0</v>
      </c>
      <c r="L18" s="18">
        <v>0</v>
      </c>
      <c r="M18" s="14" t="s">
        <v>86</v>
      </c>
    </row>
    <row r="19" spans="1:13" x14ac:dyDescent="0.25">
      <c r="A19" s="14" t="s">
        <v>43</v>
      </c>
      <c r="B19" s="14" t="s">
        <v>668</v>
      </c>
      <c r="C19" s="14" t="s">
        <v>669</v>
      </c>
      <c r="D19" s="14" t="s">
        <v>42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8">
        <v>24</v>
      </c>
      <c r="K19" s="14">
        <v>1</v>
      </c>
      <c r="L19" s="18">
        <v>24.25</v>
      </c>
      <c r="M19" s="14" t="s">
        <v>86</v>
      </c>
    </row>
    <row r="20" spans="1:13" x14ac:dyDescent="0.25">
      <c r="A20" s="14" t="s">
        <v>57</v>
      </c>
      <c r="B20" s="14" t="s">
        <v>670</v>
      </c>
      <c r="C20" s="14" t="s">
        <v>671</v>
      </c>
      <c r="D20" s="14" t="s">
        <v>70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54.74</v>
      </c>
      <c r="M20" s="14" t="s">
        <v>86</v>
      </c>
    </row>
    <row r="21" spans="1:13" x14ac:dyDescent="0.25">
      <c r="A21" s="14" t="s">
        <v>53</v>
      </c>
      <c r="B21" s="14" t="s">
        <v>672</v>
      </c>
      <c r="C21" s="14" t="s">
        <v>673</v>
      </c>
      <c r="D21" s="14" t="s">
        <v>75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0</v>
      </c>
      <c r="L21" s="18">
        <v>31.51</v>
      </c>
      <c r="M21" s="14" t="s">
        <v>86</v>
      </c>
    </row>
    <row r="22" spans="1:13" x14ac:dyDescent="0.25">
      <c r="A22" s="14" t="s">
        <v>49</v>
      </c>
      <c r="B22" s="14" t="s">
        <v>674</v>
      </c>
      <c r="C22" s="14" t="s">
        <v>675</v>
      </c>
      <c r="D22" s="14" t="s">
        <v>48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138.02000000000001</v>
      </c>
      <c r="M22" s="14" t="s">
        <v>86</v>
      </c>
    </row>
    <row r="23" spans="1:13" x14ac:dyDescent="0.25">
      <c r="A23" s="14" t="s">
        <v>53</v>
      </c>
      <c r="B23" s="14" t="s">
        <v>676</v>
      </c>
      <c r="C23" s="14" t="s">
        <v>677</v>
      </c>
      <c r="D23" s="14" t="s">
        <v>67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9.56</v>
      </c>
      <c r="M23" s="14" t="s">
        <v>86</v>
      </c>
    </row>
    <row r="24" spans="1:13" x14ac:dyDescent="0.25">
      <c r="A24" s="14" t="s">
        <v>41</v>
      </c>
      <c r="B24" s="14" t="s">
        <v>678</v>
      </c>
      <c r="C24" s="14" t="s">
        <v>679</v>
      </c>
      <c r="D24" s="14" t="s">
        <v>64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8">
        <v>16</v>
      </c>
      <c r="K24" s="14">
        <v>1</v>
      </c>
      <c r="L24" s="18">
        <v>11.03</v>
      </c>
      <c r="M24" s="14" t="s">
        <v>86</v>
      </c>
    </row>
    <row r="25" spans="1:13" x14ac:dyDescent="0.25">
      <c r="A25" s="14" t="s">
        <v>61</v>
      </c>
      <c r="B25" s="14" t="s">
        <v>680</v>
      </c>
      <c r="C25" s="14" t="s">
        <v>681</v>
      </c>
      <c r="D25" s="14" t="s">
        <v>77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8">
        <v>0</v>
      </c>
      <c r="K25" s="14">
        <v>0</v>
      </c>
      <c r="L25" s="18">
        <v>0</v>
      </c>
      <c r="M25" s="14" t="s">
        <v>86</v>
      </c>
    </row>
    <row r="26" spans="1:13" x14ac:dyDescent="0.25">
      <c r="A26" s="14" t="s">
        <v>41</v>
      </c>
      <c r="B26" s="14" t="s">
        <v>682</v>
      </c>
      <c r="C26" s="14" t="s">
        <v>683</v>
      </c>
      <c r="D26" s="14" t="s">
        <v>56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178.55</v>
      </c>
      <c r="M26" s="14" t="s">
        <v>86</v>
      </c>
    </row>
    <row r="27" spans="1:13" x14ac:dyDescent="0.25">
      <c r="A27" s="14" t="s">
        <v>59</v>
      </c>
      <c r="B27" s="14" t="s">
        <v>684</v>
      </c>
      <c r="C27" s="14" t="s">
        <v>685</v>
      </c>
      <c r="D27" s="14" t="s">
        <v>40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8">
        <v>0</v>
      </c>
      <c r="K27" s="14">
        <v>1</v>
      </c>
      <c r="L27" s="18">
        <v>0</v>
      </c>
      <c r="M27" s="14" t="s">
        <v>86</v>
      </c>
    </row>
    <row r="28" spans="1:13" x14ac:dyDescent="0.25">
      <c r="A28" s="14" t="s">
        <v>41</v>
      </c>
      <c r="B28" s="14" t="s">
        <v>686</v>
      </c>
      <c r="C28" s="14" t="s">
        <v>687</v>
      </c>
      <c r="D28" s="14" t="s">
        <v>56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8">
        <v>0</v>
      </c>
      <c r="K28" s="14">
        <v>1</v>
      </c>
      <c r="L28" s="18">
        <v>0</v>
      </c>
      <c r="M28" s="14" t="s">
        <v>86</v>
      </c>
    </row>
    <row r="29" spans="1:13" x14ac:dyDescent="0.25">
      <c r="A29" s="14" t="s">
        <v>59</v>
      </c>
      <c r="B29" s="14" t="s">
        <v>688</v>
      </c>
      <c r="C29" s="14" t="s">
        <v>689</v>
      </c>
      <c r="D29" s="14" t="s">
        <v>42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0</v>
      </c>
      <c r="K29" s="14">
        <v>1</v>
      </c>
      <c r="L29" s="18">
        <v>153.31</v>
      </c>
      <c r="M29" s="14" t="s">
        <v>86</v>
      </c>
    </row>
    <row r="30" spans="1:13" x14ac:dyDescent="0.25">
      <c r="A30" s="14" t="s">
        <v>45</v>
      </c>
      <c r="B30" s="14" t="s">
        <v>690</v>
      </c>
      <c r="C30" s="14" t="s">
        <v>691</v>
      </c>
      <c r="D30" s="14" t="s">
        <v>70</v>
      </c>
      <c r="E30" s="14">
        <v>1</v>
      </c>
      <c r="F30" s="14">
        <v>0</v>
      </c>
      <c r="G30" s="14">
        <v>0</v>
      </c>
      <c r="H30" s="14">
        <v>0</v>
      </c>
      <c r="I30" s="14">
        <v>0</v>
      </c>
      <c r="J30" s="18">
        <v>0</v>
      </c>
      <c r="K30" s="14">
        <v>1</v>
      </c>
      <c r="L30" s="18">
        <v>0</v>
      </c>
      <c r="M30" s="14" t="s">
        <v>111</v>
      </c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0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0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0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692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53</v>
      </c>
      <c r="B4" s="14" t="s">
        <v>693</v>
      </c>
      <c r="C4" s="14" t="s">
        <v>694</v>
      </c>
      <c r="D4" s="14" t="s">
        <v>64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16</v>
      </c>
      <c r="K4" s="14">
        <v>1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2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24</v>
      </c>
      <c r="W4" s="14">
        <f t="shared" ref="W4:W15" si="6">SUMIF($A$4:$A$43,$P4,K$4:K$43)</f>
        <v>3</v>
      </c>
      <c r="X4" s="18">
        <f t="shared" ref="X4:X15" si="7">SUMIF($A$4:$A$43,$P4,L$4:L$43)</f>
        <v>154.27000000000001</v>
      </c>
    </row>
    <row r="5" spans="1:24" x14ac:dyDescent="0.25">
      <c r="A5" s="14" t="s">
        <v>43</v>
      </c>
      <c r="B5" s="14" t="s">
        <v>695</v>
      </c>
      <c r="C5" s="14" t="s">
        <v>696</v>
      </c>
      <c r="D5" s="14" t="s">
        <v>60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22.21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1</v>
      </c>
      <c r="S5" s="14">
        <f t="shared" si="2"/>
        <v>0</v>
      </c>
      <c r="T5" s="14">
        <f t="shared" si="3"/>
        <v>1</v>
      </c>
      <c r="U5" s="14">
        <f t="shared" si="4"/>
        <v>0</v>
      </c>
      <c r="V5" s="18">
        <f t="shared" si="5"/>
        <v>24</v>
      </c>
      <c r="W5" s="14">
        <f t="shared" si="6"/>
        <v>2</v>
      </c>
      <c r="X5" s="18">
        <f t="shared" si="7"/>
        <v>181.75</v>
      </c>
    </row>
    <row r="6" spans="1:24" x14ac:dyDescent="0.25">
      <c r="A6" s="14" t="s">
        <v>39</v>
      </c>
      <c r="B6" s="14" t="s">
        <v>697</v>
      </c>
      <c r="C6" s="14" t="s">
        <v>698</v>
      </c>
      <c r="D6" s="14" t="s">
        <v>40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3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33</v>
      </c>
      <c r="W6" s="14">
        <f t="shared" si="6"/>
        <v>3</v>
      </c>
      <c r="X6" s="18">
        <f t="shared" si="7"/>
        <v>22.77</v>
      </c>
    </row>
    <row r="7" spans="1:24" x14ac:dyDescent="0.25">
      <c r="A7" s="14" t="s">
        <v>43</v>
      </c>
      <c r="B7" s="14" t="s">
        <v>699</v>
      </c>
      <c r="C7" s="14" t="s">
        <v>700</v>
      </c>
      <c r="D7" s="14" t="s">
        <v>62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18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1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39</v>
      </c>
      <c r="W7" s="14">
        <f t="shared" si="6"/>
        <v>3</v>
      </c>
      <c r="X7" s="18">
        <f t="shared" si="7"/>
        <v>153.89999999999998</v>
      </c>
    </row>
    <row r="8" spans="1:24" x14ac:dyDescent="0.25">
      <c r="A8" s="14" t="s">
        <v>43</v>
      </c>
      <c r="B8" s="14" t="s">
        <v>701</v>
      </c>
      <c r="C8" s="14" t="s">
        <v>702</v>
      </c>
      <c r="D8" s="14" t="s">
        <v>42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15</v>
      </c>
      <c r="K8" s="14">
        <v>1</v>
      </c>
      <c r="L8" s="18">
        <v>0.56000000000000005</v>
      </c>
      <c r="M8" s="14" t="s">
        <v>86</v>
      </c>
      <c r="P8" s="14" t="str">
        <f>Setup!$A$8</f>
        <v>Expert 05</v>
      </c>
      <c r="Q8" s="14">
        <f t="shared" si="0"/>
        <v>1</v>
      </c>
      <c r="R8" s="14">
        <f t="shared" si="1"/>
        <v>0</v>
      </c>
      <c r="S8" s="14">
        <f t="shared" si="2"/>
        <v>1</v>
      </c>
      <c r="T8" s="14">
        <f t="shared" si="3"/>
        <v>0</v>
      </c>
      <c r="U8" s="14">
        <f t="shared" si="4"/>
        <v>0</v>
      </c>
      <c r="V8" s="18">
        <f t="shared" si="5"/>
        <v>18</v>
      </c>
      <c r="W8" s="14">
        <f t="shared" si="6"/>
        <v>1</v>
      </c>
      <c r="X8" s="18">
        <f t="shared" si="7"/>
        <v>0</v>
      </c>
    </row>
    <row r="9" spans="1:24" x14ac:dyDescent="0.25">
      <c r="A9" s="14" t="s">
        <v>61</v>
      </c>
      <c r="B9" s="14" t="s">
        <v>703</v>
      </c>
      <c r="C9" s="14" t="s">
        <v>704</v>
      </c>
      <c r="D9" s="14" t="s">
        <v>62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143.62</v>
      </c>
      <c r="M9" s="14" t="s">
        <v>86</v>
      </c>
      <c r="P9" s="14" t="str">
        <f>Setup!$A$9</f>
        <v>Expert 06</v>
      </c>
      <c r="Q9" s="14">
        <f t="shared" si="0"/>
        <v>3</v>
      </c>
      <c r="R9" s="14">
        <f t="shared" si="1"/>
        <v>1</v>
      </c>
      <c r="S9" s="14">
        <f t="shared" si="2"/>
        <v>0</v>
      </c>
      <c r="T9" s="14">
        <f t="shared" si="3"/>
        <v>1</v>
      </c>
      <c r="U9" s="14">
        <f t="shared" si="4"/>
        <v>0</v>
      </c>
      <c r="V9" s="18">
        <f t="shared" si="5"/>
        <v>64</v>
      </c>
      <c r="W9" s="14">
        <f t="shared" si="6"/>
        <v>4</v>
      </c>
      <c r="X9" s="18">
        <f t="shared" si="7"/>
        <v>141.71</v>
      </c>
    </row>
    <row r="10" spans="1:24" x14ac:dyDescent="0.25">
      <c r="A10" s="14" t="s">
        <v>53</v>
      </c>
      <c r="B10" s="14" t="s">
        <v>705</v>
      </c>
      <c r="C10" s="14" t="s">
        <v>706</v>
      </c>
      <c r="D10" s="14" t="s">
        <v>42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52.75</v>
      </c>
      <c r="M10" s="14" t="s">
        <v>86</v>
      </c>
      <c r="P10" s="14" t="str">
        <f>Setup!$A$10</f>
        <v>Expert 07</v>
      </c>
      <c r="Q10" s="14">
        <f t="shared" si="0"/>
        <v>1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1</v>
      </c>
      <c r="V10" s="18">
        <f t="shared" si="5"/>
        <v>40</v>
      </c>
      <c r="W10" s="14">
        <f t="shared" si="6"/>
        <v>1</v>
      </c>
      <c r="X10" s="18">
        <f t="shared" si="7"/>
        <v>0</v>
      </c>
    </row>
    <row r="11" spans="1:24" x14ac:dyDescent="0.25">
      <c r="A11" s="14" t="s">
        <v>61</v>
      </c>
      <c r="B11" s="14" t="s">
        <v>707</v>
      </c>
      <c r="C11" s="14" t="s">
        <v>708</v>
      </c>
      <c r="D11" s="14" t="s">
        <v>62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2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16</v>
      </c>
      <c r="W11" s="14">
        <f t="shared" si="6"/>
        <v>2</v>
      </c>
      <c r="X11" s="18">
        <f t="shared" si="7"/>
        <v>52.75</v>
      </c>
    </row>
    <row r="12" spans="1:24" x14ac:dyDescent="0.25">
      <c r="A12" s="14" t="s">
        <v>51</v>
      </c>
      <c r="B12" s="14" t="s">
        <v>709</v>
      </c>
      <c r="C12" s="14" t="s">
        <v>710</v>
      </c>
      <c r="D12" s="14" t="s">
        <v>73</v>
      </c>
      <c r="E12" s="14">
        <v>0</v>
      </c>
      <c r="F12" s="14">
        <v>0</v>
      </c>
      <c r="G12" s="14">
        <v>0</v>
      </c>
      <c r="H12" s="14">
        <v>0</v>
      </c>
      <c r="I12" s="14">
        <v>1</v>
      </c>
      <c r="J12" s="18">
        <v>24</v>
      </c>
      <c r="K12" s="14">
        <v>0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1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1</v>
      </c>
      <c r="X12" s="18">
        <f t="shared" si="7"/>
        <v>0</v>
      </c>
    </row>
    <row r="13" spans="1:24" x14ac:dyDescent="0.25">
      <c r="A13" s="14" t="s">
        <v>61</v>
      </c>
      <c r="B13" s="14" t="s">
        <v>711</v>
      </c>
      <c r="C13" s="14" t="s">
        <v>712</v>
      </c>
      <c r="D13" s="14" t="s">
        <v>63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24</v>
      </c>
      <c r="K13" s="14">
        <v>1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1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0</v>
      </c>
      <c r="W13" s="14">
        <f t="shared" si="6"/>
        <v>1</v>
      </c>
      <c r="X13" s="18">
        <f t="shared" si="7"/>
        <v>0</v>
      </c>
    </row>
    <row r="14" spans="1:24" x14ac:dyDescent="0.25">
      <c r="A14" s="14" t="s">
        <v>47</v>
      </c>
      <c r="B14" s="14" t="s">
        <v>713</v>
      </c>
      <c r="C14" s="14" t="s">
        <v>714</v>
      </c>
      <c r="D14" s="14" t="s">
        <v>54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18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1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34</v>
      </c>
      <c r="W14" s="14">
        <f t="shared" si="6"/>
        <v>1</v>
      </c>
      <c r="X14" s="18">
        <f t="shared" si="7"/>
        <v>15.99</v>
      </c>
    </row>
    <row r="15" spans="1:24" x14ac:dyDescent="0.25">
      <c r="A15" s="14" t="s">
        <v>57</v>
      </c>
      <c r="B15" s="14" t="s">
        <v>715</v>
      </c>
      <c r="C15" s="14" t="s">
        <v>716</v>
      </c>
      <c r="D15" s="14" t="s">
        <v>42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0</v>
      </c>
      <c r="M15" s="14" t="s">
        <v>86</v>
      </c>
      <c r="P15" s="14" t="str">
        <f>Setup!$A$15</f>
        <v>Expert 12</v>
      </c>
      <c r="Q15" s="14">
        <f t="shared" si="0"/>
        <v>5</v>
      </c>
      <c r="R15" s="14">
        <f t="shared" si="1"/>
        <v>0</v>
      </c>
      <c r="S15" s="14">
        <f t="shared" si="2"/>
        <v>1</v>
      </c>
      <c r="T15" s="14">
        <f t="shared" si="3"/>
        <v>0</v>
      </c>
      <c r="U15" s="14">
        <f t="shared" si="4"/>
        <v>0</v>
      </c>
      <c r="V15" s="18">
        <f t="shared" si="5"/>
        <v>90</v>
      </c>
      <c r="W15" s="14">
        <f t="shared" si="6"/>
        <v>7</v>
      </c>
      <c r="X15" s="18">
        <f t="shared" si="7"/>
        <v>366.51</v>
      </c>
    </row>
    <row r="16" spans="1:24" x14ac:dyDescent="0.25">
      <c r="A16" s="14" t="s">
        <v>39</v>
      </c>
      <c r="B16" s="14" t="s">
        <v>717</v>
      </c>
      <c r="C16" s="14" t="s">
        <v>718</v>
      </c>
      <c r="D16" s="14" t="s">
        <v>63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4.5599999999999996</v>
      </c>
      <c r="M16" s="14" t="s">
        <v>86</v>
      </c>
      <c r="P16" s="19" t="s">
        <v>112</v>
      </c>
      <c r="Q16" s="20">
        <f t="shared" ref="Q16:X16" si="8">SUM(Q4:Q15)</f>
        <v>21</v>
      </c>
      <c r="R16" s="20">
        <f t="shared" si="8"/>
        <v>4</v>
      </c>
      <c r="S16" s="20">
        <f t="shared" si="8"/>
        <v>3</v>
      </c>
      <c r="T16" s="20">
        <f t="shared" si="8"/>
        <v>2</v>
      </c>
      <c r="U16" s="20">
        <f t="shared" si="8"/>
        <v>1</v>
      </c>
      <c r="V16" s="21">
        <f t="shared" si="8"/>
        <v>382</v>
      </c>
      <c r="W16" s="20">
        <f t="shared" si="8"/>
        <v>29</v>
      </c>
      <c r="X16" s="21">
        <f t="shared" si="8"/>
        <v>1089.6500000000001</v>
      </c>
    </row>
    <row r="17" spans="1:13" x14ac:dyDescent="0.25">
      <c r="A17" s="14" t="s">
        <v>61</v>
      </c>
      <c r="B17" s="14" t="s">
        <v>217</v>
      </c>
      <c r="C17" s="14" t="s">
        <v>719</v>
      </c>
      <c r="D17" s="14" t="s">
        <v>40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33</v>
      </c>
      <c r="K17" s="14">
        <v>1</v>
      </c>
      <c r="L17" s="18">
        <v>124.69</v>
      </c>
      <c r="M17" s="14" t="s">
        <v>86</v>
      </c>
    </row>
    <row r="18" spans="1:13" x14ac:dyDescent="0.25">
      <c r="A18" s="14" t="s">
        <v>49</v>
      </c>
      <c r="B18" s="14" t="s">
        <v>720</v>
      </c>
      <c r="C18" s="14" t="s">
        <v>721</v>
      </c>
      <c r="D18" s="14" t="s">
        <v>67</v>
      </c>
      <c r="E18" s="14">
        <v>1</v>
      </c>
      <c r="F18" s="14">
        <v>0</v>
      </c>
      <c r="G18" s="14">
        <v>0</v>
      </c>
      <c r="H18" s="14">
        <v>1</v>
      </c>
      <c r="I18" s="14">
        <v>0</v>
      </c>
      <c r="J18" s="18">
        <v>33</v>
      </c>
      <c r="K18" s="14">
        <v>1</v>
      </c>
      <c r="L18" s="18">
        <v>141.71</v>
      </c>
      <c r="M18" s="14" t="s">
        <v>86</v>
      </c>
    </row>
    <row r="19" spans="1:13" x14ac:dyDescent="0.25">
      <c r="A19" s="14" t="s">
        <v>41</v>
      </c>
      <c r="B19" s="14" t="s">
        <v>722</v>
      </c>
      <c r="C19" s="14" t="s">
        <v>173</v>
      </c>
      <c r="D19" s="14" t="s">
        <v>72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119.71</v>
      </c>
      <c r="M19" s="14" t="s">
        <v>86</v>
      </c>
    </row>
    <row r="20" spans="1:13" x14ac:dyDescent="0.25">
      <c r="A20" s="14" t="s">
        <v>41</v>
      </c>
      <c r="B20" s="14" t="s">
        <v>723</v>
      </c>
      <c r="C20" s="14" t="s">
        <v>724</v>
      </c>
      <c r="D20" s="14" t="s">
        <v>48</v>
      </c>
      <c r="E20" s="14">
        <v>0</v>
      </c>
      <c r="F20" s="14">
        <v>1</v>
      </c>
      <c r="G20" s="14">
        <v>0</v>
      </c>
      <c r="H20" s="14">
        <v>1</v>
      </c>
      <c r="I20" s="14">
        <v>0</v>
      </c>
      <c r="J20" s="18">
        <v>24</v>
      </c>
      <c r="K20" s="14">
        <v>1</v>
      </c>
      <c r="L20" s="18">
        <v>62.04</v>
      </c>
      <c r="M20" s="14" t="s">
        <v>86</v>
      </c>
    </row>
    <row r="21" spans="1:13" x14ac:dyDescent="0.25">
      <c r="A21" s="14" t="s">
        <v>61</v>
      </c>
      <c r="B21" s="14" t="s">
        <v>725</v>
      </c>
      <c r="C21" s="14" t="s">
        <v>726</v>
      </c>
      <c r="D21" s="14" t="s">
        <v>76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0</v>
      </c>
      <c r="L21" s="18">
        <v>0</v>
      </c>
      <c r="M21" s="14" t="s">
        <v>86</v>
      </c>
    </row>
    <row r="22" spans="1:13" x14ac:dyDescent="0.25">
      <c r="A22" s="14" t="s">
        <v>49</v>
      </c>
      <c r="B22" s="14" t="s">
        <v>727</v>
      </c>
      <c r="C22" s="14" t="s">
        <v>728</v>
      </c>
      <c r="D22" s="14" t="s">
        <v>62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0</v>
      </c>
      <c r="M22" s="14" t="s">
        <v>86</v>
      </c>
    </row>
    <row r="23" spans="1:13" x14ac:dyDescent="0.25">
      <c r="A23" s="14" t="s">
        <v>61</v>
      </c>
      <c r="B23" s="14" t="s">
        <v>729</v>
      </c>
      <c r="C23" s="14" t="s">
        <v>730</v>
      </c>
      <c r="D23" s="14" t="s">
        <v>62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36.54</v>
      </c>
      <c r="M23" s="14" t="s">
        <v>86</v>
      </c>
    </row>
    <row r="24" spans="1:13" x14ac:dyDescent="0.25">
      <c r="A24" s="14" t="s">
        <v>49</v>
      </c>
      <c r="B24" s="14" t="s">
        <v>731</v>
      </c>
      <c r="C24" s="14" t="s">
        <v>732</v>
      </c>
      <c r="D24" s="14" t="s">
        <v>70</v>
      </c>
      <c r="E24" s="14">
        <v>1</v>
      </c>
      <c r="F24" s="14">
        <v>0</v>
      </c>
      <c r="G24" s="14">
        <v>0</v>
      </c>
      <c r="H24" s="14">
        <v>0</v>
      </c>
      <c r="I24" s="14">
        <v>0</v>
      </c>
      <c r="J24" s="18">
        <v>15</v>
      </c>
      <c r="K24" s="14">
        <v>1</v>
      </c>
      <c r="L24" s="18">
        <v>0</v>
      </c>
      <c r="M24" s="14" t="s">
        <v>86</v>
      </c>
    </row>
    <row r="25" spans="1:13" x14ac:dyDescent="0.25">
      <c r="A25" s="14" t="s">
        <v>47</v>
      </c>
      <c r="B25" s="14" t="s">
        <v>733</v>
      </c>
      <c r="C25" s="14" t="s">
        <v>734</v>
      </c>
      <c r="D25" s="14" t="s">
        <v>76</v>
      </c>
      <c r="E25" s="14">
        <v>0</v>
      </c>
      <c r="F25" s="14">
        <v>0</v>
      </c>
      <c r="G25" s="14">
        <v>1</v>
      </c>
      <c r="H25" s="14">
        <v>0</v>
      </c>
      <c r="I25" s="14">
        <v>0</v>
      </c>
      <c r="J25" s="18">
        <v>0</v>
      </c>
      <c r="K25" s="14">
        <v>0</v>
      </c>
      <c r="L25" s="18">
        <v>0</v>
      </c>
      <c r="M25" s="14" t="s">
        <v>86</v>
      </c>
    </row>
    <row r="26" spans="1:13" x14ac:dyDescent="0.25">
      <c r="A26" s="14" t="s">
        <v>59</v>
      </c>
      <c r="B26" s="14" t="s">
        <v>735</v>
      </c>
      <c r="C26" s="14" t="s">
        <v>736</v>
      </c>
      <c r="D26" s="14" t="s">
        <v>46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8">
        <v>16</v>
      </c>
      <c r="K26" s="14">
        <v>1</v>
      </c>
      <c r="L26" s="18">
        <v>0</v>
      </c>
      <c r="M26" s="14" t="s">
        <v>86</v>
      </c>
    </row>
    <row r="27" spans="1:13" x14ac:dyDescent="0.25">
      <c r="A27" s="14" t="s">
        <v>45</v>
      </c>
      <c r="B27" s="14" t="s">
        <v>737</v>
      </c>
      <c r="C27" s="14" t="s">
        <v>738</v>
      </c>
      <c r="D27" s="14" t="s">
        <v>46</v>
      </c>
      <c r="E27" s="14">
        <v>1</v>
      </c>
      <c r="F27" s="14">
        <v>0</v>
      </c>
      <c r="G27" s="14">
        <v>0</v>
      </c>
      <c r="H27" s="14">
        <v>0</v>
      </c>
      <c r="I27" s="14">
        <v>0</v>
      </c>
      <c r="J27" s="18">
        <v>15</v>
      </c>
      <c r="K27" s="14">
        <v>1</v>
      </c>
      <c r="L27" s="18">
        <v>2.85</v>
      </c>
      <c r="M27" s="14" t="s">
        <v>86</v>
      </c>
    </row>
    <row r="28" spans="1:13" x14ac:dyDescent="0.25">
      <c r="A28" s="14" t="s">
        <v>49</v>
      </c>
      <c r="B28" s="14" t="s">
        <v>739</v>
      </c>
      <c r="C28" s="14" t="s">
        <v>740</v>
      </c>
      <c r="D28" s="14" t="s">
        <v>52</v>
      </c>
      <c r="E28" s="14">
        <v>1</v>
      </c>
      <c r="F28" s="14">
        <v>0</v>
      </c>
      <c r="G28" s="14">
        <v>0</v>
      </c>
      <c r="H28" s="14">
        <v>0</v>
      </c>
      <c r="I28" s="14">
        <v>0</v>
      </c>
      <c r="J28" s="18">
        <v>16</v>
      </c>
      <c r="K28" s="14">
        <v>1</v>
      </c>
      <c r="L28" s="18">
        <v>0</v>
      </c>
      <c r="M28" s="14" t="s">
        <v>86</v>
      </c>
    </row>
    <row r="29" spans="1:13" x14ac:dyDescent="0.25">
      <c r="A29" s="14" t="s">
        <v>61</v>
      </c>
      <c r="B29" s="14" t="s">
        <v>741</v>
      </c>
      <c r="C29" s="14" t="s">
        <v>742</v>
      </c>
      <c r="D29" s="14" t="s">
        <v>70</v>
      </c>
      <c r="E29" s="14">
        <v>0</v>
      </c>
      <c r="F29" s="14">
        <v>0</v>
      </c>
      <c r="G29" s="14">
        <v>1</v>
      </c>
      <c r="H29" s="14">
        <v>0</v>
      </c>
      <c r="I29" s="14">
        <v>0</v>
      </c>
      <c r="J29" s="18">
        <v>33</v>
      </c>
      <c r="K29" s="14">
        <v>1</v>
      </c>
      <c r="L29" s="18">
        <v>61.66</v>
      </c>
      <c r="M29" s="14" t="s">
        <v>86</v>
      </c>
    </row>
    <row r="30" spans="1:13" x14ac:dyDescent="0.25">
      <c r="A30" s="14" t="s">
        <v>45</v>
      </c>
      <c r="B30" s="14" t="s">
        <v>743</v>
      </c>
      <c r="C30" s="14" t="s">
        <v>744</v>
      </c>
      <c r="D30" s="14" t="s">
        <v>52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8">
        <v>24</v>
      </c>
      <c r="K30" s="14">
        <v>1</v>
      </c>
      <c r="L30" s="18">
        <v>129.54</v>
      </c>
      <c r="M30" s="14" t="s">
        <v>86</v>
      </c>
    </row>
    <row r="31" spans="1:13" x14ac:dyDescent="0.25">
      <c r="A31" s="14" t="s">
        <v>45</v>
      </c>
      <c r="B31" s="14" t="s">
        <v>745</v>
      </c>
      <c r="C31" s="14" t="s">
        <v>746</v>
      </c>
      <c r="D31" s="14" t="s">
        <v>50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8">
        <v>0</v>
      </c>
      <c r="K31" s="14">
        <v>1</v>
      </c>
      <c r="L31" s="18">
        <v>21.51</v>
      </c>
      <c r="M31" s="14" t="s">
        <v>86</v>
      </c>
    </row>
    <row r="32" spans="1:13" x14ac:dyDescent="0.25">
      <c r="A32" s="14" t="s">
        <v>51</v>
      </c>
      <c r="B32" s="14" t="s">
        <v>747</v>
      </c>
      <c r="C32" s="14" t="s">
        <v>748</v>
      </c>
      <c r="D32" s="14" t="s">
        <v>64</v>
      </c>
      <c r="E32" s="14">
        <v>1</v>
      </c>
      <c r="F32" s="14">
        <v>0</v>
      </c>
      <c r="G32" s="14">
        <v>0</v>
      </c>
      <c r="H32" s="14">
        <v>0</v>
      </c>
      <c r="I32" s="14">
        <v>0</v>
      </c>
      <c r="J32" s="18">
        <v>16</v>
      </c>
      <c r="K32" s="14">
        <v>1</v>
      </c>
      <c r="L32" s="18">
        <v>0</v>
      </c>
      <c r="M32" s="14" t="s">
        <v>86</v>
      </c>
    </row>
    <row r="33" spans="1:13" x14ac:dyDescent="0.25">
      <c r="A33" s="14" t="s">
        <v>55</v>
      </c>
      <c r="B33" s="14" t="s">
        <v>749</v>
      </c>
      <c r="C33" s="14" t="s">
        <v>750</v>
      </c>
      <c r="D33" s="14" t="s">
        <v>69</v>
      </c>
      <c r="E33" s="14">
        <v>1</v>
      </c>
      <c r="F33" s="14">
        <v>0</v>
      </c>
      <c r="G33" s="14">
        <v>1</v>
      </c>
      <c r="H33" s="14">
        <v>0</v>
      </c>
      <c r="I33" s="14">
        <v>0</v>
      </c>
      <c r="J33" s="18">
        <v>0</v>
      </c>
      <c r="K33" s="14">
        <v>1</v>
      </c>
      <c r="L33" s="18">
        <v>0</v>
      </c>
      <c r="M33" s="14" t="s">
        <v>86</v>
      </c>
    </row>
    <row r="34" spans="1:13" x14ac:dyDescent="0.25">
      <c r="A34" s="14" t="s">
        <v>59</v>
      </c>
      <c r="B34" s="14" t="s">
        <v>751</v>
      </c>
      <c r="C34" s="14" t="s">
        <v>752</v>
      </c>
      <c r="D34" s="14" t="s">
        <v>77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8">
        <v>18</v>
      </c>
      <c r="K34" s="14">
        <v>0</v>
      </c>
      <c r="L34" s="18">
        <v>15.99</v>
      </c>
      <c r="M34" s="14" t="s">
        <v>86</v>
      </c>
    </row>
    <row r="35" spans="1:13" x14ac:dyDescent="0.25">
      <c r="A35" s="14" t="s">
        <v>61</v>
      </c>
      <c r="B35" s="14" t="s">
        <v>753</v>
      </c>
      <c r="C35" s="14" t="s">
        <v>754</v>
      </c>
      <c r="D35" s="14" t="s">
        <v>40</v>
      </c>
      <c r="E35" s="14">
        <v>1</v>
      </c>
      <c r="F35" s="14">
        <v>0</v>
      </c>
      <c r="G35" s="14">
        <v>0</v>
      </c>
      <c r="H35" s="14">
        <v>0</v>
      </c>
      <c r="I35" s="14">
        <v>0</v>
      </c>
      <c r="J35" s="18">
        <v>0</v>
      </c>
      <c r="K35" s="14">
        <v>1</v>
      </c>
      <c r="L35" s="18">
        <v>0</v>
      </c>
      <c r="M35" s="14" t="s">
        <v>86</v>
      </c>
    </row>
    <row r="36" spans="1:13" x14ac:dyDescent="0.25">
      <c r="A36" s="14" t="s">
        <v>39</v>
      </c>
      <c r="B36" s="14" t="s">
        <v>755</v>
      </c>
      <c r="C36" s="14" t="s">
        <v>756</v>
      </c>
      <c r="D36" s="14" t="s">
        <v>69</v>
      </c>
      <c r="E36" s="14">
        <v>1</v>
      </c>
      <c r="F36" s="14">
        <v>0</v>
      </c>
      <c r="G36" s="14">
        <v>0</v>
      </c>
      <c r="H36" s="14">
        <v>0</v>
      </c>
      <c r="I36" s="14">
        <v>0</v>
      </c>
      <c r="J36" s="18">
        <v>0</v>
      </c>
      <c r="K36" s="14">
        <v>1</v>
      </c>
      <c r="L36" s="18">
        <v>149.71</v>
      </c>
      <c r="M36" s="14" t="s">
        <v>86</v>
      </c>
    </row>
    <row r="37" spans="1:13" x14ac:dyDescent="0.25">
      <c r="A37" s="14" t="s">
        <v>39</v>
      </c>
      <c r="B37" s="14" t="s">
        <v>757</v>
      </c>
      <c r="C37" s="14" t="s">
        <v>758</v>
      </c>
      <c r="D37" s="14" t="s">
        <v>77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8">
        <v>24</v>
      </c>
      <c r="K37" s="14">
        <v>0</v>
      </c>
      <c r="L37" s="18">
        <v>0</v>
      </c>
      <c r="M37" s="14" t="s">
        <v>86</v>
      </c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1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1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1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759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47</v>
      </c>
      <c r="B4" s="14" t="s">
        <v>760</v>
      </c>
      <c r="C4" s="14" t="s">
        <v>761</v>
      </c>
      <c r="D4" s="14" t="s">
        <v>48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24</v>
      </c>
      <c r="K4" s="14">
        <v>1</v>
      </c>
      <c r="L4" s="18">
        <v>69.91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2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15</v>
      </c>
      <c r="W4" s="14">
        <f t="shared" ref="W4:W15" si="6">SUMIF($A$4:$A$43,$P4,K$4:K$43)</f>
        <v>2</v>
      </c>
      <c r="X4" s="18">
        <f t="shared" ref="X4:X15" si="7">SUMIF($A$4:$A$43,$P4,L$4:L$43)</f>
        <v>147.02000000000001</v>
      </c>
    </row>
    <row r="5" spans="1:24" x14ac:dyDescent="0.25">
      <c r="A5" s="14" t="s">
        <v>53</v>
      </c>
      <c r="B5" s="14" t="s">
        <v>762</v>
      </c>
      <c r="C5" s="14" t="s">
        <v>763</v>
      </c>
      <c r="D5" s="14" t="s">
        <v>52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15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1</v>
      </c>
      <c r="V5" s="18">
        <f t="shared" si="5"/>
        <v>48</v>
      </c>
      <c r="W5" s="14">
        <f t="shared" si="6"/>
        <v>1</v>
      </c>
      <c r="X5" s="18">
        <f t="shared" si="7"/>
        <v>249.4</v>
      </c>
    </row>
    <row r="6" spans="1:24" x14ac:dyDescent="0.25">
      <c r="A6" s="14" t="s">
        <v>47</v>
      </c>
      <c r="B6" s="14" t="s">
        <v>764</v>
      </c>
      <c r="C6" s="14" t="s">
        <v>765</v>
      </c>
      <c r="D6" s="14" t="s">
        <v>72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22.82</v>
      </c>
      <c r="M6" s="14" t="s">
        <v>86</v>
      </c>
      <c r="P6" s="14" t="str">
        <f>Setup!$A$6</f>
        <v>Expert 03</v>
      </c>
      <c r="Q6" s="14">
        <f t="shared" si="0"/>
        <v>0</v>
      </c>
      <c r="R6" s="14">
        <f t="shared" si="1"/>
        <v>1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1</v>
      </c>
      <c r="X6" s="18">
        <f t="shared" si="7"/>
        <v>136.56</v>
      </c>
    </row>
    <row r="7" spans="1:24" x14ac:dyDescent="0.25">
      <c r="A7" s="14" t="s">
        <v>47</v>
      </c>
      <c r="B7" s="14" t="s">
        <v>261</v>
      </c>
      <c r="C7" s="14" t="s">
        <v>766</v>
      </c>
      <c r="D7" s="14" t="s">
        <v>75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0</v>
      </c>
      <c r="L7" s="18">
        <v>150.01</v>
      </c>
      <c r="M7" s="14" t="s">
        <v>111</v>
      </c>
      <c r="P7" s="14" t="str">
        <f>Setup!$A$7</f>
        <v>Expert 04</v>
      </c>
      <c r="Q7" s="14">
        <f t="shared" si="0"/>
        <v>3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69</v>
      </c>
      <c r="W7" s="14">
        <f t="shared" si="6"/>
        <v>6</v>
      </c>
      <c r="X7" s="18">
        <f t="shared" si="7"/>
        <v>469.85</v>
      </c>
    </row>
    <row r="8" spans="1:24" x14ac:dyDescent="0.25">
      <c r="A8" s="14" t="s">
        <v>39</v>
      </c>
      <c r="B8" s="14" t="s">
        <v>510</v>
      </c>
      <c r="C8" s="14" t="s">
        <v>767</v>
      </c>
      <c r="D8" s="14" t="s">
        <v>60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15</v>
      </c>
      <c r="K8" s="14">
        <v>1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3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1</v>
      </c>
      <c r="V8" s="18">
        <f t="shared" si="5"/>
        <v>40</v>
      </c>
      <c r="W8" s="14">
        <f t="shared" si="6"/>
        <v>4</v>
      </c>
      <c r="X8" s="18">
        <f t="shared" si="7"/>
        <v>258.02999999999997</v>
      </c>
    </row>
    <row r="9" spans="1:24" x14ac:dyDescent="0.25">
      <c r="A9" s="14" t="s">
        <v>49</v>
      </c>
      <c r="B9" s="14" t="s">
        <v>768</v>
      </c>
      <c r="C9" s="14" t="s">
        <v>769</v>
      </c>
      <c r="D9" s="14" t="s">
        <v>63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2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2</v>
      </c>
      <c r="X9" s="18">
        <f t="shared" si="7"/>
        <v>32.76</v>
      </c>
    </row>
    <row r="10" spans="1:24" x14ac:dyDescent="0.25">
      <c r="A10" s="14" t="s">
        <v>51</v>
      </c>
      <c r="B10" s="14" t="s">
        <v>770</v>
      </c>
      <c r="C10" s="14" t="s">
        <v>771</v>
      </c>
      <c r="D10" s="14" t="s">
        <v>70</v>
      </c>
      <c r="E10" s="14">
        <v>0</v>
      </c>
      <c r="F10" s="14">
        <v>0</v>
      </c>
      <c r="G10" s="14">
        <v>1</v>
      </c>
      <c r="H10" s="14">
        <v>0</v>
      </c>
      <c r="I10" s="14">
        <v>0</v>
      </c>
      <c r="J10" s="18">
        <v>16</v>
      </c>
      <c r="K10" s="14">
        <v>1</v>
      </c>
      <c r="L10" s="18">
        <v>84.82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1</v>
      </c>
      <c r="T10" s="14">
        <f t="shared" si="3"/>
        <v>0</v>
      </c>
      <c r="U10" s="14">
        <f t="shared" si="4"/>
        <v>0</v>
      </c>
      <c r="V10" s="18">
        <f t="shared" si="5"/>
        <v>16</v>
      </c>
      <c r="W10" s="14">
        <f t="shared" si="6"/>
        <v>1</v>
      </c>
      <c r="X10" s="18">
        <f t="shared" si="7"/>
        <v>84.82</v>
      </c>
    </row>
    <row r="11" spans="1:24" x14ac:dyDescent="0.25">
      <c r="A11" s="14" t="s">
        <v>57</v>
      </c>
      <c r="B11" s="14" t="s">
        <v>772</v>
      </c>
      <c r="C11" s="14" t="s">
        <v>773</v>
      </c>
      <c r="D11" s="14" t="s">
        <v>76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8">
        <v>18</v>
      </c>
      <c r="K11" s="14">
        <v>0</v>
      </c>
      <c r="L11" s="18">
        <v>103.72</v>
      </c>
      <c r="M11" s="14" t="s">
        <v>86</v>
      </c>
      <c r="P11" s="14" t="str">
        <f>Setup!$A$11</f>
        <v>Expert 08</v>
      </c>
      <c r="Q11" s="14">
        <f t="shared" si="0"/>
        <v>3</v>
      </c>
      <c r="R11" s="14">
        <f t="shared" si="1"/>
        <v>0</v>
      </c>
      <c r="S11" s="14">
        <f t="shared" si="2"/>
        <v>0</v>
      </c>
      <c r="T11" s="14">
        <f t="shared" si="3"/>
        <v>1</v>
      </c>
      <c r="U11" s="14">
        <f t="shared" si="4"/>
        <v>0</v>
      </c>
      <c r="V11" s="18">
        <f t="shared" si="5"/>
        <v>48</v>
      </c>
      <c r="W11" s="14">
        <f t="shared" si="6"/>
        <v>3</v>
      </c>
      <c r="X11" s="18">
        <f t="shared" si="7"/>
        <v>0</v>
      </c>
    </row>
    <row r="12" spans="1:24" x14ac:dyDescent="0.25">
      <c r="A12" s="14" t="s">
        <v>43</v>
      </c>
      <c r="B12" s="14" t="s">
        <v>774</v>
      </c>
      <c r="C12" s="14" t="s">
        <v>775</v>
      </c>
      <c r="D12" s="14" t="s">
        <v>69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136.56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2</v>
      </c>
      <c r="X12" s="18">
        <f t="shared" si="7"/>
        <v>153.11000000000001</v>
      </c>
    </row>
    <row r="13" spans="1:24" x14ac:dyDescent="0.25">
      <c r="A13" s="14" t="s">
        <v>49</v>
      </c>
      <c r="B13" s="14" t="s">
        <v>776</v>
      </c>
      <c r="C13" s="14" t="s">
        <v>777</v>
      </c>
      <c r="D13" s="14" t="s">
        <v>71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32.76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1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51</v>
      </c>
      <c r="W13" s="14">
        <f t="shared" si="6"/>
        <v>1</v>
      </c>
      <c r="X13" s="18">
        <f t="shared" si="7"/>
        <v>280.14</v>
      </c>
    </row>
    <row r="14" spans="1:24" x14ac:dyDescent="0.25">
      <c r="A14" s="14" t="s">
        <v>47</v>
      </c>
      <c r="B14" s="14" t="s">
        <v>638</v>
      </c>
      <c r="C14" s="14" t="s">
        <v>778</v>
      </c>
      <c r="D14" s="14" t="s">
        <v>73</v>
      </c>
      <c r="E14" s="14">
        <v>0</v>
      </c>
      <c r="F14" s="14">
        <v>0</v>
      </c>
      <c r="G14" s="14">
        <v>0</v>
      </c>
      <c r="H14" s="14">
        <v>0</v>
      </c>
      <c r="I14" s="14">
        <v>1</v>
      </c>
      <c r="J14" s="18">
        <v>0</v>
      </c>
      <c r="K14" s="14">
        <v>0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1</v>
      </c>
      <c r="S14" s="14">
        <f t="shared" si="2"/>
        <v>1</v>
      </c>
      <c r="T14" s="14">
        <f t="shared" si="3"/>
        <v>1</v>
      </c>
      <c r="U14" s="14">
        <f t="shared" si="4"/>
        <v>0</v>
      </c>
      <c r="V14" s="18">
        <f t="shared" si="5"/>
        <v>15</v>
      </c>
      <c r="W14" s="14">
        <f t="shared" si="6"/>
        <v>1</v>
      </c>
      <c r="X14" s="18">
        <f t="shared" si="7"/>
        <v>0</v>
      </c>
    </row>
    <row r="15" spans="1:24" x14ac:dyDescent="0.25">
      <c r="A15" s="14" t="s">
        <v>41</v>
      </c>
      <c r="B15" s="14" t="s">
        <v>779</v>
      </c>
      <c r="C15" s="14" t="s">
        <v>780</v>
      </c>
      <c r="D15" s="14" t="s">
        <v>56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33</v>
      </c>
      <c r="K15" s="14">
        <v>1</v>
      </c>
      <c r="L15" s="18">
        <v>100.37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15</v>
      </c>
      <c r="W15" s="14">
        <f t="shared" si="6"/>
        <v>2</v>
      </c>
      <c r="X15" s="18">
        <f t="shared" si="7"/>
        <v>0</v>
      </c>
    </row>
    <row r="16" spans="1:24" x14ac:dyDescent="0.25">
      <c r="A16" s="14" t="s">
        <v>45</v>
      </c>
      <c r="B16" s="14" t="s">
        <v>781</v>
      </c>
      <c r="C16" s="14" t="s">
        <v>782</v>
      </c>
      <c r="D16" s="14" t="s">
        <v>50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15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16</v>
      </c>
      <c r="R16" s="20">
        <f t="shared" si="8"/>
        <v>4</v>
      </c>
      <c r="S16" s="20">
        <f t="shared" si="8"/>
        <v>2</v>
      </c>
      <c r="T16" s="20">
        <f t="shared" si="8"/>
        <v>2</v>
      </c>
      <c r="U16" s="20">
        <f t="shared" si="8"/>
        <v>2</v>
      </c>
      <c r="V16" s="21">
        <f t="shared" si="8"/>
        <v>317</v>
      </c>
      <c r="W16" s="20">
        <f t="shared" si="8"/>
        <v>26</v>
      </c>
      <c r="X16" s="21">
        <f t="shared" si="8"/>
        <v>1811.69</v>
      </c>
    </row>
    <row r="17" spans="1:13" x14ac:dyDescent="0.25">
      <c r="A17" s="14" t="s">
        <v>57</v>
      </c>
      <c r="B17" s="14" t="s">
        <v>783</v>
      </c>
      <c r="C17" s="14" t="s">
        <v>784</v>
      </c>
      <c r="D17" s="14" t="s">
        <v>64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8">
        <v>33</v>
      </c>
      <c r="K17" s="14">
        <v>1</v>
      </c>
      <c r="L17" s="18">
        <v>176.42</v>
      </c>
      <c r="M17" s="14" t="s">
        <v>111</v>
      </c>
    </row>
    <row r="18" spans="1:13" x14ac:dyDescent="0.25">
      <c r="A18" s="14" t="s">
        <v>61</v>
      </c>
      <c r="B18" s="14" t="s">
        <v>785</v>
      </c>
      <c r="C18" s="14" t="s">
        <v>786</v>
      </c>
      <c r="D18" s="14" t="s">
        <v>66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8">
        <v>15</v>
      </c>
      <c r="K18" s="14">
        <v>1</v>
      </c>
      <c r="L18" s="18">
        <v>0</v>
      </c>
      <c r="M18" s="14" t="s">
        <v>86</v>
      </c>
    </row>
    <row r="19" spans="1:13" x14ac:dyDescent="0.25">
      <c r="A19" s="14" t="s">
        <v>41</v>
      </c>
      <c r="B19" s="14" t="s">
        <v>787</v>
      </c>
      <c r="C19" s="14" t="s">
        <v>788</v>
      </c>
      <c r="D19" s="14" t="s">
        <v>74</v>
      </c>
      <c r="E19" s="14">
        <v>0</v>
      </c>
      <c r="F19" s="14">
        <v>0</v>
      </c>
      <c r="G19" s="14">
        <v>0</v>
      </c>
      <c r="H19" s="14">
        <v>0</v>
      </c>
      <c r="I19" s="14">
        <v>1</v>
      </c>
      <c r="J19" s="18">
        <v>15</v>
      </c>
      <c r="K19" s="14">
        <v>0</v>
      </c>
      <c r="L19" s="18">
        <v>149.03</v>
      </c>
      <c r="M19" s="14" t="s">
        <v>86</v>
      </c>
    </row>
    <row r="20" spans="1:13" x14ac:dyDescent="0.25">
      <c r="A20" s="14" t="s">
        <v>45</v>
      </c>
      <c r="B20" s="14" t="s">
        <v>789</v>
      </c>
      <c r="C20" s="14" t="s">
        <v>790</v>
      </c>
      <c r="D20" s="14" t="s">
        <v>54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8">
        <v>15</v>
      </c>
      <c r="K20" s="14">
        <v>1</v>
      </c>
      <c r="L20" s="18">
        <v>110.07</v>
      </c>
      <c r="M20" s="14" t="s">
        <v>86</v>
      </c>
    </row>
    <row r="21" spans="1:13" x14ac:dyDescent="0.25">
      <c r="A21" s="14" t="s">
        <v>47</v>
      </c>
      <c r="B21" s="14" t="s">
        <v>791</v>
      </c>
      <c r="C21" s="14" t="s">
        <v>792</v>
      </c>
      <c r="D21" s="14" t="s">
        <v>56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8">
        <v>16</v>
      </c>
      <c r="K21" s="14">
        <v>1</v>
      </c>
      <c r="L21" s="18">
        <v>15.29</v>
      </c>
      <c r="M21" s="14" t="s">
        <v>111</v>
      </c>
    </row>
    <row r="22" spans="1:13" x14ac:dyDescent="0.25">
      <c r="A22" s="14" t="s">
        <v>45</v>
      </c>
      <c r="B22" s="14" t="s">
        <v>793</v>
      </c>
      <c r="C22" s="14" t="s">
        <v>794</v>
      </c>
      <c r="D22" s="14" t="s">
        <v>70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64.61</v>
      </c>
      <c r="M22" s="14" t="s">
        <v>111</v>
      </c>
    </row>
    <row r="23" spans="1:13" x14ac:dyDescent="0.25">
      <c r="A23" s="14" t="s">
        <v>55</v>
      </c>
      <c r="B23" s="14" t="s">
        <v>795</v>
      </c>
      <c r="C23" s="14" t="s">
        <v>796</v>
      </c>
      <c r="D23" s="14" t="s">
        <v>70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153.11000000000001</v>
      </c>
      <c r="M23" s="14" t="s">
        <v>86</v>
      </c>
    </row>
    <row r="24" spans="1:13" x14ac:dyDescent="0.25">
      <c r="A24" s="14" t="s">
        <v>45</v>
      </c>
      <c r="B24" s="14" t="s">
        <v>797</v>
      </c>
      <c r="C24" s="14" t="s">
        <v>798</v>
      </c>
      <c r="D24" s="14" t="s">
        <v>56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8">
        <v>0</v>
      </c>
      <c r="K24" s="14">
        <v>1</v>
      </c>
      <c r="L24" s="18">
        <v>157.19999999999999</v>
      </c>
      <c r="M24" s="14" t="s">
        <v>86</v>
      </c>
    </row>
    <row r="25" spans="1:13" x14ac:dyDescent="0.25">
      <c r="A25" s="14" t="s">
        <v>47</v>
      </c>
      <c r="B25" s="14" t="s">
        <v>799</v>
      </c>
      <c r="C25" s="14" t="s">
        <v>800</v>
      </c>
      <c r="D25" s="14" t="s">
        <v>52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0</v>
      </c>
      <c r="K25" s="14">
        <v>1</v>
      </c>
      <c r="L25" s="18">
        <v>0</v>
      </c>
      <c r="M25" s="14" t="s">
        <v>86</v>
      </c>
    </row>
    <row r="26" spans="1:13" x14ac:dyDescent="0.25">
      <c r="A26" s="14" t="s">
        <v>45</v>
      </c>
      <c r="B26" s="14" t="s">
        <v>512</v>
      </c>
      <c r="C26" s="14" t="s">
        <v>801</v>
      </c>
      <c r="D26" s="14" t="s">
        <v>72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24</v>
      </c>
      <c r="K26" s="14">
        <v>1</v>
      </c>
      <c r="L26" s="18">
        <v>24.92</v>
      </c>
      <c r="M26" s="14" t="s">
        <v>86</v>
      </c>
    </row>
    <row r="27" spans="1:13" x14ac:dyDescent="0.25">
      <c r="A27" s="14" t="s">
        <v>59</v>
      </c>
      <c r="B27" s="14" t="s">
        <v>802</v>
      </c>
      <c r="C27" s="14" t="s">
        <v>803</v>
      </c>
      <c r="D27" s="14" t="s">
        <v>66</v>
      </c>
      <c r="E27" s="14">
        <v>0</v>
      </c>
      <c r="F27" s="14">
        <v>1</v>
      </c>
      <c r="G27" s="14">
        <v>1</v>
      </c>
      <c r="H27" s="14">
        <v>1</v>
      </c>
      <c r="I27" s="14">
        <v>0</v>
      </c>
      <c r="J27" s="18">
        <v>15</v>
      </c>
      <c r="K27" s="14">
        <v>1</v>
      </c>
      <c r="L27" s="18">
        <v>0</v>
      </c>
      <c r="M27" s="14" t="s">
        <v>111</v>
      </c>
    </row>
    <row r="28" spans="1:13" x14ac:dyDescent="0.25">
      <c r="A28" s="14" t="s">
        <v>53</v>
      </c>
      <c r="B28" s="14" t="s">
        <v>804</v>
      </c>
      <c r="C28" s="14" t="s">
        <v>805</v>
      </c>
      <c r="D28" s="14" t="s">
        <v>58</v>
      </c>
      <c r="E28" s="14">
        <v>1</v>
      </c>
      <c r="F28" s="14">
        <v>0</v>
      </c>
      <c r="G28" s="14">
        <v>0</v>
      </c>
      <c r="H28" s="14">
        <v>1</v>
      </c>
      <c r="I28" s="14">
        <v>0</v>
      </c>
      <c r="J28" s="18">
        <v>0</v>
      </c>
      <c r="K28" s="14">
        <v>1</v>
      </c>
      <c r="L28" s="18">
        <v>0</v>
      </c>
      <c r="M28" s="14" t="s">
        <v>86</v>
      </c>
    </row>
    <row r="29" spans="1:13" x14ac:dyDescent="0.25">
      <c r="A29" s="14" t="s">
        <v>45</v>
      </c>
      <c r="B29" s="14" t="s">
        <v>806</v>
      </c>
      <c r="C29" s="14" t="s">
        <v>807</v>
      </c>
      <c r="D29" s="14" t="s">
        <v>42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8">
        <v>15</v>
      </c>
      <c r="K29" s="14">
        <v>1</v>
      </c>
      <c r="L29" s="18">
        <v>0</v>
      </c>
      <c r="M29" s="14" t="s">
        <v>86</v>
      </c>
    </row>
    <row r="30" spans="1:13" x14ac:dyDescent="0.25">
      <c r="A30" s="14" t="s">
        <v>61</v>
      </c>
      <c r="B30" s="14" t="s">
        <v>808</v>
      </c>
      <c r="C30" s="14" t="s">
        <v>809</v>
      </c>
      <c r="D30" s="14" t="s">
        <v>68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8">
        <v>0</v>
      </c>
      <c r="K30" s="14">
        <v>1</v>
      </c>
      <c r="L30" s="18">
        <v>0</v>
      </c>
      <c r="M30" s="14" t="s">
        <v>86</v>
      </c>
    </row>
    <row r="31" spans="1:13" x14ac:dyDescent="0.25">
      <c r="A31" s="14" t="s">
        <v>39</v>
      </c>
      <c r="B31" s="14" t="s">
        <v>810</v>
      </c>
      <c r="C31" s="14" t="s">
        <v>811</v>
      </c>
      <c r="D31" s="14" t="s">
        <v>70</v>
      </c>
      <c r="E31" s="14">
        <v>1</v>
      </c>
      <c r="F31" s="14">
        <v>0</v>
      </c>
      <c r="G31" s="14">
        <v>0</v>
      </c>
      <c r="H31" s="14">
        <v>0</v>
      </c>
      <c r="I31" s="14">
        <v>0</v>
      </c>
      <c r="J31" s="18">
        <v>0</v>
      </c>
      <c r="K31" s="14">
        <v>1</v>
      </c>
      <c r="L31" s="18">
        <v>147.02000000000001</v>
      </c>
      <c r="M31" s="14" t="s">
        <v>86</v>
      </c>
    </row>
    <row r="32" spans="1:13" x14ac:dyDescent="0.25">
      <c r="A32" s="14" t="s">
        <v>55</v>
      </c>
      <c r="B32" s="14" t="s">
        <v>812</v>
      </c>
      <c r="C32" s="14" t="s">
        <v>813</v>
      </c>
      <c r="D32" s="14" t="s">
        <v>67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8">
        <v>0</v>
      </c>
      <c r="K32" s="14">
        <v>1</v>
      </c>
      <c r="L32" s="18">
        <v>0</v>
      </c>
      <c r="M32" s="14" t="s">
        <v>86</v>
      </c>
    </row>
    <row r="33" spans="1:13" x14ac:dyDescent="0.25">
      <c r="A33" s="14" t="s">
        <v>53</v>
      </c>
      <c r="B33" s="14" t="s">
        <v>814</v>
      </c>
      <c r="C33" s="14" t="s">
        <v>815</v>
      </c>
      <c r="D33" s="14" t="s">
        <v>66</v>
      </c>
      <c r="E33" s="14">
        <v>1</v>
      </c>
      <c r="F33" s="14">
        <v>0</v>
      </c>
      <c r="G33" s="14">
        <v>0</v>
      </c>
      <c r="H33" s="14">
        <v>0</v>
      </c>
      <c r="I33" s="14">
        <v>0</v>
      </c>
      <c r="J33" s="18">
        <v>33</v>
      </c>
      <c r="K33" s="14">
        <v>1</v>
      </c>
      <c r="L33" s="18">
        <v>0</v>
      </c>
      <c r="M33" s="14" t="s">
        <v>86</v>
      </c>
    </row>
    <row r="34" spans="1:13" x14ac:dyDescent="0.25">
      <c r="A34" s="14" t="s">
        <v>45</v>
      </c>
      <c r="B34" s="14" t="s">
        <v>816</v>
      </c>
      <c r="C34" s="14" t="s">
        <v>817</v>
      </c>
      <c r="D34" s="14" t="s">
        <v>75</v>
      </c>
      <c r="E34" s="14">
        <v>1</v>
      </c>
      <c r="F34" s="14">
        <v>0</v>
      </c>
      <c r="G34" s="14">
        <v>0</v>
      </c>
      <c r="H34" s="14">
        <v>0</v>
      </c>
      <c r="I34" s="14">
        <v>0</v>
      </c>
      <c r="J34" s="18">
        <v>0</v>
      </c>
      <c r="K34" s="14">
        <v>0</v>
      </c>
      <c r="L34" s="18">
        <v>113.05</v>
      </c>
      <c r="M34" s="14" t="s">
        <v>86</v>
      </c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2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2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2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818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49</v>
      </c>
      <c r="B4" s="14" t="s">
        <v>819</v>
      </c>
      <c r="C4" s="14" t="s">
        <v>820</v>
      </c>
      <c r="D4" s="14" t="s">
        <v>40</v>
      </c>
      <c r="E4" s="14">
        <v>0</v>
      </c>
      <c r="F4" s="14">
        <v>1</v>
      </c>
      <c r="G4" s="14">
        <v>0</v>
      </c>
      <c r="H4" s="14">
        <v>0</v>
      </c>
      <c r="I4" s="14">
        <v>0</v>
      </c>
      <c r="J4" s="18">
        <v>0</v>
      </c>
      <c r="K4" s="14">
        <v>1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16</v>
      </c>
      <c r="W4" s="14">
        <f t="shared" ref="W4:W15" si="6">SUMIF($A$4:$A$43,$P4,K$4:K$43)</f>
        <v>1</v>
      </c>
      <c r="X4" s="18">
        <f t="shared" ref="X4:X15" si="7">SUMIF($A$4:$A$43,$P4,L$4:L$43)</f>
        <v>0</v>
      </c>
    </row>
    <row r="5" spans="1:24" x14ac:dyDescent="0.25">
      <c r="A5" s="14" t="s">
        <v>57</v>
      </c>
      <c r="B5" s="14" t="s">
        <v>638</v>
      </c>
      <c r="C5" s="14" t="s">
        <v>821</v>
      </c>
      <c r="D5" s="14" t="s">
        <v>46</v>
      </c>
      <c r="E5" s="14">
        <v>0</v>
      </c>
      <c r="F5" s="14">
        <v>1</v>
      </c>
      <c r="G5" s="14">
        <v>0</v>
      </c>
      <c r="H5" s="14">
        <v>0</v>
      </c>
      <c r="I5" s="14">
        <v>0</v>
      </c>
      <c r="J5" s="18">
        <v>15</v>
      </c>
      <c r="K5" s="14">
        <v>1</v>
      </c>
      <c r="L5" s="18">
        <v>115.69</v>
      </c>
      <c r="M5" s="14" t="s">
        <v>86</v>
      </c>
      <c r="P5" s="14" t="str">
        <f>Setup!$A$5</f>
        <v>Expert 02</v>
      </c>
      <c r="Q5" s="14">
        <f t="shared" si="0"/>
        <v>2</v>
      </c>
      <c r="R5" s="14">
        <f t="shared" si="1"/>
        <v>0</v>
      </c>
      <c r="S5" s="14">
        <f t="shared" si="2"/>
        <v>1</v>
      </c>
      <c r="T5" s="14">
        <f t="shared" si="3"/>
        <v>0</v>
      </c>
      <c r="U5" s="14">
        <f t="shared" si="4"/>
        <v>0</v>
      </c>
      <c r="V5" s="18">
        <f t="shared" si="5"/>
        <v>18</v>
      </c>
      <c r="W5" s="14">
        <f t="shared" si="6"/>
        <v>3</v>
      </c>
      <c r="X5" s="18">
        <f t="shared" si="7"/>
        <v>0</v>
      </c>
    </row>
    <row r="6" spans="1:24" x14ac:dyDescent="0.25">
      <c r="A6" s="14" t="s">
        <v>41</v>
      </c>
      <c r="B6" s="14" t="s">
        <v>822</v>
      </c>
      <c r="C6" s="14" t="s">
        <v>823</v>
      </c>
      <c r="D6" s="14" t="s">
        <v>50</v>
      </c>
      <c r="E6" s="14">
        <v>0</v>
      </c>
      <c r="F6" s="14">
        <v>0</v>
      </c>
      <c r="G6" s="14">
        <v>1</v>
      </c>
      <c r="H6" s="14">
        <v>0</v>
      </c>
      <c r="I6" s="14">
        <v>0</v>
      </c>
      <c r="J6" s="18">
        <v>18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1</v>
      </c>
      <c r="X6" s="18">
        <f t="shared" si="7"/>
        <v>158.38</v>
      </c>
    </row>
    <row r="7" spans="1:24" x14ac:dyDescent="0.25">
      <c r="A7" s="14" t="s">
        <v>61</v>
      </c>
      <c r="B7" s="14" t="s">
        <v>824</v>
      </c>
      <c r="C7" s="14" t="s">
        <v>825</v>
      </c>
      <c r="D7" s="14" t="s">
        <v>68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56.37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1</v>
      </c>
      <c r="S7" s="14">
        <f t="shared" si="2"/>
        <v>1</v>
      </c>
      <c r="T7" s="14">
        <f t="shared" si="3"/>
        <v>0</v>
      </c>
      <c r="U7" s="14">
        <f t="shared" si="4"/>
        <v>1</v>
      </c>
      <c r="V7" s="18">
        <f t="shared" si="5"/>
        <v>33</v>
      </c>
      <c r="W7" s="14">
        <f t="shared" si="6"/>
        <v>2</v>
      </c>
      <c r="X7" s="18">
        <f t="shared" si="7"/>
        <v>73.47999999999999</v>
      </c>
    </row>
    <row r="8" spans="1:24" x14ac:dyDescent="0.25">
      <c r="A8" s="14" t="s">
        <v>55</v>
      </c>
      <c r="B8" s="14" t="s">
        <v>826</v>
      </c>
      <c r="C8" s="14" t="s">
        <v>827</v>
      </c>
      <c r="D8" s="14" t="s">
        <v>63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8">
        <v>33</v>
      </c>
      <c r="K8" s="14">
        <v>1</v>
      </c>
      <c r="L8" s="18">
        <v>105.03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1</v>
      </c>
      <c r="X8" s="18">
        <f t="shared" si="7"/>
        <v>0</v>
      </c>
    </row>
    <row r="9" spans="1:24" x14ac:dyDescent="0.25">
      <c r="A9" s="14" t="s">
        <v>41</v>
      </c>
      <c r="B9" s="14" t="s">
        <v>828</v>
      </c>
      <c r="C9" s="14" t="s">
        <v>829</v>
      </c>
      <c r="D9" s="14" t="s">
        <v>46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1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1</v>
      </c>
      <c r="X9" s="18">
        <f t="shared" si="7"/>
        <v>0</v>
      </c>
    </row>
    <row r="10" spans="1:24" x14ac:dyDescent="0.25">
      <c r="A10" s="14" t="s">
        <v>45</v>
      </c>
      <c r="B10" s="14" t="s">
        <v>830</v>
      </c>
      <c r="C10" s="14" t="s">
        <v>831</v>
      </c>
      <c r="D10" s="14" t="s">
        <v>72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31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0</v>
      </c>
      <c r="W10" s="14">
        <f t="shared" si="6"/>
        <v>1</v>
      </c>
      <c r="X10" s="18">
        <f t="shared" si="7"/>
        <v>0</v>
      </c>
    </row>
    <row r="11" spans="1:24" x14ac:dyDescent="0.25">
      <c r="A11" s="14" t="s">
        <v>55</v>
      </c>
      <c r="B11" s="14" t="s">
        <v>832</v>
      </c>
      <c r="C11" s="14" t="s">
        <v>833</v>
      </c>
      <c r="D11" s="14" t="s">
        <v>63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8">
        <v>18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1</v>
      </c>
      <c r="S11" s="14">
        <f t="shared" si="2"/>
        <v>0</v>
      </c>
      <c r="T11" s="14">
        <f t="shared" si="3"/>
        <v>0</v>
      </c>
      <c r="U11" s="14">
        <f t="shared" si="4"/>
        <v>1</v>
      </c>
      <c r="V11" s="18">
        <f t="shared" si="5"/>
        <v>31</v>
      </c>
      <c r="W11" s="14">
        <f t="shared" si="6"/>
        <v>3</v>
      </c>
      <c r="X11" s="18">
        <f t="shared" si="7"/>
        <v>163.69999999999999</v>
      </c>
    </row>
    <row r="12" spans="1:24" x14ac:dyDescent="0.25">
      <c r="A12" s="14" t="s">
        <v>51</v>
      </c>
      <c r="B12" s="14" t="s">
        <v>834</v>
      </c>
      <c r="C12" s="14" t="s">
        <v>835</v>
      </c>
      <c r="D12" s="14" t="s">
        <v>67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0</v>
      </c>
      <c r="M12" s="14" t="s">
        <v>111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51</v>
      </c>
      <c r="W12" s="14">
        <f t="shared" si="6"/>
        <v>3</v>
      </c>
      <c r="X12" s="18">
        <f t="shared" si="7"/>
        <v>251.16</v>
      </c>
    </row>
    <row r="13" spans="1:24" x14ac:dyDescent="0.25">
      <c r="A13" s="14" t="s">
        <v>47</v>
      </c>
      <c r="B13" s="14" t="s">
        <v>836</v>
      </c>
      <c r="C13" s="14" t="s">
        <v>837</v>
      </c>
      <c r="D13" s="14" t="s">
        <v>71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1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15</v>
      </c>
      <c r="W13" s="14">
        <f t="shared" si="6"/>
        <v>1</v>
      </c>
      <c r="X13" s="18">
        <f t="shared" si="7"/>
        <v>115.69</v>
      </c>
    </row>
    <row r="14" spans="1:24" x14ac:dyDescent="0.25">
      <c r="A14" s="14" t="s">
        <v>41</v>
      </c>
      <c r="B14" s="14" t="s">
        <v>838</v>
      </c>
      <c r="C14" s="14" t="s">
        <v>839</v>
      </c>
      <c r="D14" s="14" t="s">
        <v>50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2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60</v>
      </c>
      <c r="W14" s="14">
        <f t="shared" si="6"/>
        <v>3</v>
      </c>
      <c r="X14" s="18">
        <f t="shared" si="7"/>
        <v>469.71999999999997</v>
      </c>
    </row>
    <row r="15" spans="1:24" x14ac:dyDescent="0.25">
      <c r="A15" s="14" t="s">
        <v>61</v>
      </c>
      <c r="B15" s="14" t="s">
        <v>840</v>
      </c>
      <c r="C15" s="14" t="s">
        <v>841</v>
      </c>
      <c r="D15" s="14" t="s">
        <v>75</v>
      </c>
      <c r="E15" s="14">
        <v>1</v>
      </c>
      <c r="F15" s="14">
        <v>0</v>
      </c>
      <c r="G15" s="14">
        <v>0</v>
      </c>
      <c r="H15" s="14">
        <v>1</v>
      </c>
      <c r="I15" s="14">
        <v>0</v>
      </c>
      <c r="J15" s="18">
        <v>0</v>
      </c>
      <c r="K15" s="14">
        <v>0</v>
      </c>
      <c r="L15" s="18">
        <v>168.7</v>
      </c>
      <c r="M15" s="14" t="s">
        <v>86</v>
      </c>
      <c r="P15" s="14" t="str">
        <f>Setup!$A$15</f>
        <v>Expert 12</v>
      </c>
      <c r="Q15" s="14">
        <f t="shared" si="0"/>
        <v>2</v>
      </c>
      <c r="R15" s="14">
        <f t="shared" si="1"/>
        <v>1</v>
      </c>
      <c r="S15" s="14">
        <f t="shared" si="2"/>
        <v>0</v>
      </c>
      <c r="T15" s="14">
        <f t="shared" si="3"/>
        <v>1</v>
      </c>
      <c r="U15" s="14">
        <f t="shared" si="4"/>
        <v>0</v>
      </c>
      <c r="V15" s="18">
        <f t="shared" si="5"/>
        <v>24</v>
      </c>
      <c r="W15" s="14">
        <f t="shared" si="6"/>
        <v>2</v>
      </c>
      <c r="X15" s="18">
        <f t="shared" si="7"/>
        <v>271.65999999999997</v>
      </c>
    </row>
    <row r="16" spans="1:24" x14ac:dyDescent="0.25">
      <c r="A16" s="14" t="s">
        <v>55</v>
      </c>
      <c r="B16" s="14" t="s">
        <v>842</v>
      </c>
      <c r="C16" s="14" t="s">
        <v>843</v>
      </c>
      <c r="D16" s="14" t="s">
        <v>42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146.13</v>
      </c>
      <c r="M16" s="14" t="s">
        <v>86</v>
      </c>
      <c r="P16" s="19" t="s">
        <v>112</v>
      </c>
      <c r="Q16" s="20">
        <f t="shared" ref="Q16:X16" si="8">SUM(Q4:Q15)</f>
        <v>10</v>
      </c>
      <c r="R16" s="20">
        <f t="shared" si="8"/>
        <v>5</v>
      </c>
      <c r="S16" s="20">
        <f t="shared" si="8"/>
        <v>2</v>
      </c>
      <c r="T16" s="20">
        <f t="shared" si="8"/>
        <v>1</v>
      </c>
      <c r="U16" s="20">
        <f t="shared" si="8"/>
        <v>2</v>
      </c>
      <c r="V16" s="21">
        <f t="shared" si="8"/>
        <v>248</v>
      </c>
      <c r="W16" s="20">
        <f t="shared" si="8"/>
        <v>22</v>
      </c>
      <c r="X16" s="21">
        <f t="shared" si="8"/>
        <v>1503.79</v>
      </c>
    </row>
    <row r="17" spans="1:13" x14ac:dyDescent="0.25">
      <c r="A17" s="14" t="s">
        <v>53</v>
      </c>
      <c r="B17" s="14" t="s">
        <v>844</v>
      </c>
      <c r="C17" s="14" t="s">
        <v>845</v>
      </c>
      <c r="D17" s="14" t="s">
        <v>74</v>
      </c>
      <c r="E17" s="14">
        <v>0</v>
      </c>
      <c r="F17" s="14">
        <v>1</v>
      </c>
      <c r="G17" s="14">
        <v>0</v>
      </c>
      <c r="H17" s="14">
        <v>0</v>
      </c>
      <c r="I17" s="14">
        <v>1</v>
      </c>
      <c r="J17" s="18">
        <v>0</v>
      </c>
      <c r="K17" s="14">
        <v>0</v>
      </c>
      <c r="L17" s="18">
        <v>0</v>
      </c>
      <c r="M17" s="14" t="s">
        <v>86</v>
      </c>
    </row>
    <row r="18" spans="1:13" x14ac:dyDescent="0.25">
      <c r="A18" s="14" t="s">
        <v>53</v>
      </c>
      <c r="B18" s="14" t="s">
        <v>846</v>
      </c>
      <c r="C18" s="14" t="s">
        <v>847</v>
      </c>
      <c r="D18" s="14" t="s">
        <v>68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0</v>
      </c>
      <c r="K18" s="14">
        <v>1</v>
      </c>
      <c r="L18" s="18">
        <v>0</v>
      </c>
      <c r="M18" s="14" t="s">
        <v>86</v>
      </c>
    </row>
    <row r="19" spans="1:13" x14ac:dyDescent="0.25">
      <c r="A19" s="14" t="s">
        <v>53</v>
      </c>
      <c r="B19" s="14" t="s">
        <v>848</v>
      </c>
      <c r="C19" s="14" t="s">
        <v>849</v>
      </c>
      <c r="D19" s="14" t="s">
        <v>56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8">
        <v>16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59</v>
      </c>
      <c r="B20" s="14" t="s">
        <v>850</v>
      </c>
      <c r="C20" s="14" t="s">
        <v>851</v>
      </c>
      <c r="D20" s="14" t="s">
        <v>77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8">
        <v>18</v>
      </c>
      <c r="K20" s="14">
        <v>0</v>
      </c>
      <c r="L20" s="18">
        <v>176.34</v>
      </c>
      <c r="M20" s="14" t="s">
        <v>86</v>
      </c>
    </row>
    <row r="21" spans="1:13" x14ac:dyDescent="0.25">
      <c r="A21" s="14" t="s">
        <v>45</v>
      </c>
      <c r="B21" s="14" t="s">
        <v>271</v>
      </c>
      <c r="C21" s="14" t="s">
        <v>852</v>
      </c>
      <c r="D21" s="14" t="s">
        <v>73</v>
      </c>
      <c r="E21" s="14">
        <v>0</v>
      </c>
      <c r="F21" s="14">
        <v>0</v>
      </c>
      <c r="G21" s="14">
        <v>1</v>
      </c>
      <c r="H21" s="14">
        <v>0</v>
      </c>
      <c r="I21" s="14">
        <v>1</v>
      </c>
      <c r="J21" s="18">
        <v>0</v>
      </c>
      <c r="K21" s="14">
        <v>0</v>
      </c>
      <c r="L21" s="18">
        <v>0</v>
      </c>
      <c r="M21" s="14" t="s">
        <v>86</v>
      </c>
    </row>
    <row r="22" spans="1:13" x14ac:dyDescent="0.25">
      <c r="A22" s="14" t="s">
        <v>59</v>
      </c>
      <c r="B22" s="14" t="s">
        <v>853</v>
      </c>
      <c r="C22" s="14" t="s">
        <v>854</v>
      </c>
      <c r="D22" s="14" t="s">
        <v>52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8">
        <v>24</v>
      </c>
      <c r="K22" s="14">
        <v>1</v>
      </c>
      <c r="L22" s="18">
        <v>124.71</v>
      </c>
      <c r="M22" s="14" t="s">
        <v>86</v>
      </c>
    </row>
    <row r="23" spans="1:13" x14ac:dyDescent="0.25">
      <c r="A23" s="14" t="s">
        <v>61</v>
      </c>
      <c r="B23" s="14" t="s">
        <v>855</v>
      </c>
      <c r="C23" s="14" t="s">
        <v>856</v>
      </c>
      <c r="D23" s="14" t="s">
        <v>52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8">
        <v>24</v>
      </c>
      <c r="K23" s="14">
        <v>1</v>
      </c>
      <c r="L23" s="18">
        <v>46.59</v>
      </c>
      <c r="M23" s="14" t="s">
        <v>86</v>
      </c>
    </row>
    <row r="24" spans="1:13" x14ac:dyDescent="0.25">
      <c r="A24" s="14" t="s">
        <v>59</v>
      </c>
      <c r="B24" s="14" t="s">
        <v>857</v>
      </c>
      <c r="C24" s="14" t="s">
        <v>858</v>
      </c>
      <c r="D24" s="14" t="s">
        <v>72</v>
      </c>
      <c r="E24" s="14">
        <v>1</v>
      </c>
      <c r="F24" s="14">
        <v>0</v>
      </c>
      <c r="G24" s="14">
        <v>0</v>
      </c>
      <c r="H24" s="14">
        <v>0</v>
      </c>
      <c r="I24" s="14">
        <v>0</v>
      </c>
      <c r="J24" s="18">
        <v>0</v>
      </c>
      <c r="K24" s="14">
        <v>1</v>
      </c>
      <c r="L24" s="18">
        <v>90.22</v>
      </c>
      <c r="M24" s="14" t="s">
        <v>86</v>
      </c>
    </row>
    <row r="25" spans="1:13" x14ac:dyDescent="0.25">
      <c r="A25" s="14" t="s">
        <v>39</v>
      </c>
      <c r="B25" s="14" t="s">
        <v>859</v>
      </c>
      <c r="C25" s="14" t="s">
        <v>860</v>
      </c>
      <c r="D25" s="14" t="s">
        <v>68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16</v>
      </c>
      <c r="K25" s="14">
        <v>1</v>
      </c>
      <c r="L25" s="18">
        <v>0</v>
      </c>
      <c r="M25" s="14" t="s">
        <v>86</v>
      </c>
    </row>
    <row r="26" spans="1:13" x14ac:dyDescent="0.25">
      <c r="A26" s="14" t="s">
        <v>43</v>
      </c>
      <c r="B26" s="14" t="s">
        <v>861</v>
      </c>
      <c r="C26" s="14" t="s">
        <v>862</v>
      </c>
      <c r="D26" s="14" t="s">
        <v>42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158.38</v>
      </c>
      <c r="M26" s="14" t="s">
        <v>86</v>
      </c>
    </row>
    <row r="27" spans="1:13" x14ac:dyDescent="0.25">
      <c r="A27" s="14" t="s">
        <v>59</v>
      </c>
      <c r="B27" s="14" t="s">
        <v>863</v>
      </c>
      <c r="C27" s="14" t="s">
        <v>864</v>
      </c>
      <c r="D27" s="14" t="s">
        <v>52</v>
      </c>
      <c r="E27" s="14">
        <v>1</v>
      </c>
      <c r="F27" s="14">
        <v>0</v>
      </c>
      <c r="G27" s="14">
        <v>0</v>
      </c>
      <c r="H27" s="14">
        <v>0</v>
      </c>
      <c r="I27" s="14">
        <v>0</v>
      </c>
      <c r="J27" s="18">
        <v>18</v>
      </c>
      <c r="K27" s="14">
        <v>1</v>
      </c>
      <c r="L27" s="18">
        <v>78.45</v>
      </c>
      <c r="M27" s="14" t="s">
        <v>86</v>
      </c>
    </row>
    <row r="28" spans="1:13" x14ac:dyDescent="0.25">
      <c r="A28" s="14" t="s">
        <v>53</v>
      </c>
      <c r="B28" s="14" t="s">
        <v>865</v>
      </c>
      <c r="C28" s="14" t="s">
        <v>866</v>
      </c>
      <c r="D28" s="14" t="s">
        <v>60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8">
        <v>15</v>
      </c>
      <c r="K28" s="14">
        <v>1</v>
      </c>
      <c r="L28" s="18">
        <v>163.69999999999999</v>
      </c>
      <c r="M28" s="14" t="s">
        <v>86</v>
      </c>
    </row>
    <row r="29" spans="1:13" x14ac:dyDescent="0.25">
      <c r="A29" s="14" t="s">
        <v>45</v>
      </c>
      <c r="B29" s="14" t="s">
        <v>867</v>
      </c>
      <c r="C29" s="14" t="s">
        <v>868</v>
      </c>
      <c r="D29" s="14" t="s">
        <v>71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8">
        <v>33</v>
      </c>
      <c r="K29" s="14">
        <v>1</v>
      </c>
      <c r="L29" s="18">
        <v>42.48</v>
      </c>
      <c r="M29" s="14" t="s">
        <v>86</v>
      </c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3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3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3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869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39</v>
      </c>
      <c r="B4" s="14" t="s">
        <v>870</v>
      </c>
      <c r="C4" s="14" t="s">
        <v>871</v>
      </c>
      <c r="D4" s="14" t="s">
        <v>75</v>
      </c>
      <c r="E4" s="14">
        <v>1</v>
      </c>
      <c r="F4" s="14">
        <v>0</v>
      </c>
      <c r="G4" s="14">
        <v>1</v>
      </c>
      <c r="H4" s="14">
        <v>0</v>
      </c>
      <c r="I4" s="14">
        <v>0</v>
      </c>
      <c r="J4" s="18">
        <v>0</v>
      </c>
      <c r="K4" s="14">
        <v>0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3</v>
      </c>
      <c r="R4" s="14">
        <f t="shared" ref="R4:R15" si="1">SUMIF($A$4:$A$43,$P4,F$4:F$43)</f>
        <v>1</v>
      </c>
      <c r="S4" s="14">
        <f t="shared" ref="S4:S15" si="2">SUMIF($A$4:$A$43,$P4,G$4:G$43)</f>
        <v>1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39</v>
      </c>
      <c r="W4" s="14">
        <f t="shared" ref="W4:W15" si="6">SUMIF($A$4:$A$43,$P4,K$4:K$43)</f>
        <v>3</v>
      </c>
      <c r="X4" s="18">
        <f t="shared" ref="X4:X15" si="7">SUMIF($A$4:$A$43,$P4,L$4:L$43)</f>
        <v>28.09</v>
      </c>
    </row>
    <row r="5" spans="1:24" x14ac:dyDescent="0.25">
      <c r="A5" s="14" t="s">
        <v>39</v>
      </c>
      <c r="B5" s="14" t="s">
        <v>872</v>
      </c>
      <c r="C5" s="14" t="s">
        <v>873</v>
      </c>
      <c r="D5" s="14" t="s">
        <v>58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24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2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1</v>
      </c>
      <c r="V5" s="18">
        <f t="shared" si="5"/>
        <v>0</v>
      </c>
      <c r="W5" s="14">
        <f t="shared" si="6"/>
        <v>2</v>
      </c>
      <c r="X5" s="18">
        <f t="shared" si="7"/>
        <v>0</v>
      </c>
    </row>
    <row r="6" spans="1:24" x14ac:dyDescent="0.25">
      <c r="A6" s="14" t="s">
        <v>41</v>
      </c>
      <c r="B6" s="14" t="s">
        <v>874</v>
      </c>
      <c r="C6" s="14" t="s">
        <v>875</v>
      </c>
      <c r="D6" s="14" t="s">
        <v>73</v>
      </c>
      <c r="E6" s="14">
        <v>0</v>
      </c>
      <c r="F6" s="14">
        <v>0</v>
      </c>
      <c r="G6" s="14">
        <v>0</v>
      </c>
      <c r="H6" s="14">
        <v>0</v>
      </c>
      <c r="I6" s="14">
        <v>1</v>
      </c>
      <c r="J6" s="18">
        <v>0</v>
      </c>
      <c r="K6" s="14">
        <v>0</v>
      </c>
      <c r="L6" s="18">
        <v>0</v>
      </c>
      <c r="M6" s="14" t="s">
        <v>111</v>
      </c>
      <c r="P6" s="14" t="str">
        <f>Setup!$A$6</f>
        <v>Expert 03</v>
      </c>
      <c r="Q6" s="14">
        <f t="shared" si="0"/>
        <v>1</v>
      </c>
      <c r="R6" s="14">
        <f t="shared" si="1"/>
        <v>1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33</v>
      </c>
      <c r="W6" s="14">
        <f t="shared" si="6"/>
        <v>3</v>
      </c>
      <c r="X6" s="18">
        <f t="shared" si="7"/>
        <v>165.28000000000003</v>
      </c>
    </row>
    <row r="7" spans="1:24" x14ac:dyDescent="0.25">
      <c r="A7" s="14" t="s">
        <v>59</v>
      </c>
      <c r="B7" s="14" t="s">
        <v>876</v>
      </c>
      <c r="C7" s="14" t="s">
        <v>877</v>
      </c>
      <c r="D7" s="14" t="s">
        <v>54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24</v>
      </c>
      <c r="K7" s="14">
        <v>1</v>
      </c>
      <c r="L7" s="18">
        <v>19.829999999999998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2</v>
      </c>
      <c r="X7" s="18">
        <f t="shared" si="7"/>
        <v>139.44999999999999</v>
      </c>
    </row>
    <row r="8" spans="1:24" x14ac:dyDescent="0.25">
      <c r="A8" s="14" t="s">
        <v>55</v>
      </c>
      <c r="B8" s="14" t="s">
        <v>878</v>
      </c>
      <c r="C8" s="14" t="s">
        <v>879</v>
      </c>
      <c r="D8" s="14" t="s">
        <v>63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16</v>
      </c>
      <c r="K8" s="14">
        <v>1</v>
      </c>
      <c r="L8" s="18">
        <v>106.06</v>
      </c>
      <c r="M8" s="14" t="s">
        <v>86</v>
      </c>
      <c r="P8" s="14" t="str">
        <f>Setup!$A$8</f>
        <v>Expert 05</v>
      </c>
      <c r="Q8" s="14">
        <f t="shared" si="0"/>
        <v>2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24</v>
      </c>
      <c r="W8" s="14">
        <f t="shared" si="6"/>
        <v>1</v>
      </c>
      <c r="X8" s="18">
        <f t="shared" si="7"/>
        <v>195.76</v>
      </c>
    </row>
    <row r="9" spans="1:24" x14ac:dyDescent="0.25">
      <c r="A9" s="14" t="s">
        <v>53</v>
      </c>
      <c r="B9" s="14" t="s">
        <v>880</v>
      </c>
      <c r="C9" s="14" t="s">
        <v>881</v>
      </c>
      <c r="D9" s="14" t="s">
        <v>66</v>
      </c>
      <c r="E9" s="14">
        <v>1</v>
      </c>
      <c r="F9" s="14">
        <v>0</v>
      </c>
      <c r="G9" s="14">
        <v>0</v>
      </c>
      <c r="H9" s="14">
        <v>1</v>
      </c>
      <c r="I9" s="14">
        <v>0</v>
      </c>
      <c r="J9" s="18">
        <v>0</v>
      </c>
      <c r="K9" s="14">
        <v>1</v>
      </c>
      <c r="L9" s="18">
        <v>58.07</v>
      </c>
      <c r="M9" s="14" t="s">
        <v>86</v>
      </c>
      <c r="P9" s="14" t="str">
        <f>Setup!$A$9</f>
        <v>Expert 06</v>
      </c>
      <c r="Q9" s="14">
        <f t="shared" si="0"/>
        <v>1</v>
      </c>
      <c r="R9" s="14">
        <f t="shared" si="1"/>
        <v>2</v>
      </c>
      <c r="S9" s="14">
        <f t="shared" si="2"/>
        <v>0</v>
      </c>
      <c r="T9" s="14">
        <f t="shared" si="3"/>
        <v>0</v>
      </c>
      <c r="U9" s="14">
        <f t="shared" si="4"/>
        <v>1</v>
      </c>
      <c r="V9" s="18">
        <f t="shared" si="5"/>
        <v>81</v>
      </c>
      <c r="W9" s="14">
        <f t="shared" si="6"/>
        <v>5</v>
      </c>
      <c r="X9" s="18">
        <f t="shared" si="7"/>
        <v>270.98</v>
      </c>
    </row>
    <row r="10" spans="1:24" x14ac:dyDescent="0.25">
      <c r="A10" s="14" t="s">
        <v>61</v>
      </c>
      <c r="B10" s="14" t="s">
        <v>882</v>
      </c>
      <c r="C10" s="14" t="s">
        <v>883</v>
      </c>
      <c r="D10" s="14" t="s">
        <v>58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8">
        <v>15</v>
      </c>
      <c r="K10" s="14">
        <v>1</v>
      </c>
      <c r="L10" s="18">
        <v>124.07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0</v>
      </c>
      <c r="W10" s="14">
        <f t="shared" si="6"/>
        <v>0</v>
      </c>
      <c r="X10" s="18">
        <f t="shared" si="7"/>
        <v>0</v>
      </c>
    </row>
    <row r="11" spans="1:24" x14ac:dyDescent="0.25">
      <c r="A11" s="14" t="s">
        <v>39</v>
      </c>
      <c r="B11" s="14" t="s">
        <v>884</v>
      </c>
      <c r="C11" s="14" t="s">
        <v>885</v>
      </c>
      <c r="D11" s="14" t="s">
        <v>64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28.09</v>
      </c>
      <c r="M11" s="14" t="s">
        <v>86</v>
      </c>
      <c r="P11" s="14" t="str">
        <f>Setup!$A$11</f>
        <v>Expert 08</v>
      </c>
      <c r="Q11" s="14">
        <f t="shared" si="0"/>
        <v>1</v>
      </c>
      <c r="R11" s="14">
        <f t="shared" si="1"/>
        <v>0</v>
      </c>
      <c r="S11" s="14">
        <f t="shared" si="2"/>
        <v>0</v>
      </c>
      <c r="T11" s="14">
        <f t="shared" si="3"/>
        <v>1</v>
      </c>
      <c r="U11" s="14">
        <f t="shared" si="4"/>
        <v>1</v>
      </c>
      <c r="V11" s="18">
        <f t="shared" si="5"/>
        <v>15</v>
      </c>
      <c r="W11" s="14">
        <f t="shared" si="6"/>
        <v>2</v>
      </c>
      <c r="X11" s="18">
        <f t="shared" si="7"/>
        <v>215.60999999999999</v>
      </c>
    </row>
    <row r="12" spans="1:24" x14ac:dyDescent="0.25">
      <c r="A12" s="14" t="s">
        <v>61</v>
      </c>
      <c r="B12" s="14" t="s">
        <v>886</v>
      </c>
      <c r="C12" s="14" t="s">
        <v>887</v>
      </c>
      <c r="D12" s="14" t="s">
        <v>42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33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16</v>
      </c>
      <c r="W12" s="14">
        <f t="shared" si="6"/>
        <v>2</v>
      </c>
      <c r="X12" s="18">
        <f t="shared" si="7"/>
        <v>260.49</v>
      </c>
    </row>
    <row r="13" spans="1:24" x14ac:dyDescent="0.25">
      <c r="A13" s="14" t="s">
        <v>49</v>
      </c>
      <c r="B13" s="14" t="s">
        <v>888</v>
      </c>
      <c r="C13" s="14" t="s">
        <v>889</v>
      </c>
      <c r="D13" s="14" t="s">
        <v>54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8">
        <v>15</v>
      </c>
      <c r="K13" s="14">
        <v>1</v>
      </c>
      <c r="L13" s="18">
        <v>127.29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1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0</v>
      </c>
      <c r="W13" s="14">
        <f t="shared" si="6"/>
        <v>1</v>
      </c>
      <c r="X13" s="18">
        <f t="shared" si="7"/>
        <v>0</v>
      </c>
    </row>
    <row r="14" spans="1:24" x14ac:dyDescent="0.25">
      <c r="A14" s="14" t="s">
        <v>49</v>
      </c>
      <c r="B14" s="14" t="s">
        <v>890</v>
      </c>
      <c r="C14" s="14" t="s">
        <v>891</v>
      </c>
      <c r="D14" s="14" t="s">
        <v>70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8">
        <v>24</v>
      </c>
      <c r="K14" s="14">
        <v>1</v>
      </c>
      <c r="L14" s="18">
        <v>50.06</v>
      </c>
      <c r="M14" s="14" t="s">
        <v>86</v>
      </c>
      <c r="P14" s="14" t="str">
        <f>Setup!$A$14</f>
        <v>Expert 11</v>
      </c>
      <c r="Q14" s="14">
        <f t="shared" si="0"/>
        <v>2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24</v>
      </c>
      <c r="W14" s="14">
        <f t="shared" si="6"/>
        <v>2</v>
      </c>
      <c r="X14" s="18">
        <f t="shared" si="7"/>
        <v>19.829999999999998</v>
      </c>
    </row>
    <row r="15" spans="1:24" x14ac:dyDescent="0.25">
      <c r="A15" s="14" t="s">
        <v>43</v>
      </c>
      <c r="B15" s="14" t="s">
        <v>892</v>
      </c>
      <c r="C15" s="14" t="s">
        <v>893</v>
      </c>
      <c r="D15" s="14" t="s">
        <v>52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15.6</v>
      </c>
      <c r="M15" s="14" t="s">
        <v>86</v>
      </c>
      <c r="P15" s="14" t="str">
        <f>Setup!$A$15</f>
        <v>Expert 12</v>
      </c>
      <c r="Q15" s="14">
        <f t="shared" si="0"/>
        <v>3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72</v>
      </c>
      <c r="W15" s="14">
        <f t="shared" si="6"/>
        <v>4</v>
      </c>
      <c r="X15" s="18">
        <f t="shared" si="7"/>
        <v>162.54999999999998</v>
      </c>
    </row>
    <row r="16" spans="1:24" x14ac:dyDescent="0.25">
      <c r="A16" s="14" t="s">
        <v>49</v>
      </c>
      <c r="B16" s="14" t="s">
        <v>894</v>
      </c>
      <c r="C16" s="14" t="s">
        <v>895</v>
      </c>
      <c r="D16" s="14" t="s">
        <v>54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18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17</v>
      </c>
      <c r="R16" s="20">
        <f t="shared" si="8"/>
        <v>5</v>
      </c>
      <c r="S16" s="20">
        <f t="shared" si="8"/>
        <v>1</v>
      </c>
      <c r="T16" s="20">
        <f t="shared" si="8"/>
        <v>1</v>
      </c>
      <c r="U16" s="20">
        <f t="shared" si="8"/>
        <v>3</v>
      </c>
      <c r="V16" s="21">
        <f t="shared" si="8"/>
        <v>304</v>
      </c>
      <c r="W16" s="20">
        <f t="shared" si="8"/>
        <v>27</v>
      </c>
      <c r="X16" s="21">
        <f t="shared" si="8"/>
        <v>1458.04</v>
      </c>
    </row>
    <row r="17" spans="1:13" x14ac:dyDescent="0.25">
      <c r="A17" s="14" t="s">
        <v>61</v>
      </c>
      <c r="B17" s="14" t="s">
        <v>896</v>
      </c>
      <c r="C17" s="14" t="s">
        <v>897</v>
      </c>
      <c r="D17" s="14" t="s">
        <v>46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24</v>
      </c>
      <c r="K17" s="14">
        <v>1</v>
      </c>
      <c r="L17" s="18">
        <v>38.479999999999997</v>
      </c>
      <c r="M17" s="14" t="s">
        <v>86</v>
      </c>
    </row>
    <row r="18" spans="1:13" x14ac:dyDescent="0.25">
      <c r="A18" s="14" t="s">
        <v>47</v>
      </c>
      <c r="B18" s="14" t="s">
        <v>898</v>
      </c>
      <c r="C18" s="14" t="s">
        <v>899</v>
      </c>
      <c r="D18" s="14" t="s">
        <v>77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0</v>
      </c>
      <c r="K18" s="14">
        <v>0</v>
      </c>
      <c r="L18" s="18">
        <v>0</v>
      </c>
      <c r="M18" s="14" t="s">
        <v>86</v>
      </c>
    </row>
    <row r="19" spans="1:13" x14ac:dyDescent="0.25">
      <c r="A19" s="14" t="s">
        <v>59</v>
      </c>
      <c r="B19" s="14" t="s">
        <v>900</v>
      </c>
      <c r="C19" s="14" t="s">
        <v>901</v>
      </c>
      <c r="D19" s="14" t="s">
        <v>63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45</v>
      </c>
      <c r="B20" s="14" t="s">
        <v>902</v>
      </c>
      <c r="C20" s="14" t="s">
        <v>903</v>
      </c>
      <c r="D20" s="14" t="s">
        <v>72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0</v>
      </c>
      <c r="M20" s="14" t="s">
        <v>86</v>
      </c>
    </row>
    <row r="21" spans="1:13" x14ac:dyDescent="0.25">
      <c r="A21" s="14" t="s">
        <v>43</v>
      </c>
      <c r="B21" s="14" t="s">
        <v>904</v>
      </c>
      <c r="C21" s="14" t="s">
        <v>905</v>
      </c>
      <c r="D21" s="14" t="s">
        <v>67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123.58</v>
      </c>
      <c r="M21" s="14" t="s">
        <v>86</v>
      </c>
    </row>
    <row r="22" spans="1:13" x14ac:dyDescent="0.25">
      <c r="A22" s="14" t="s">
        <v>43</v>
      </c>
      <c r="B22" s="14" t="s">
        <v>906</v>
      </c>
      <c r="C22" s="14" t="s">
        <v>907</v>
      </c>
      <c r="D22" s="14" t="s">
        <v>48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3.11</v>
      </c>
      <c r="M22" s="14" t="s">
        <v>86</v>
      </c>
    </row>
    <row r="23" spans="1:13" x14ac:dyDescent="0.25">
      <c r="A23" s="14" t="s">
        <v>47</v>
      </c>
      <c r="B23" s="14" t="s">
        <v>908</v>
      </c>
      <c r="C23" s="14" t="s">
        <v>909</v>
      </c>
      <c r="D23" s="14" t="s">
        <v>60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116.54</v>
      </c>
      <c r="M23" s="14" t="s">
        <v>86</v>
      </c>
    </row>
    <row r="24" spans="1:13" x14ac:dyDescent="0.25">
      <c r="A24" s="14" t="s">
        <v>47</v>
      </c>
      <c r="B24" s="14" t="s">
        <v>910</v>
      </c>
      <c r="C24" s="14" t="s">
        <v>911</v>
      </c>
      <c r="D24" s="14" t="s">
        <v>75</v>
      </c>
      <c r="E24" s="14">
        <v>1</v>
      </c>
      <c r="F24" s="14">
        <v>0</v>
      </c>
      <c r="G24" s="14">
        <v>0</v>
      </c>
      <c r="H24" s="14">
        <v>0</v>
      </c>
      <c r="I24" s="14">
        <v>0</v>
      </c>
      <c r="J24" s="18">
        <v>24</v>
      </c>
      <c r="K24" s="14">
        <v>0</v>
      </c>
      <c r="L24" s="18">
        <v>79.22</v>
      </c>
      <c r="M24" s="14" t="s">
        <v>86</v>
      </c>
    </row>
    <row r="25" spans="1:13" x14ac:dyDescent="0.25">
      <c r="A25" s="14" t="s">
        <v>45</v>
      </c>
      <c r="B25" s="14" t="s">
        <v>912</v>
      </c>
      <c r="C25" s="14" t="s">
        <v>913</v>
      </c>
      <c r="D25" s="14" t="s">
        <v>40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0</v>
      </c>
      <c r="K25" s="14">
        <v>1</v>
      </c>
      <c r="L25" s="18">
        <v>139.44999999999999</v>
      </c>
      <c r="M25" s="14" t="s">
        <v>86</v>
      </c>
    </row>
    <row r="26" spans="1:13" x14ac:dyDescent="0.25">
      <c r="A26" s="14" t="s">
        <v>41</v>
      </c>
      <c r="B26" s="14" t="s">
        <v>914</v>
      </c>
      <c r="C26" s="14" t="s">
        <v>915</v>
      </c>
      <c r="D26" s="14" t="s">
        <v>71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0</v>
      </c>
      <c r="M26" s="14" t="s">
        <v>86</v>
      </c>
    </row>
    <row r="27" spans="1:13" x14ac:dyDescent="0.25">
      <c r="A27" s="14" t="s">
        <v>43</v>
      </c>
      <c r="B27" s="14" t="s">
        <v>916</v>
      </c>
      <c r="C27" s="14" t="s">
        <v>917</v>
      </c>
      <c r="D27" s="14" t="s">
        <v>76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8">
        <v>33</v>
      </c>
      <c r="K27" s="14">
        <v>0</v>
      </c>
      <c r="L27" s="18">
        <v>22.99</v>
      </c>
      <c r="M27" s="14" t="s">
        <v>86</v>
      </c>
    </row>
    <row r="28" spans="1:13" x14ac:dyDescent="0.25">
      <c r="A28" s="14" t="s">
        <v>57</v>
      </c>
      <c r="B28" s="14" t="s">
        <v>918</v>
      </c>
      <c r="C28" s="14" t="s">
        <v>919</v>
      </c>
      <c r="D28" s="14" t="s">
        <v>52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8">
        <v>0</v>
      </c>
      <c r="K28" s="14">
        <v>1</v>
      </c>
      <c r="L28" s="18">
        <v>0</v>
      </c>
      <c r="M28" s="14" t="s">
        <v>86</v>
      </c>
    </row>
    <row r="29" spans="1:13" x14ac:dyDescent="0.25">
      <c r="A29" s="14" t="s">
        <v>55</v>
      </c>
      <c r="B29" s="14" t="s">
        <v>920</v>
      </c>
      <c r="C29" s="14" t="s">
        <v>921</v>
      </c>
      <c r="D29" s="14" t="s">
        <v>63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8">
        <v>0</v>
      </c>
      <c r="K29" s="14">
        <v>1</v>
      </c>
      <c r="L29" s="18">
        <v>154.43</v>
      </c>
      <c r="M29" s="14" t="s">
        <v>86</v>
      </c>
    </row>
    <row r="30" spans="1:13" x14ac:dyDescent="0.25">
      <c r="A30" s="14" t="s">
        <v>49</v>
      </c>
      <c r="B30" s="14" t="s">
        <v>922</v>
      </c>
      <c r="C30" s="14" t="s">
        <v>923</v>
      </c>
      <c r="D30" s="14" t="s">
        <v>62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8">
        <v>0</v>
      </c>
      <c r="K30" s="14">
        <v>1</v>
      </c>
      <c r="L30" s="18">
        <v>0</v>
      </c>
      <c r="M30" s="14" t="s">
        <v>111</v>
      </c>
    </row>
    <row r="31" spans="1:13" x14ac:dyDescent="0.25">
      <c r="A31" s="14" t="s">
        <v>41</v>
      </c>
      <c r="B31" s="14" t="s">
        <v>924</v>
      </c>
      <c r="C31" s="14" t="s">
        <v>925</v>
      </c>
      <c r="D31" s="14" t="s">
        <v>69</v>
      </c>
      <c r="E31" s="14">
        <v>1</v>
      </c>
      <c r="F31" s="14">
        <v>0</v>
      </c>
      <c r="G31" s="14">
        <v>0</v>
      </c>
      <c r="H31" s="14">
        <v>0</v>
      </c>
      <c r="I31" s="14">
        <v>0</v>
      </c>
      <c r="J31" s="18">
        <v>0</v>
      </c>
      <c r="K31" s="14">
        <v>1</v>
      </c>
      <c r="L31" s="18">
        <v>0</v>
      </c>
      <c r="M31" s="14" t="s">
        <v>86</v>
      </c>
    </row>
    <row r="32" spans="1:13" x14ac:dyDescent="0.25">
      <c r="A32" s="14" t="s">
        <v>49</v>
      </c>
      <c r="B32" s="14" t="s">
        <v>926</v>
      </c>
      <c r="C32" s="14" t="s">
        <v>927</v>
      </c>
      <c r="D32" s="14" t="s">
        <v>74</v>
      </c>
      <c r="E32" s="14">
        <v>0</v>
      </c>
      <c r="F32" s="14">
        <v>1</v>
      </c>
      <c r="G32" s="14">
        <v>0</v>
      </c>
      <c r="H32" s="14">
        <v>0</v>
      </c>
      <c r="I32" s="14">
        <v>1</v>
      </c>
      <c r="J32" s="18">
        <v>0</v>
      </c>
      <c r="K32" s="14">
        <v>0</v>
      </c>
      <c r="L32" s="18">
        <v>93.63</v>
      </c>
      <c r="M32" s="14" t="s">
        <v>86</v>
      </c>
    </row>
    <row r="33" spans="1:13" x14ac:dyDescent="0.25">
      <c r="A33" s="14" t="s">
        <v>39</v>
      </c>
      <c r="B33" s="14" t="s">
        <v>928</v>
      </c>
      <c r="C33" s="14" t="s">
        <v>929</v>
      </c>
      <c r="D33" s="14" t="s">
        <v>46</v>
      </c>
      <c r="E33" s="14">
        <v>1</v>
      </c>
      <c r="F33" s="14">
        <v>0</v>
      </c>
      <c r="G33" s="14">
        <v>0</v>
      </c>
      <c r="H33" s="14">
        <v>0</v>
      </c>
      <c r="I33" s="14">
        <v>0</v>
      </c>
      <c r="J33" s="18">
        <v>15</v>
      </c>
      <c r="K33" s="14">
        <v>1</v>
      </c>
      <c r="L33" s="18">
        <v>0</v>
      </c>
      <c r="M33" s="14" t="s">
        <v>86</v>
      </c>
    </row>
    <row r="34" spans="1:13" x14ac:dyDescent="0.25">
      <c r="A34" s="14" t="s">
        <v>53</v>
      </c>
      <c r="B34" s="14" t="s">
        <v>930</v>
      </c>
      <c r="C34" s="14" t="s">
        <v>931</v>
      </c>
      <c r="D34" s="14" t="s">
        <v>72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8">
        <v>0</v>
      </c>
      <c r="K34" s="14">
        <v>1</v>
      </c>
      <c r="L34" s="18">
        <v>157.54</v>
      </c>
      <c r="M34" s="14" t="s">
        <v>86</v>
      </c>
    </row>
    <row r="35" spans="1:13" x14ac:dyDescent="0.25">
      <c r="A35" s="14" t="s">
        <v>53</v>
      </c>
      <c r="B35" s="14" t="s">
        <v>932</v>
      </c>
      <c r="C35" s="14" t="s">
        <v>933</v>
      </c>
      <c r="D35" s="14" t="s">
        <v>74</v>
      </c>
      <c r="E35" s="14">
        <v>0</v>
      </c>
      <c r="F35" s="14">
        <v>0</v>
      </c>
      <c r="G35" s="14">
        <v>0</v>
      </c>
      <c r="H35" s="14">
        <v>0</v>
      </c>
      <c r="I35" s="14">
        <v>1</v>
      </c>
      <c r="J35" s="18">
        <v>15</v>
      </c>
      <c r="K35" s="14">
        <v>0</v>
      </c>
      <c r="L35" s="18">
        <v>0</v>
      </c>
      <c r="M35" s="14" t="s">
        <v>86</v>
      </c>
    </row>
    <row r="36" spans="1:13" x14ac:dyDescent="0.25">
      <c r="A36" s="14" t="s">
        <v>49</v>
      </c>
      <c r="B36" s="14" t="s">
        <v>934</v>
      </c>
      <c r="C36" s="14" t="s">
        <v>935</v>
      </c>
      <c r="D36" s="14" t="s">
        <v>66</v>
      </c>
      <c r="E36" s="14">
        <v>1</v>
      </c>
      <c r="F36" s="14">
        <v>0</v>
      </c>
      <c r="G36" s="14">
        <v>0</v>
      </c>
      <c r="H36" s="14">
        <v>0</v>
      </c>
      <c r="I36" s="14">
        <v>0</v>
      </c>
      <c r="J36" s="18">
        <v>24</v>
      </c>
      <c r="K36" s="14">
        <v>1</v>
      </c>
      <c r="L36" s="18">
        <v>0</v>
      </c>
      <c r="M36" s="14" t="s">
        <v>86</v>
      </c>
    </row>
    <row r="37" spans="1:13" x14ac:dyDescent="0.25">
      <c r="A37" s="14" t="s">
        <v>61</v>
      </c>
      <c r="B37" s="14" t="s">
        <v>936</v>
      </c>
      <c r="C37" s="14" t="s">
        <v>937</v>
      </c>
      <c r="D37" s="14" t="s">
        <v>69</v>
      </c>
      <c r="E37" s="14">
        <v>1</v>
      </c>
      <c r="F37" s="14">
        <v>0</v>
      </c>
      <c r="G37" s="14">
        <v>0</v>
      </c>
      <c r="H37" s="14">
        <v>0</v>
      </c>
      <c r="I37" s="14">
        <v>0</v>
      </c>
      <c r="J37" s="18">
        <v>0</v>
      </c>
      <c r="K37" s="14">
        <v>1</v>
      </c>
      <c r="L37" s="18">
        <v>0</v>
      </c>
      <c r="M37" s="14" t="s">
        <v>86</v>
      </c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4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4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4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938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61</v>
      </c>
      <c r="B4" s="14" t="s">
        <v>939</v>
      </c>
      <c r="C4" s="14" t="s">
        <v>940</v>
      </c>
      <c r="D4" s="14" t="s">
        <v>54</v>
      </c>
      <c r="E4" s="14">
        <v>1</v>
      </c>
      <c r="F4" s="14">
        <v>0</v>
      </c>
      <c r="G4" s="14">
        <v>1</v>
      </c>
      <c r="H4" s="14">
        <v>0</v>
      </c>
      <c r="I4" s="14">
        <v>0</v>
      </c>
      <c r="J4" s="18">
        <v>33</v>
      </c>
      <c r="K4" s="14">
        <v>1</v>
      </c>
      <c r="L4" s="18">
        <v>128.84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1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3</v>
      </c>
      <c r="X4" s="18">
        <f t="shared" ref="X4:X15" si="7">SUMIF($A$4:$A$43,$P4,L$4:L$43)</f>
        <v>108.03</v>
      </c>
    </row>
    <row r="5" spans="1:24" x14ac:dyDescent="0.25">
      <c r="A5" s="14" t="s">
        <v>41</v>
      </c>
      <c r="B5" s="14" t="s">
        <v>941</v>
      </c>
      <c r="C5" s="14" t="s">
        <v>942</v>
      </c>
      <c r="D5" s="14" t="s">
        <v>74</v>
      </c>
      <c r="E5" s="14">
        <v>0</v>
      </c>
      <c r="F5" s="14">
        <v>0</v>
      </c>
      <c r="G5" s="14">
        <v>0</v>
      </c>
      <c r="H5" s="14">
        <v>0</v>
      </c>
      <c r="I5" s="14">
        <v>1</v>
      </c>
      <c r="J5" s="18">
        <v>18</v>
      </c>
      <c r="K5" s="14">
        <v>0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0</v>
      </c>
      <c r="R5" s="14">
        <f t="shared" si="1"/>
        <v>0</v>
      </c>
      <c r="S5" s="14">
        <f t="shared" si="2"/>
        <v>1</v>
      </c>
      <c r="T5" s="14">
        <f t="shared" si="3"/>
        <v>1</v>
      </c>
      <c r="U5" s="14">
        <f t="shared" si="4"/>
        <v>3</v>
      </c>
      <c r="V5" s="18">
        <f t="shared" si="5"/>
        <v>54</v>
      </c>
      <c r="W5" s="14">
        <f t="shared" si="6"/>
        <v>2</v>
      </c>
      <c r="X5" s="18">
        <f t="shared" si="7"/>
        <v>60.930000000000007</v>
      </c>
    </row>
    <row r="6" spans="1:24" x14ac:dyDescent="0.25">
      <c r="A6" s="14" t="s">
        <v>39</v>
      </c>
      <c r="B6" s="14" t="s">
        <v>943</v>
      </c>
      <c r="C6" s="14" t="s">
        <v>944</v>
      </c>
      <c r="D6" s="14" t="s">
        <v>42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0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0</v>
      </c>
      <c r="X6" s="18">
        <f t="shared" si="7"/>
        <v>0</v>
      </c>
    </row>
    <row r="7" spans="1:24" x14ac:dyDescent="0.25">
      <c r="A7" s="14" t="s">
        <v>55</v>
      </c>
      <c r="B7" s="14" t="s">
        <v>945</v>
      </c>
      <c r="C7" s="14" t="s">
        <v>946</v>
      </c>
      <c r="D7" s="14" t="s">
        <v>64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2</v>
      </c>
      <c r="R7" s="14">
        <f t="shared" si="1"/>
        <v>1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24</v>
      </c>
      <c r="W7" s="14">
        <f t="shared" si="6"/>
        <v>3</v>
      </c>
      <c r="X7" s="18">
        <f t="shared" si="7"/>
        <v>27.53</v>
      </c>
    </row>
    <row r="8" spans="1:24" x14ac:dyDescent="0.25">
      <c r="A8" s="14" t="s">
        <v>41</v>
      </c>
      <c r="B8" s="14" t="s">
        <v>947</v>
      </c>
      <c r="C8" s="14" t="s">
        <v>948</v>
      </c>
      <c r="D8" s="14" t="s">
        <v>73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8">
        <v>0</v>
      </c>
      <c r="K8" s="14">
        <v>0</v>
      </c>
      <c r="L8" s="18">
        <v>0</v>
      </c>
      <c r="M8" s="14" t="s">
        <v>111</v>
      </c>
      <c r="P8" s="14" t="str">
        <f>Setup!$A$8</f>
        <v>Expert 05</v>
      </c>
      <c r="Q8" s="14">
        <f t="shared" si="0"/>
        <v>0</v>
      </c>
      <c r="R8" s="14">
        <f t="shared" si="1"/>
        <v>1</v>
      </c>
      <c r="S8" s="14">
        <f t="shared" si="2"/>
        <v>1</v>
      </c>
      <c r="T8" s="14">
        <f t="shared" si="3"/>
        <v>0</v>
      </c>
      <c r="U8" s="14">
        <f t="shared" si="4"/>
        <v>0</v>
      </c>
      <c r="V8" s="18">
        <f t="shared" si="5"/>
        <v>46</v>
      </c>
      <c r="W8" s="14">
        <f t="shared" si="6"/>
        <v>4</v>
      </c>
      <c r="X8" s="18">
        <f t="shared" si="7"/>
        <v>113.96000000000001</v>
      </c>
    </row>
    <row r="9" spans="1:24" x14ac:dyDescent="0.25">
      <c r="A9" s="14" t="s">
        <v>47</v>
      </c>
      <c r="B9" s="14" t="s">
        <v>267</v>
      </c>
      <c r="C9" s="14" t="s">
        <v>949</v>
      </c>
      <c r="D9" s="14" t="s">
        <v>76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0</v>
      </c>
      <c r="L9" s="18">
        <v>53.01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0</v>
      </c>
      <c r="X9" s="18">
        <f t="shared" si="7"/>
        <v>0</v>
      </c>
    </row>
    <row r="10" spans="1:24" x14ac:dyDescent="0.25">
      <c r="A10" s="14" t="s">
        <v>41</v>
      </c>
      <c r="B10" s="14" t="s">
        <v>103</v>
      </c>
      <c r="C10" s="14" t="s">
        <v>950</v>
      </c>
      <c r="D10" s="14" t="s">
        <v>76</v>
      </c>
      <c r="E10" s="14">
        <v>0</v>
      </c>
      <c r="F10" s="14">
        <v>0</v>
      </c>
      <c r="G10" s="14">
        <v>1</v>
      </c>
      <c r="H10" s="14">
        <v>0</v>
      </c>
      <c r="I10" s="14">
        <v>0</v>
      </c>
      <c r="J10" s="18">
        <v>0</v>
      </c>
      <c r="K10" s="14">
        <v>0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18</v>
      </c>
      <c r="W10" s="14">
        <f t="shared" si="6"/>
        <v>0</v>
      </c>
      <c r="X10" s="18">
        <f t="shared" si="7"/>
        <v>0</v>
      </c>
    </row>
    <row r="11" spans="1:24" x14ac:dyDescent="0.25">
      <c r="A11" s="14" t="s">
        <v>51</v>
      </c>
      <c r="B11" s="14" t="s">
        <v>951</v>
      </c>
      <c r="C11" s="14" t="s">
        <v>952</v>
      </c>
      <c r="D11" s="14" t="s">
        <v>77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8">
        <v>18</v>
      </c>
      <c r="K11" s="14">
        <v>0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2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1</v>
      </c>
      <c r="V11" s="18">
        <f t="shared" si="5"/>
        <v>24</v>
      </c>
      <c r="W11" s="14">
        <f t="shared" si="6"/>
        <v>2</v>
      </c>
      <c r="X11" s="18">
        <f t="shared" si="7"/>
        <v>63.91</v>
      </c>
    </row>
    <row r="12" spans="1:24" x14ac:dyDescent="0.25">
      <c r="A12" s="14" t="s">
        <v>59</v>
      </c>
      <c r="B12" s="14" t="s">
        <v>953</v>
      </c>
      <c r="C12" s="14" t="s">
        <v>954</v>
      </c>
      <c r="D12" s="14" t="s">
        <v>62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33</v>
      </c>
      <c r="K12" s="14">
        <v>1</v>
      </c>
      <c r="L12" s="18">
        <v>84.12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1</v>
      </c>
      <c r="X12" s="18">
        <f t="shared" si="7"/>
        <v>0</v>
      </c>
    </row>
    <row r="13" spans="1:24" x14ac:dyDescent="0.25">
      <c r="A13" s="14" t="s">
        <v>39</v>
      </c>
      <c r="B13" s="14" t="s">
        <v>955</v>
      </c>
      <c r="C13" s="14" t="s">
        <v>956</v>
      </c>
      <c r="D13" s="14" t="s">
        <v>52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101.08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0</v>
      </c>
      <c r="W13" s="14">
        <f t="shared" si="6"/>
        <v>0</v>
      </c>
      <c r="X13" s="18">
        <f t="shared" si="7"/>
        <v>0</v>
      </c>
    </row>
    <row r="14" spans="1:24" x14ac:dyDescent="0.25">
      <c r="A14" s="14" t="s">
        <v>45</v>
      </c>
      <c r="B14" s="14" t="s">
        <v>957</v>
      </c>
      <c r="C14" s="14" t="s">
        <v>958</v>
      </c>
      <c r="D14" s="14" t="s">
        <v>42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2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49</v>
      </c>
      <c r="W14" s="14">
        <f t="shared" si="6"/>
        <v>2</v>
      </c>
      <c r="X14" s="18">
        <f t="shared" si="7"/>
        <v>140.32</v>
      </c>
    </row>
    <row r="15" spans="1:24" x14ac:dyDescent="0.25">
      <c r="A15" s="14" t="s">
        <v>39</v>
      </c>
      <c r="B15" s="14" t="s">
        <v>959</v>
      </c>
      <c r="C15" s="14" t="s">
        <v>960</v>
      </c>
      <c r="D15" s="14" t="s">
        <v>62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6.95</v>
      </c>
      <c r="M15" s="14" t="s">
        <v>86</v>
      </c>
      <c r="P15" s="14" t="str">
        <f>Setup!$A$15</f>
        <v>Expert 12</v>
      </c>
      <c r="Q15" s="14">
        <f t="shared" si="0"/>
        <v>2</v>
      </c>
      <c r="R15" s="14">
        <f t="shared" si="1"/>
        <v>0</v>
      </c>
      <c r="S15" s="14">
        <f t="shared" si="2"/>
        <v>1</v>
      </c>
      <c r="T15" s="14">
        <f t="shared" si="3"/>
        <v>0</v>
      </c>
      <c r="U15" s="14">
        <f t="shared" si="4"/>
        <v>0</v>
      </c>
      <c r="V15" s="18">
        <f t="shared" si="5"/>
        <v>33</v>
      </c>
      <c r="W15" s="14">
        <f t="shared" si="6"/>
        <v>2</v>
      </c>
      <c r="X15" s="18">
        <f t="shared" si="7"/>
        <v>202.89</v>
      </c>
    </row>
    <row r="16" spans="1:24" x14ac:dyDescent="0.25">
      <c r="A16" s="14" t="s">
        <v>47</v>
      </c>
      <c r="B16" s="14" t="s">
        <v>961</v>
      </c>
      <c r="C16" s="14" t="s">
        <v>962</v>
      </c>
      <c r="D16" s="14" t="s">
        <v>42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16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9</v>
      </c>
      <c r="R16" s="20">
        <f t="shared" si="8"/>
        <v>3</v>
      </c>
      <c r="S16" s="20">
        <f t="shared" si="8"/>
        <v>3</v>
      </c>
      <c r="T16" s="20">
        <f t="shared" si="8"/>
        <v>1</v>
      </c>
      <c r="U16" s="20">
        <f t="shared" si="8"/>
        <v>4</v>
      </c>
      <c r="V16" s="21">
        <f t="shared" si="8"/>
        <v>248</v>
      </c>
      <c r="W16" s="20">
        <f t="shared" si="8"/>
        <v>19</v>
      </c>
      <c r="X16" s="21">
        <f t="shared" si="8"/>
        <v>717.57</v>
      </c>
    </row>
    <row r="17" spans="1:13" x14ac:dyDescent="0.25">
      <c r="A17" s="14" t="s">
        <v>53</v>
      </c>
      <c r="B17" s="14" t="s">
        <v>963</v>
      </c>
      <c r="C17" s="14" t="s">
        <v>964</v>
      </c>
      <c r="D17" s="14" t="s">
        <v>48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63.91</v>
      </c>
      <c r="M17" s="14" t="s">
        <v>86</v>
      </c>
    </row>
    <row r="18" spans="1:13" x14ac:dyDescent="0.25">
      <c r="A18" s="14" t="s">
        <v>41</v>
      </c>
      <c r="B18" s="14" t="s">
        <v>965</v>
      </c>
      <c r="C18" s="14" t="s">
        <v>966</v>
      </c>
      <c r="D18" s="14" t="s">
        <v>73</v>
      </c>
      <c r="E18" s="14">
        <v>0</v>
      </c>
      <c r="F18" s="14">
        <v>0</v>
      </c>
      <c r="G18" s="14">
        <v>0</v>
      </c>
      <c r="H18" s="14">
        <v>0</v>
      </c>
      <c r="I18" s="14">
        <v>1</v>
      </c>
      <c r="J18" s="18">
        <v>0</v>
      </c>
      <c r="K18" s="14">
        <v>0</v>
      </c>
      <c r="L18" s="18">
        <v>0</v>
      </c>
      <c r="M18" s="14" t="s">
        <v>86</v>
      </c>
    </row>
    <row r="19" spans="1:13" x14ac:dyDescent="0.25">
      <c r="A19" s="14" t="s">
        <v>53</v>
      </c>
      <c r="B19" s="14" t="s">
        <v>967</v>
      </c>
      <c r="C19" s="14" t="s">
        <v>968</v>
      </c>
      <c r="D19" s="14" t="s">
        <v>50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47</v>
      </c>
      <c r="B20" s="14" t="s">
        <v>969</v>
      </c>
      <c r="C20" s="14" t="s">
        <v>970</v>
      </c>
      <c r="D20" s="14" t="s">
        <v>44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0</v>
      </c>
      <c r="M20" s="14" t="s">
        <v>86</v>
      </c>
    </row>
    <row r="21" spans="1:13" x14ac:dyDescent="0.25">
      <c r="A21" s="14" t="s">
        <v>41</v>
      </c>
      <c r="B21" s="14" t="s">
        <v>971</v>
      </c>
      <c r="C21" s="14" t="s">
        <v>972</v>
      </c>
      <c r="D21" s="14" t="s">
        <v>67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8">
        <v>18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47</v>
      </c>
      <c r="B22" s="14" t="s">
        <v>973</v>
      </c>
      <c r="C22" s="14" t="s">
        <v>974</v>
      </c>
      <c r="D22" s="14" t="s">
        <v>77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8">
        <v>15</v>
      </c>
      <c r="K22" s="14">
        <v>0</v>
      </c>
      <c r="L22" s="18">
        <v>0</v>
      </c>
      <c r="M22" s="14" t="s">
        <v>86</v>
      </c>
    </row>
    <row r="23" spans="1:13" x14ac:dyDescent="0.25">
      <c r="A23" s="14" t="s">
        <v>41</v>
      </c>
      <c r="B23" s="14" t="s">
        <v>975</v>
      </c>
      <c r="C23" s="14" t="s">
        <v>976</v>
      </c>
      <c r="D23" s="14" t="s">
        <v>77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8">
        <v>18</v>
      </c>
      <c r="K23" s="14">
        <v>0</v>
      </c>
      <c r="L23" s="18">
        <v>8.5500000000000007</v>
      </c>
      <c r="M23" s="14" t="s">
        <v>86</v>
      </c>
    </row>
    <row r="24" spans="1:13" x14ac:dyDescent="0.25">
      <c r="A24" s="14" t="s">
        <v>45</v>
      </c>
      <c r="B24" s="14" t="s">
        <v>433</v>
      </c>
      <c r="C24" s="14" t="s">
        <v>977</v>
      </c>
      <c r="D24" s="14" t="s">
        <v>72</v>
      </c>
      <c r="E24" s="14">
        <v>1</v>
      </c>
      <c r="F24" s="14">
        <v>0</v>
      </c>
      <c r="G24" s="14">
        <v>0</v>
      </c>
      <c r="H24" s="14">
        <v>0</v>
      </c>
      <c r="I24" s="14">
        <v>0</v>
      </c>
      <c r="J24" s="18">
        <v>24</v>
      </c>
      <c r="K24" s="14">
        <v>1</v>
      </c>
      <c r="L24" s="18">
        <v>0</v>
      </c>
      <c r="M24" s="14" t="s">
        <v>86</v>
      </c>
    </row>
    <row r="25" spans="1:13" x14ac:dyDescent="0.25">
      <c r="A25" s="14" t="s">
        <v>59</v>
      </c>
      <c r="B25" s="14" t="s">
        <v>978</v>
      </c>
      <c r="C25" s="14" t="s">
        <v>979</v>
      </c>
      <c r="D25" s="14" t="s">
        <v>44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16</v>
      </c>
      <c r="K25" s="14">
        <v>1</v>
      </c>
      <c r="L25" s="18">
        <v>56.2</v>
      </c>
      <c r="M25" s="14" t="s">
        <v>86</v>
      </c>
    </row>
    <row r="26" spans="1:13" x14ac:dyDescent="0.25">
      <c r="A26" s="14" t="s">
        <v>47</v>
      </c>
      <c r="B26" s="14" t="s">
        <v>980</v>
      </c>
      <c r="C26" s="14" t="s">
        <v>981</v>
      </c>
      <c r="D26" s="14" t="s">
        <v>42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8">
        <v>15</v>
      </c>
      <c r="K26" s="14">
        <v>1</v>
      </c>
      <c r="L26" s="18">
        <v>0</v>
      </c>
      <c r="M26" s="14" t="s">
        <v>86</v>
      </c>
    </row>
    <row r="27" spans="1:13" x14ac:dyDescent="0.25">
      <c r="A27" s="14" t="s">
        <v>41</v>
      </c>
      <c r="B27" s="14" t="s">
        <v>982</v>
      </c>
      <c r="C27" s="14" t="s">
        <v>983</v>
      </c>
      <c r="D27" s="14" t="s">
        <v>44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8">
        <v>0</v>
      </c>
      <c r="K27" s="14">
        <v>1</v>
      </c>
      <c r="L27" s="18">
        <v>52.38</v>
      </c>
      <c r="M27" s="14" t="s">
        <v>86</v>
      </c>
    </row>
    <row r="28" spans="1:13" x14ac:dyDescent="0.25">
      <c r="A28" s="14" t="s">
        <v>53</v>
      </c>
      <c r="B28" s="14" t="s">
        <v>984</v>
      </c>
      <c r="C28" s="14" t="s">
        <v>985</v>
      </c>
      <c r="D28" s="14" t="s">
        <v>73</v>
      </c>
      <c r="E28" s="14">
        <v>0</v>
      </c>
      <c r="F28" s="14">
        <v>0</v>
      </c>
      <c r="G28" s="14">
        <v>0</v>
      </c>
      <c r="H28" s="14">
        <v>0</v>
      </c>
      <c r="I28" s="14">
        <v>1</v>
      </c>
      <c r="J28" s="18">
        <v>24</v>
      </c>
      <c r="K28" s="14">
        <v>0</v>
      </c>
      <c r="L28" s="18">
        <v>0</v>
      </c>
      <c r="M28" s="14" t="s">
        <v>86</v>
      </c>
    </row>
    <row r="29" spans="1:13" x14ac:dyDescent="0.25">
      <c r="A29" s="14" t="s">
        <v>45</v>
      </c>
      <c r="B29" s="14" t="s">
        <v>986</v>
      </c>
      <c r="C29" s="14" t="s">
        <v>987</v>
      </c>
      <c r="D29" s="14" t="s">
        <v>66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0</v>
      </c>
      <c r="K29" s="14">
        <v>1</v>
      </c>
      <c r="L29" s="18">
        <v>27.53</v>
      </c>
      <c r="M29" s="14" t="s">
        <v>86</v>
      </c>
    </row>
    <row r="30" spans="1:13" x14ac:dyDescent="0.25">
      <c r="A30" s="14" t="s">
        <v>47</v>
      </c>
      <c r="B30" s="14" t="s">
        <v>988</v>
      </c>
      <c r="C30" s="14" t="s">
        <v>989</v>
      </c>
      <c r="D30" s="14" t="s">
        <v>54</v>
      </c>
      <c r="E30" s="14">
        <v>0</v>
      </c>
      <c r="F30" s="14">
        <v>1</v>
      </c>
      <c r="G30" s="14">
        <v>1</v>
      </c>
      <c r="H30" s="14">
        <v>0</v>
      </c>
      <c r="I30" s="14">
        <v>0</v>
      </c>
      <c r="J30" s="18">
        <v>0</v>
      </c>
      <c r="K30" s="14">
        <v>1</v>
      </c>
      <c r="L30" s="18">
        <v>60.95</v>
      </c>
      <c r="M30" s="14" t="s">
        <v>86</v>
      </c>
    </row>
    <row r="31" spans="1:13" x14ac:dyDescent="0.25">
      <c r="A31" s="14" t="s">
        <v>61</v>
      </c>
      <c r="B31" s="14" t="s">
        <v>990</v>
      </c>
      <c r="C31" s="14" t="s">
        <v>991</v>
      </c>
      <c r="D31" s="14" t="s">
        <v>50</v>
      </c>
      <c r="E31" s="14">
        <v>1</v>
      </c>
      <c r="F31" s="14">
        <v>0</v>
      </c>
      <c r="G31" s="14">
        <v>0</v>
      </c>
      <c r="H31" s="14">
        <v>0</v>
      </c>
      <c r="I31" s="14">
        <v>0</v>
      </c>
      <c r="J31" s="18">
        <v>0</v>
      </c>
      <c r="K31" s="14">
        <v>1</v>
      </c>
      <c r="L31" s="18">
        <v>74.05</v>
      </c>
      <c r="M31" s="14" t="s">
        <v>86</v>
      </c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5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5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5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992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55</v>
      </c>
      <c r="B4" s="14" t="s">
        <v>993</v>
      </c>
      <c r="C4" s="14" t="s">
        <v>994</v>
      </c>
      <c r="D4" s="14" t="s">
        <v>46</v>
      </c>
      <c r="E4" s="14">
        <v>0</v>
      </c>
      <c r="F4" s="14">
        <v>1</v>
      </c>
      <c r="G4" s="14">
        <v>0</v>
      </c>
      <c r="H4" s="14">
        <v>0</v>
      </c>
      <c r="I4" s="14">
        <v>0</v>
      </c>
      <c r="J4" s="18">
        <v>0</v>
      </c>
      <c r="K4" s="14">
        <v>1</v>
      </c>
      <c r="L4" s="18">
        <v>29.55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18</v>
      </c>
      <c r="W4" s="14">
        <f t="shared" ref="W4:W15" si="6">SUMIF($A$4:$A$43,$P4,K$4:K$43)</f>
        <v>1</v>
      </c>
      <c r="X4" s="18">
        <f t="shared" ref="X4:X15" si="7">SUMIF($A$4:$A$43,$P4,L$4:L$43)</f>
        <v>289.86</v>
      </c>
    </row>
    <row r="5" spans="1:24" x14ac:dyDescent="0.25">
      <c r="A5" s="14" t="s">
        <v>47</v>
      </c>
      <c r="B5" s="14" t="s">
        <v>995</v>
      </c>
      <c r="C5" s="14" t="s">
        <v>996</v>
      </c>
      <c r="D5" s="14" t="s">
        <v>69</v>
      </c>
      <c r="E5" s="14">
        <v>1</v>
      </c>
      <c r="F5" s="14">
        <v>0</v>
      </c>
      <c r="G5" s="14">
        <v>1</v>
      </c>
      <c r="H5" s="14">
        <v>0</v>
      </c>
      <c r="I5" s="14">
        <v>0</v>
      </c>
      <c r="J5" s="18">
        <v>0</v>
      </c>
      <c r="K5" s="14">
        <v>1</v>
      </c>
      <c r="L5" s="18">
        <v>99.56</v>
      </c>
      <c r="M5" s="14" t="s">
        <v>86</v>
      </c>
      <c r="P5" s="14" t="str">
        <f>Setup!$A$5</f>
        <v>Expert 02</v>
      </c>
      <c r="Q5" s="14">
        <f t="shared" si="0"/>
        <v>2</v>
      </c>
      <c r="R5" s="14">
        <f t="shared" si="1"/>
        <v>1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24</v>
      </c>
      <c r="W5" s="14">
        <f t="shared" si="6"/>
        <v>2</v>
      </c>
      <c r="X5" s="18">
        <f t="shared" si="7"/>
        <v>4.2300000000000004</v>
      </c>
    </row>
    <row r="6" spans="1:24" x14ac:dyDescent="0.25">
      <c r="A6" s="14" t="s">
        <v>53</v>
      </c>
      <c r="B6" s="14" t="s">
        <v>997</v>
      </c>
      <c r="C6" s="14" t="s">
        <v>998</v>
      </c>
      <c r="D6" s="14" t="s">
        <v>66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1</v>
      </c>
      <c r="V6" s="18">
        <f t="shared" si="5"/>
        <v>33</v>
      </c>
      <c r="W6" s="14">
        <f t="shared" si="6"/>
        <v>1</v>
      </c>
      <c r="X6" s="18">
        <f t="shared" si="7"/>
        <v>83.8</v>
      </c>
    </row>
    <row r="7" spans="1:24" x14ac:dyDescent="0.25">
      <c r="A7" s="14" t="s">
        <v>59</v>
      </c>
      <c r="B7" s="14" t="s">
        <v>999</v>
      </c>
      <c r="C7" s="14" t="s">
        <v>1000</v>
      </c>
      <c r="D7" s="14" t="s">
        <v>58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157.87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15</v>
      </c>
      <c r="W7" s="14">
        <f t="shared" si="6"/>
        <v>1</v>
      </c>
      <c r="X7" s="18">
        <f t="shared" si="7"/>
        <v>174.69</v>
      </c>
    </row>
    <row r="8" spans="1:24" x14ac:dyDescent="0.25">
      <c r="A8" s="14" t="s">
        <v>61</v>
      </c>
      <c r="B8" s="14" t="s">
        <v>776</v>
      </c>
      <c r="C8" s="14" t="s">
        <v>1001</v>
      </c>
      <c r="D8" s="14" t="s">
        <v>72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33</v>
      </c>
      <c r="K8" s="14">
        <v>1</v>
      </c>
      <c r="L8" s="18">
        <v>39.43</v>
      </c>
      <c r="M8" s="14" t="s">
        <v>86</v>
      </c>
      <c r="P8" s="14" t="str">
        <f>Setup!$A$8</f>
        <v>Expert 05</v>
      </c>
      <c r="Q8" s="14">
        <f t="shared" si="0"/>
        <v>1</v>
      </c>
      <c r="R8" s="14">
        <f t="shared" si="1"/>
        <v>0</v>
      </c>
      <c r="S8" s="14">
        <f t="shared" si="2"/>
        <v>1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1</v>
      </c>
      <c r="X8" s="18">
        <f t="shared" si="7"/>
        <v>99.56</v>
      </c>
    </row>
    <row r="9" spans="1:24" x14ac:dyDescent="0.25">
      <c r="A9" s="14" t="s">
        <v>41</v>
      </c>
      <c r="B9" s="14" t="s">
        <v>1002</v>
      </c>
      <c r="C9" s="14" t="s">
        <v>1003</v>
      </c>
      <c r="D9" s="14" t="s">
        <v>44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4.2300000000000004</v>
      </c>
      <c r="M9" s="14" t="s">
        <v>111</v>
      </c>
      <c r="P9" s="14" t="str">
        <f>Setup!$A$9</f>
        <v>Expert 06</v>
      </c>
      <c r="Q9" s="14">
        <f t="shared" si="0"/>
        <v>3</v>
      </c>
      <c r="R9" s="14">
        <f t="shared" si="1"/>
        <v>1</v>
      </c>
      <c r="S9" s="14">
        <f t="shared" si="2"/>
        <v>0</v>
      </c>
      <c r="T9" s="14">
        <f t="shared" si="3"/>
        <v>1</v>
      </c>
      <c r="U9" s="14">
        <f t="shared" si="4"/>
        <v>0</v>
      </c>
      <c r="V9" s="18">
        <f t="shared" si="5"/>
        <v>42</v>
      </c>
      <c r="W9" s="14">
        <f t="shared" si="6"/>
        <v>5</v>
      </c>
      <c r="X9" s="18">
        <f t="shared" si="7"/>
        <v>240.81</v>
      </c>
    </row>
    <row r="10" spans="1:24" x14ac:dyDescent="0.25">
      <c r="A10" s="14" t="s">
        <v>53</v>
      </c>
      <c r="B10" s="14" t="s">
        <v>1004</v>
      </c>
      <c r="C10" s="14" t="s">
        <v>1005</v>
      </c>
      <c r="D10" s="14" t="s">
        <v>62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164.27</v>
      </c>
      <c r="M10" s="14" t="s">
        <v>86</v>
      </c>
      <c r="P10" s="14" t="str">
        <f>Setup!$A$10</f>
        <v>Expert 07</v>
      </c>
      <c r="Q10" s="14">
        <f t="shared" si="0"/>
        <v>2</v>
      </c>
      <c r="R10" s="14">
        <f t="shared" si="1"/>
        <v>2</v>
      </c>
      <c r="S10" s="14">
        <f t="shared" si="2"/>
        <v>1</v>
      </c>
      <c r="T10" s="14">
        <f t="shared" si="3"/>
        <v>0</v>
      </c>
      <c r="U10" s="14">
        <f t="shared" si="4"/>
        <v>0</v>
      </c>
      <c r="V10" s="18">
        <f t="shared" si="5"/>
        <v>49</v>
      </c>
      <c r="W10" s="14">
        <f t="shared" si="6"/>
        <v>5</v>
      </c>
      <c r="X10" s="18">
        <f t="shared" si="7"/>
        <v>194.99999999999997</v>
      </c>
    </row>
    <row r="11" spans="1:24" x14ac:dyDescent="0.25">
      <c r="A11" s="14" t="s">
        <v>59</v>
      </c>
      <c r="B11" s="14" t="s">
        <v>1006</v>
      </c>
      <c r="C11" s="14" t="s">
        <v>1007</v>
      </c>
      <c r="D11" s="14" t="s">
        <v>75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8">
        <v>0</v>
      </c>
      <c r="K11" s="14">
        <v>0</v>
      </c>
      <c r="L11" s="18">
        <v>0</v>
      </c>
      <c r="M11" s="14" t="s">
        <v>111</v>
      </c>
      <c r="P11" s="14" t="str">
        <f>Setup!$A$11</f>
        <v>Expert 08</v>
      </c>
      <c r="Q11" s="14">
        <f t="shared" si="0"/>
        <v>1</v>
      </c>
      <c r="R11" s="14">
        <f t="shared" si="1"/>
        <v>2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0</v>
      </c>
      <c r="W11" s="14">
        <f t="shared" si="6"/>
        <v>3</v>
      </c>
      <c r="X11" s="18">
        <f t="shared" si="7"/>
        <v>164.27</v>
      </c>
    </row>
    <row r="12" spans="1:24" x14ac:dyDescent="0.25">
      <c r="A12" s="14" t="s">
        <v>51</v>
      </c>
      <c r="B12" s="14" t="s">
        <v>1008</v>
      </c>
      <c r="C12" s="14" t="s">
        <v>1009</v>
      </c>
      <c r="D12" s="14" t="s">
        <v>72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8">
        <v>33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1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1</v>
      </c>
      <c r="X12" s="18">
        <f t="shared" si="7"/>
        <v>29.55</v>
      </c>
    </row>
    <row r="13" spans="1:24" x14ac:dyDescent="0.25">
      <c r="A13" s="14" t="s">
        <v>41</v>
      </c>
      <c r="B13" s="14" t="s">
        <v>1010</v>
      </c>
      <c r="C13" s="14" t="s">
        <v>1011</v>
      </c>
      <c r="D13" s="14" t="s">
        <v>75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0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0</v>
      </c>
      <c r="W13" s="14">
        <f t="shared" si="6"/>
        <v>0</v>
      </c>
      <c r="X13" s="18">
        <f t="shared" si="7"/>
        <v>0</v>
      </c>
    </row>
    <row r="14" spans="1:24" x14ac:dyDescent="0.25">
      <c r="A14" s="14" t="s">
        <v>61</v>
      </c>
      <c r="B14" s="14" t="s">
        <v>1012</v>
      </c>
      <c r="C14" s="14" t="s">
        <v>1013</v>
      </c>
      <c r="D14" s="14" t="s">
        <v>56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8">
        <v>24</v>
      </c>
      <c r="K14" s="14">
        <v>1</v>
      </c>
      <c r="L14" s="18">
        <v>16.32</v>
      </c>
      <c r="M14" s="14" t="s">
        <v>86</v>
      </c>
      <c r="P14" s="14" t="str">
        <f>Setup!$A$14</f>
        <v>Expert 11</v>
      </c>
      <c r="Q14" s="14">
        <f t="shared" si="0"/>
        <v>2</v>
      </c>
      <c r="R14" s="14">
        <f t="shared" si="1"/>
        <v>1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0</v>
      </c>
      <c r="W14" s="14">
        <f t="shared" si="6"/>
        <v>2</v>
      </c>
      <c r="X14" s="18">
        <f t="shared" si="7"/>
        <v>157.87</v>
      </c>
    </row>
    <row r="15" spans="1:24" x14ac:dyDescent="0.25">
      <c r="A15" s="14" t="s">
        <v>49</v>
      </c>
      <c r="B15" s="14" t="s">
        <v>1014</v>
      </c>
      <c r="C15" s="14" t="s">
        <v>1015</v>
      </c>
      <c r="D15" s="14" t="s">
        <v>69</v>
      </c>
      <c r="E15" s="14">
        <v>1</v>
      </c>
      <c r="F15" s="14">
        <v>0</v>
      </c>
      <c r="G15" s="14">
        <v>0</v>
      </c>
      <c r="H15" s="14">
        <v>1</v>
      </c>
      <c r="I15" s="14">
        <v>0</v>
      </c>
      <c r="J15" s="18">
        <v>24</v>
      </c>
      <c r="K15" s="14">
        <v>1</v>
      </c>
      <c r="L15" s="18">
        <v>0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2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57</v>
      </c>
      <c r="W15" s="14">
        <f t="shared" si="6"/>
        <v>3</v>
      </c>
      <c r="X15" s="18">
        <f t="shared" si="7"/>
        <v>55.75</v>
      </c>
    </row>
    <row r="16" spans="1:24" x14ac:dyDescent="0.25">
      <c r="A16" s="14" t="s">
        <v>49</v>
      </c>
      <c r="B16" s="14" t="s">
        <v>1016</v>
      </c>
      <c r="C16" s="14" t="s">
        <v>1017</v>
      </c>
      <c r="D16" s="14" t="s">
        <v>68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14</v>
      </c>
      <c r="R16" s="20">
        <f t="shared" si="8"/>
        <v>10</v>
      </c>
      <c r="S16" s="20">
        <f t="shared" si="8"/>
        <v>2</v>
      </c>
      <c r="T16" s="20">
        <f t="shared" si="8"/>
        <v>1</v>
      </c>
      <c r="U16" s="20">
        <f t="shared" si="8"/>
        <v>1</v>
      </c>
      <c r="V16" s="21">
        <f t="shared" si="8"/>
        <v>238</v>
      </c>
      <c r="W16" s="20">
        <f t="shared" si="8"/>
        <v>25</v>
      </c>
      <c r="X16" s="21">
        <f t="shared" si="8"/>
        <v>1495.3899999999999</v>
      </c>
    </row>
    <row r="17" spans="1:13" x14ac:dyDescent="0.25">
      <c r="A17" s="14" t="s">
        <v>49</v>
      </c>
      <c r="B17" s="14" t="s">
        <v>1018</v>
      </c>
      <c r="C17" s="14" t="s">
        <v>1019</v>
      </c>
      <c r="D17" s="14" t="s">
        <v>40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71.36</v>
      </c>
      <c r="M17" s="14" t="s">
        <v>86</v>
      </c>
    </row>
    <row r="18" spans="1:13" x14ac:dyDescent="0.25">
      <c r="A18" s="14" t="s">
        <v>39</v>
      </c>
      <c r="B18" s="14" t="s">
        <v>1020</v>
      </c>
      <c r="C18" s="14" t="s">
        <v>1021</v>
      </c>
      <c r="D18" s="14" t="s">
        <v>77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18</v>
      </c>
      <c r="K18" s="14">
        <v>0</v>
      </c>
      <c r="L18" s="18">
        <v>178.13</v>
      </c>
      <c r="M18" s="14" t="s">
        <v>86</v>
      </c>
    </row>
    <row r="19" spans="1:13" x14ac:dyDescent="0.25">
      <c r="A19" s="14" t="s">
        <v>41</v>
      </c>
      <c r="B19" s="14" t="s">
        <v>1022</v>
      </c>
      <c r="C19" s="14" t="s">
        <v>1023</v>
      </c>
      <c r="D19" s="14" t="s">
        <v>54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24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49</v>
      </c>
      <c r="B20" s="14" t="s">
        <v>355</v>
      </c>
      <c r="C20" s="14" t="s">
        <v>1024</v>
      </c>
      <c r="D20" s="14" t="s">
        <v>42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18</v>
      </c>
      <c r="K20" s="14">
        <v>1</v>
      </c>
      <c r="L20" s="18">
        <v>104.51</v>
      </c>
      <c r="M20" s="14" t="s">
        <v>86</v>
      </c>
    </row>
    <row r="21" spans="1:13" x14ac:dyDescent="0.25">
      <c r="A21" s="14" t="s">
        <v>45</v>
      </c>
      <c r="B21" s="14" t="s">
        <v>1025</v>
      </c>
      <c r="C21" s="14" t="s">
        <v>1026</v>
      </c>
      <c r="D21" s="14" t="s">
        <v>76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0</v>
      </c>
      <c r="L21" s="18">
        <v>0</v>
      </c>
      <c r="M21" s="14" t="s">
        <v>86</v>
      </c>
    </row>
    <row r="22" spans="1:13" x14ac:dyDescent="0.25">
      <c r="A22" s="14" t="s">
        <v>45</v>
      </c>
      <c r="B22" s="14" t="s">
        <v>1027</v>
      </c>
      <c r="C22" s="14" t="s">
        <v>1028</v>
      </c>
      <c r="D22" s="14" t="s">
        <v>66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15</v>
      </c>
      <c r="K22" s="14">
        <v>1</v>
      </c>
      <c r="L22" s="18">
        <v>174.69</v>
      </c>
      <c r="M22" s="14" t="s">
        <v>86</v>
      </c>
    </row>
    <row r="23" spans="1:13" x14ac:dyDescent="0.25">
      <c r="A23" s="14" t="s">
        <v>51</v>
      </c>
      <c r="B23" s="14" t="s">
        <v>1029</v>
      </c>
      <c r="C23" s="14" t="s">
        <v>1030</v>
      </c>
      <c r="D23" s="14" t="s">
        <v>69</v>
      </c>
      <c r="E23" s="14">
        <v>1</v>
      </c>
      <c r="F23" s="14">
        <v>0</v>
      </c>
      <c r="G23" s="14">
        <v>1</v>
      </c>
      <c r="H23" s="14">
        <v>0</v>
      </c>
      <c r="I23" s="14">
        <v>0</v>
      </c>
      <c r="J23" s="18">
        <v>0</v>
      </c>
      <c r="K23" s="14">
        <v>1</v>
      </c>
      <c r="L23" s="18">
        <v>95.67</v>
      </c>
      <c r="M23" s="14" t="s">
        <v>86</v>
      </c>
    </row>
    <row r="24" spans="1:13" x14ac:dyDescent="0.25">
      <c r="A24" s="14" t="s">
        <v>53</v>
      </c>
      <c r="B24" s="14" t="s">
        <v>1031</v>
      </c>
      <c r="C24" s="14" t="s">
        <v>1032</v>
      </c>
      <c r="D24" s="14" t="s">
        <v>46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8">
        <v>0</v>
      </c>
      <c r="K24" s="14">
        <v>1</v>
      </c>
      <c r="L24" s="18">
        <v>0</v>
      </c>
      <c r="M24" s="14" t="s">
        <v>86</v>
      </c>
    </row>
    <row r="25" spans="1:13" x14ac:dyDescent="0.25">
      <c r="A25" s="14" t="s">
        <v>51</v>
      </c>
      <c r="B25" s="14" t="s">
        <v>1033</v>
      </c>
      <c r="C25" s="14" t="s">
        <v>1034</v>
      </c>
      <c r="D25" s="14" t="s">
        <v>63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8">
        <v>16</v>
      </c>
      <c r="K25" s="14">
        <v>1</v>
      </c>
      <c r="L25" s="18">
        <v>87.91</v>
      </c>
      <c r="M25" s="14" t="s">
        <v>86</v>
      </c>
    </row>
    <row r="26" spans="1:13" x14ac:dyDescent="0.25">
      <c r="A26" s="14" t="s">
        <v>43</v>
      </c>
      <c r="B26" s="14" t="s">
        <v>1035</v>
      </c>
      <c r="C26" s="14" t="s">
        <v>1036</v>
      </c>
      <c r="D26" s="14" t="s">
        <v>67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83.8</v>
      </c>
      <c r="M26" s="14" t="s">
        <v>86</v>
      </c>
    </row>
    <row r="27" spans="1:13" x14ac:dyDescent="0.25">
      <c r="A27" s="14" t="s">
        <v>39</v>
      </c>
      <c r="B27" s="14" t="s">
        <v>1037</v>
      </c>
      <c r="C27" s="14" t="s">
        <v>1038</v>
      </c>
      <c r="D27" s="14" t="s">
        <v>72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8">
        <v>0</v>
      </c>
      <c r="K27" s="14">
        <v>1</v>
      </c>
      <c r="L27" s="18">
        <v>111.73</v>
      </c>
      <c r="M27" s="14" t="s">
        <v>86</v>
      </c>
    </row>
    <row r="28" spans="1:13" x14ac:dyDescent="0.25">
      <c r="A28" s="14" t="s">
        <v>51</v>
      </c>
      <c r="B28" s="14" t="s">
        <v>1039</v>
      </c>
      <c r="C28" s="14" t="s">
        <v>1040</v>
      </c>
      <c r="D28" s="14" t="s">
        <v>48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8">
        <v>0</v>
      </c>
      <c r="K28" s="14">
        <v>1</v>
      </c>
      <c r="L28" s="18">
        <v>11.42</v>
      </c>
      <c r="M28" s="14" t="s">
        <v>86</v>
      </c>
    </row>
    <row r="29" spans="1:13" x14ac:dyDescent="0.25">
      <c r="A29" s="14" t="s">
        <v>51</v>
      </c>
      <c r="B29" s="14" t="s">
        <v>1041</v>
      </c>
      <c r="C29" s="14" t="s">
        <v>1042</v>
      </c>
      <c r="D29" s="14" t="s">
        <v>72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0</v>
      </c>
      <c r="K29" s="14">
        <v>1</v>
      </c>
      <c r="L29" s="18">
        <v>0</v>
      </c>
      <c r="M29" s="14" t="s">
        <v>86</v>
      </c>
    </row>
    <row r="30" spans="1:13" x14ac:dyDescent="0.25">
      <c r="A30" s="14" t="s">
        <v>61</v>
      </c>
      <c r="B30" s="14" t="s">
        <v>1043</v>
      </c>
      <c r="C30" s="14" t="s">
        <v>1044</v>
      </c>
      <c r="D30" s="14" t="s">
        <v>64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8">
        <v>0</v>
      </c>
      <c r="K30" s="14">
        <v>1</v>
      </c>
      <c r="L30" s="18">
        <v>0</v>
      </c>
      <c r="M30" s="14" t="s">
        <v>86</v>
      </c>
    </row>
    <row r="31" spans="1:13" x14ac:dyDescent="0.25">
      <c r="A31" s="14" t="s">
        <v>49</v>
      </c>
      <c r="B31" s="14" t="s">
        <v>1045</v>
      </c>
      <c r="C31" s="14" t="s">
        <v>1046</v>
      </c>
      <c r="D31" s="14" t="s">
        <v>60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8">
        <v>0</v>
      </c>
      <c r="K31" s="14">
        <v>1</v>
      </c>
      <c r="L31" s="18">
        <v>64.94</v>
      </c>
      <c r="M31" s="14" t="s">
        <v>86</v>
      </c>
    </row>
    <row r="32" spans="1:13" x14ac:dyDescent="0.25">
      <c r="A32" s="14" t="s">
        <v>59</v>
      </c>
      <c r="B32" s="14" t="s">
        <v>1047</v>
      </c>
      <c r="C32" s="14" t="s">
        <v>1048</v>
      </c>
      <c r="D32" s="14" t="s">
        <v>72</v>
      </c>
      <c r="E32" s="14">
        <v>1</v>
      </c>
      <c r="F32" s="14">
        <v>0</v>
      </c>
      <c r="G32" s="14">
        <v>0</v>
      </c>
      <c r="H32" s="14">
        <v>0</v>
      </c>
      <c r="I32" s="14">
        <v>0</v>
      </c>
      <c r="J32" s="18">
        <v>0</v>
      </c>
      <c r="K32" s="14">
        <v>1</v>
      </c>
      <c r="L32" s="18">
        <v>0</v>
      </c>
      <c r="M32" s="14" t="s">
        <v>86</v>
      </c>
    </row>
    <row r="33" spans="1:13" x14ac:dyDescent="0.25">
      <c r="A33" s="14" t="s">
        <v>43</v>
      </c>
      <c r="B33" s="14" t="s">
        <v>1049</v>
      </c>
      <c r="C33" s="14" t="s">
        <v>1050</v>
      </c>
      <c r="D33" s="14" t="s">
        <v>74</v>
      </c>
      <c r="E33" s="14">
        <v>0</v>
      </c>
      <c r="F33" s="14">
        <v>0</v>
      </c>
      <c r="G33" s="14">
        <v>0</v>
      </c>
      <c r="H33" s="14">
        <v>0</v>
      </c>
      <c r="I33" s="14">
        <v>1</v>
      </c>
      <c r="J33" s="18">
        <v>33</v>
      </c>
      <c r="K33" s="14">
        <v>0</v>
      </c>
      <c r="L33" s="18">
        <v>0</v>
      </c>
      <c r="M33" s="14" t="s">
        <v>86</v>
      </c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6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6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6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1051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55</v>
      </c>
      <c r="B4" s="14" t="s">
        <v>1052</v>
      </c>
      <c r="C4" s="14" t="s">
        <v>1053</v>
      </c>
      <c r="D4" s="14" t="s">
        <v>73</v>
      </c>
      <c r="E4" s="14">
        <v>0</v>
      </c>
      <c r="F4" s="14">
        <v>0</v>
      </c>
      <c r="G4" s="14">
        <v>0</v>
      </c>
      <c r="H4" s="14">
        <v>0</v>
      </c>
      <c r="I4" s="14">
        <v>1</v>
      </c>
      <c r="J4" s="18">
        <v>24</v>
      </c>
      <c r="K4" s="14">
        <v>0</v>
      </c>
      <c r="L4" s="18">
        <v>29.67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2</v>
      </c>
      <c r="R4" s="14">
        <f t="shared" ref="R4:R15" si="1">SUMIF($A$4:$A$43,$P4,F$4:F$43)</f>
        <v>0</v>
      </c>
      <c r="S4" s="14">
        <f t="shared" ref="S4:S15" si="2">SUMIF($A$4:$A$43,$P4,G$4:G$43)</f>
        <v>1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2</v>
      </c>
      <c r="X4" s="18">
        <f t="shared" ref="X4:X15" si="7">SUMIF($A$4:$A$43,$P4,L$4:L$43)</f>
        <v>88.84</v>
      </c>
    </row>
    <row r="5" spans="1:24" x14ac:dyDescent="0.25">
      <c r="A5" s="14" t="s">
        <v>45</v>
      </c>
      <c r="B5" s="14" t="s">
        <v>1054</v>
      </c>
      <c r="C5" s="14" t="s">
        <v>1055</v>
      </c>
      <c r="D5" s="14" t="s">
        <v>46</v>
      </c>
      <c r="E5" s="14">
        <v>1</v>
      </c>
      <c r="F5" s="14">
        <v>0</v>
      </c>
      <c r="G5" s="14">
        <v>1</v>
      </c>
      <c r="H5" s="14">
        <v>0</v>
      </c>
      <c r="I5" s="14">
        <v>0</v>
      </c>
      <c r="J5" s="18">
        <v>0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1</v>
      </c>
      <c r="V5" s="18">
        <f t="shared" si="5"/>
        <v>40</v>
      </c>
      <c r="W5" s="14">
        <f t="shared" si="6"/>
        <v>1</v>
      </c>
      <c r="X5" s="18">
        <f t="shared" si="7"/>
        <v>108.07</v>
      </c>
    </row>
    <row r="6" spans="1:24" x14ac:dyDescent="0.25">
      <c r="A6" s="14" t="s">
        <v>55</v>
      </c>
      <c r="B6" s="14" t="s">
        <v>1056</v>
      </c>
      <c r="C6" s="14" t="s">
        <v>1057</v>
      </c>
      <c r="D6" s="14" t="s">
        <v>60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8">
        <v>16</v>
      </c>
      <c r="K6" s="14">
        <v>1</v>
      </c>
      <c r="L6" s="18">
        <v>161.04</v>
      </c>
      <c r="M6" s="14" t="s">
        <v>86</v>
      </c>
      <c r="P6" s="14" t="str">
        <f>Setup!$A$6</f>
        <v>Expert 03</v>
      </c>
      <c r="Q6" s="14">
        <f t="shared" si="0"/>
        <v>0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16</v>
      </c>
      <c r="W6" s="14">
        <f t="shared" si="6"/>
        <v>1</v>
      </c>
      <c r="X6" s="18">
        <f t="shared" si="7"/>
        <v>128.08000000000001</v>
      </c>
    </row>
    <row r="7" spans="1:24" x14ac:dyDescent="0.25">
      <c r="A7" s="14" t="s">
        <v>47</v>
      </c>
      <c r="B7" s="14" t="s">
        <v>1058</v>
      </c>
      <c r="C7" s="14" t="s">
        <v>1059</v>
      </c>
      <c r="D7" s="14" t="s">
        <v>77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8">
        <v>24</v>
      </c>
      <c r="K7" s="14">
        <v>0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2</v>
      </c>
      <c r="R7" s="14">
        <f t="shared" si="1"/>
        <v>0</v>
      </c>
      <c r="S7" s="14">
        <f t="shared" si="2"/>
        <v>1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2</v>
      </c>
      <c r="X7" s="18">
        <f t="shared" si="7"/>
        <v>143.43</v>
      </c>
    </row>
    <row r="8" spans="1:24" x14ac:dyDescent="0.25">
      <c r="A8" s="14" t="s">
        <v>53</v>
      </c>
      <c r="B8" s="14" t="s">
        <v>1060</v>
      </c>
      <c r="C8" s="14" t="s">
        <v>1061</v>
      </c>
      <c r="D8" s="14" t="s">
        <v>67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8.26</v>
      </c>
      <c r="M8" s="14" t="s">
        <v>86</v>
      </c>
      <c r="P8" s="14" t="str">
        <f>Setup!$A$8</f>
        <v>Expert 05</v>
      </c>
      <c r="Q8" s="14">
        <f t="shared" si="0"/>
        <v>1</v>
      </c>
      <c r="R8" s="14">
        <f t="shared" si="1"/>
        <v>1</v>
      </c>
      <c r="S8" s="14">
        <f t="shared" si="2"/>
        <v>1</v>
      </c>
      <c r="T8" s="14">
        <f t="shared" si="3"/>
        <v>0</v>
      </c>
      <c r="U8" s="14">
        <f t="shared" si="4"/>
        <v>0</v>
      </c>
      <c r="V8" s="18">
        <f t="shared" si="5"/>
        <v>93</v>
      </c>
      <c r="W8" s="14">
        <f t="shared" si="6"/>
        <v>2</v>
      </c>
      <c r="X8" s="18">
        <f t="shared" si="7"/>
        <v>120.93</v>
      </c>
    </row>
    <row r="9" spans="1:24" x14ac:dyDescent="0.25">
      <c r="A9" s="14" t="s">
        <v>53</v>
      </c>
      <c r="B9" s="14" t="s">
        <v>1062</v>
      </c>
      <c r="C9" s="14" t="s">
        <v>1063</v>
      </c>
      <c r="D9" s="14" t="s">
        <v>66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81.010000000000005</v>
      </c>
      <c r="M9" s="14" t="s">
        <v>86</v>
      </c>
      <c r="P9" s="14" t="str">
        <f>Setup!$A$9</f>
        <v>Expert 06</v>
      </c>
      <c r="Q9" s="14">
        <f t="shared" si="0"/>
        <v>1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18</v>
      </c>
      <c r="W9" s="14">
        <f t="shared" si="6"/>
        <v>1</v>
      </c>
      <c r="X9" s="18">
        <f t="shared" si="7"/>
        <v>0</v>
      </c>
    </row>
    <row r="10" spans="1:24" x14ac:dyDescent="0.25">
      <c r="A10" s="14" t="s">
        <v>39</v>
      </c>
      <c r="B10" s="14" t="s">
        <v>1064</v>
      </c>
      <c r="C10" s="14" t="s">
        <v>1065</v>
      </c>
      <c r="D10" s="14" t="s">
        <v>60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22.82</v>
      </c>
      <c r="M10" s="14" t="s">
        <v>86</v>
      </c>
      <c r="P10" s="14" t="str">
        <f>Setup!$A$10</f>
        <v>Expert 07</v>
      </c>
      <c r="Q10" s="14">
        <f t="shared" si="0"/>
        <v>1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33</v>
      </c>
      <c r="W10" s="14">
        <f t="shared" si="6"/>
        <v>1</v>
      </c>
      <c r="X10" s="18">
        <f t="shared" si="7"/>
        <v>0</v>
      </c>
    </row>
    <row r="11" spans="1:24" x14ac:dyDescent="0.25">
      <c r="A11" s="14" t="s">
        <v>53</v>
      </c>
      <c r="B11" s="14" t="s">
        <v>1066</v>
      </c>
      <c r="C11" s="14" t="s">
        <v>1067</v>
      </c>
      <c r="D11" s="14" t="s">
        <v>74</v>
      </c>
      <c r="E11" s="14">
        <v>0</v>
      </c>
      <c r="F11" s="14">
        <v>0</v>
      </c>
      <c r="G11" s="14">
        <v>0</v>
      </c>
      <c r="H11" s="14">
        <v>0</v>
      </c>
      <c r="I11" s="14">
        <v>1</v>
      </c>
      <c r="J11" s="18">
        <v>0</v>
      </c>
      <c r="K11" s="14">
        <v>0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2</v>
      </c>
      <c r="R11" s="14">
        <f t="shared" si="1"/>
        <v>1</v>
      </c>
      <c r="S11" s="14">
        <f t="shared" si="2"/>
        <v>0</v>
      </c>
      <c r="T11" s="14">
        <f t="shared" si="3"/>
        <v>0</v>
      </c>
      <c r="U11" s="14">
        <f t="shared" si="4"/>
        <v>1</v>
      </c>
      <c r="V11" s="18">
        <f t="shared" si="5"/>
        <v>72</v>
      </c>
      <c r="W11" s="14">
        <f t="shared" si="6"/>
        <v>4</v>
      </c>
      <c r="X11" s="18">
        <f t="shared" si="7"/>
        <v>157.78000000000003</v>
      </c>
    </row>
    <row r="12" spans="1:24" x14ac:dyDescent="0.25">
      <c r="A12" s="14" t="s">
        <v>39</v>
      </c>
      <c r="B12" s="14" t="s">
        <v>1068</v>
      </c>
      <c r="C12" s="14" t="s">
        <v>1069</v>
      </c>
      <c r="D12" s="14" t="s">
        <v>58</v>
      </c>
      <c r="E12" s="14">
        <v>1</v>
      </c>
      <c r="F12" s="14">
        <v>0</v>
      </c>
      <c r="G12" s="14">
        <v>1</v>
      </c>
      <c r="H12" s="14">
        <v>0</v>
      </c>
      <c r="I12" s="14">
        <v>0</v>
      </c>
      <c r="J12" s="18">
        <v>0</v>
      </c>
      <c r="K12" s="14">
        <v>1</v>
      </c>
      <c r="L12" s="18">
        <v>66.02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1</v>
      </c>
      <c r="S12" s="14">
        <f t="shared" si="2"/>
        <v>0</v>
      </c>
      <c r="T12" s="14">
        <f t="shared" si="3"/>
        <v>0</v>
      </c>
      <c r="U12" s="14">
        <f t="shared" si="4"/>
        <v>1</v>
      </c>
      <c r="V12" s="18">
        <f t="shared" si="5"/>
        <v>40</v>
      </c>
      <c r="W12" s="14">
        <f t="shared" si="6"/>
        <v>1</v>
      </c>
      <c r="X12" s="18">
        <f t="shared" si="7"/>
        <v>190.70999999999998</v>
      </c>
    </row>
    <row r="13" spans="1:24" x14ac:dyDescent="0.25">
      <c r="A13" s="14" t="s">
        <v>51</v>
      </c>
      <c r="B13" s="14" t="s">
        <v>1070</v>
      </c>
      <c r="C13" s="14" t="s">
        <v>1071</v>
      </c>
      <c r="D13" s="14" t="s">
        <v>60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33</v>
      </c>
      <c r="K13" s="14">
        <v>1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0</v>
      </c>
      <c r="W13" s="14">
        <f t="shared" si="6"/>
        <v>0</v>
      </c>
      <c r="X13" s="18">
        <f t="shared" si="7"/>
        <v>0</v>
      </c>
    </row>
    <row r="14" spans="1:24" x14ac:dyDescent="0.25">
      <c r="A14" s="14" t="s">
        <v>61</v>
      </c>
      <c r="B14" s="14" t="s">
        <v>1072</v>
      </c>
      <c r="C14" s="14" t="s">
        <v>1073</v>
      </c>
      <c r="D14" s="14" t="s">
        <v>72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65.27</v>
      </c>
      <c r="M14" s="14" t="s">
        <v>86</v>
      </c>
      <c r="P14" s="14" t="str">
        <f>Setup!$A$14</f>
        <v>Expert 11</v>
      </c>
      <c r="Q14" s="14">
        <f t="shared" si="0"/>
        <v>1</v>
      </c>
      <c r="R14" s="14">
        <f t="shared" si="1"/>
        <v>0</v>
      </c>
      <c r="S14" s="14">
        <f t="shared" si="2"/>
        <v>1</v>
      </c>
      <c r="T14" s="14">
        <f t="shared" si="3"/>
        <v>0</v>
      </c>
      <c r="U14" s="14">
        <f t="shared" si="4"/>
        <v>0</v>
      </c>
      <c r="V14" s="18">
        <f t="shared" si="5"/>
        <v>105</v>
      </c>
      <c r="W14" s="14">
        <f t="shared" si="6"/>
        <v>3</v>
      </c>
      <c r="X14" s="18">
        <f t="shared" si="7"/>
        <v>233.45</v>
      </c>
    </row>
    <row r="15" spans="1:24" x14ac:dyDescent="0.25">
      <c r="A15" s="14" t="s">
        <v>41</v>
      </c>
      <c r="B15" s="14" t="s">
        <v>1074</v>
      </c>
      <c r="C15" s="14" t="s">
        <v>1075</v>
      </c>
      <c r="D15" s="14" t="s">
        <v>72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16</v>
      </c>
      <c r="K15" s="14">
        <v>1</v>
      </c>
      <c r="L15" s="18">
        <v>0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33</v>
      </c>
      <c r="W15" s="14">
        <f t="shared" si="6"/>
        <v>2</v>
      </c>
      <c r="X15" s="18">
        <f t="shared" si="7"/>
        <v>179.97</v>
      </c>
    </row>
    <row r="16" spans="1:24" x14ac:dyDescent="0.25">
      <c r="A16" s="14" t="s">
        <v>59</v>
      </c>
      <c r="B16" s="14" t="s">
        <v>1076</v>
      </c>
      <c r="C16" s="14" t="s">
        <v>1077</v>
      </c>
      <c r="D16" s="14" t="s">
        <v>69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15</v>
      </c>
      <c r="K16" s="14">
        <v>1</v>
      </c>
      <c r="L16" s="18">
        <v>123.71</v>
      </c>
      <c r="M16" s="14" t="s">
        <v>86</v>
      </c>
      <c r="P16" s="19" t="s">
        <v>112</v>
      </c>
      <c r="Q16" s="20">
        <f t="shared" ref="Q16:X16" si="8">SUM(Q4:Q15)</f>
        <v>12</v>
      </c>
      <c r="R16" s="20">
        <f t="shared" si="8"/>
        <v>4</v>
      </c>
      <c r="S16" s="20">
        <f t="shared" si="8"/>
        <v>4</v>
      </c>
      <c r="T16" s="20">
        <f t="shared" si="8"/>
        <v>0</v>
      </c>
      <c r="U16" s="20">
        <f t="shared" si="8"/>
        <v>3</v>
      </c>
      <c r="V16" s="21">
        <f t="shared" si="8"/>
        <v>450</v>
      </c>
      <c r="W16" s="20">
        <f t="shared" si="8"/>
        <v>20</v>
      </c>
      <c r="X16" s="21">
        <f t="shared" si="8"/>
        <v>1351.2600000000002</v>
      </c>
    </row>
    <row r="17" spans="1:13" x14ac:dyDescent="0.25">
      <c r="A17" s="14" t="s">
        <v>59</v>
      </c>
      <c r="B17" s="14" t="s">
        <v>1078</v>
      </c>
      <c r="C17" s="14" t="s">
        <v>1079</v>
      </c>
      <c r="D17" s="14" t="s">
        <v>63</v>
      </c>
      <c r="E17" s="14">
        <v>1</v>
      </c>
      <c r="F17" s="14">
        <v>0</v>
      </c>
      <c r="G17" s="14">
        <v>1</v>
      </c>
      <c r="H17" s="14">
        <v>0</v>
      </c>
      <c r="I17" s="14">
        <v>0</v>
      </c>
      <c r="J17" s="18">
        <v>33</v>
      </c>
      <c r="K17" s="14">
        <v>1</v>
      </c>
      <c r="L17" s="18">
        <v>0</v>
      </c>
      <c r="M17" s="14" t="s">
        <v>111</v>
      </c>
    </row>
    <row r="18" spans="1:13" x14ac:dyDescent="0.25">
      <c r="A18" s="14" t="s">
        <v>41</v>
      </c>
      <c r="B18" s="14" t="s">
        <v>1080</v>
      </c>
      <c r="C18" s="14" t="s">
        <v>1081</v>
      </c>
      <c r="D18" s="14" t="s">
        <v>74</v>
      </c>
      <c r="E18" s="14">
        <v>0</v>
      </c>
      <c r="F18" s="14">
        <v>0</v>
      </c>
      <c r="G18" s="14">
        <v>0</v>
      </c>
      <c r="H18" s="14">
        <v>0</v>
      </c>
      <c r="I18" s="14">
        <v>1</v>
      </c>
      <c r="J18" s="18">
        <v>24</v>
      </c>
      <c r="K18" s="14">
        <v>0</v>
      </c>
      <c r="L18" s="18">
        <v>108.07</v>
      </c>
      <c r="M18" s="14" t="s">
        <v>86</v>
      </c>
    </row>
    <row r="19" spans="1:13" x14ac:dyDescent="0.25">
      <c r="A19" s="14" t="s">
        <v>59</v>
      </c>
      <c r="B19" s="14" t="s">
        <v>1082</v>
      </c>
      <c r="C19" s="14" t="s">
        <v>1083</v>
      </c>
      <c r="D19" s="14" t="s">
        <v>76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8">
        <v>33</v>
      </c>
      <c r="K19" s="14">
        <v>0</v>
      </c>
      <c r="L19" s="18">
        <v>32.64</v>
      </c>
      <c r="M19" s="14" t="s">
        <v>86</v>
      </c>
    </row>
    <row r="20" spans="1:13" x14ac:dyDescent="0.25">
      <c r="A20" s="14" t="s">
        <v>47</v>
      </c>
      <c r="B20" s="14" t="s">
        <v>1084</v>
      </c>
      <c r="C20" s="14" t="s">
        <v>1085</v>
      </c>
      <c r="D20" s="14" t="s">
        <v>42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18</v>
      </c>
      <c r="K20" s="14">
        <v>1</v>
      </c>
      <c r="L20" s="18">
        <v>0</v>
      </c>
      <c r="M20" s="14" t="s">
        <v>86</v>
      </c>
    </row>
    <row r="21" spans="1:13" x14ac:dyDescent="0.25">
      <c r="A21" s="14" t="s">
        <v>45</v>
      </c>
      <c r="B21" s="14" t="s">
        <v>1086</v>
      </c>
      <c r="C21" s="14" t="s">
        <v>1087</v>
      </c>
      <c r="D21" s="14" t="s">
        <v>63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143.43</v>
      </c>
      <c r="M21" s="14" t="s">
        <v>86</v>
      </c>
    </row>
    <row r="22" spans="1:13" x14ac:dyDescent="0.25">
      <c r="A22" s="14" t="s">
        <v>53</v>
      </c>
      <c r="B22" s="14" t="s">
        <v>1088</v>
      </c>
      <c r="C22" s="14" t="s">
        <v>1089</v>
      </c>
      <c r="D22" s="14" t="s">
        <v>40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8">
        <v>15</v>
      </c>
      <c r="K22" s="14">
        <v>1</v>
      </c>
      <c r="L22" s="18">
        <v>68.510000000000005</v>
      </c>
      <c r="M22" s="14" t="s">
        <v>86</v>
      </c>
    </row>
    <row r="23" spans="1:13" x14ac:dyDescent="0.25">
      <c r="A23" s="14" t="s">
        <v>43</v>
      </c>
      <c r="B23" s="14" t="s">
        <v>1090</v>
      </c>
      <c r="C23" s="14" t="s">
        <v>1091</v>
      </c>
      <c r="D23" s="14" t="s">
        <v>60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8">
        <v>16</v>
      </c>
      <c r="K23" s="14">
        <v>1</v>
      </c>
      <c r="L23" s="18">
        <v>128.08000000000001</v>
      </c>
      <c r="M23" s="14" t="s">
        <v>86</v>
      </c>
    </row>
    <row r="24" spans="1:13" x14ac:dyDescent="0.25">
      <c r="A24" s="14" t="s">
        <v>59</v>
      </c>
      <c r="B24" s="14" t="s">
        <v>1092</v>
      </c>
      <c r="C24" s="14" t="s">
        <v>1093</v>
      </c>
      <c r="D24" s="14" t="s">
        <v>54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8">
        <v>24</v>
      </c>
      <c r="K24" s="14">
        <v>1</v>
      </c>
      <c r="L24" s="18">
        <v>77.099999999999994</v>
      </c>
      <c r="M24" s="14" t="s">
        <v>86</v>
      </c>
    </row>
    <row r="25" spans="1:13" x14ac:dyDescent="0.25">
      <c r="A25" s="14" t="s">
        <v>53</v>
      </c>
      <c r="B25" s="14" t="s">
        <v>1094</v>
      </c>
      <c r="C25" s="14" t="s">
        <v>1095</v>
      </c>
      <c r="D25" s="14" t="s">
        <v>70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8">
        <v>24</v>
      </c>
      <c r="K25" s="14">
        <v>1</v>
      </c>
      <c r="L25" s="18">
        <v>0</v>
      </c>
      <c r="M25" s="14" t="s">
        <v>86</v>
      </c>
    </row>
    <row r="26" spans="1:13" x14ac:dyDescent="0.25">
      <c r="A26" s="14" t="s">
        <v>47</v>
      </c>
      <c r="B26" s="14" t="s">
        <v>1096</v>
      </c>
      <c r="C26" s="14" t="s">
        <v>1097</v>
      </c>
      <c r="D26" s="14" t="s">
        <v>77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8">
        <v>18</v>
      </c>
      <c r="K26" s="14">
        <v>0</v>
      </c>
      <c r="L26" s="18">
        <v>61.4</v>
      </c>
      <c r="M26" s="14" t="s">
        <v>86</v>
      </c>
    </row>
    <row r="27" spans="1:13" x14ac:dyDescent="0.25">
      <c r="A27" s="14" t="s">
        <v>61</v>
      </c>
      <c r="B27" s="14" t="s">
        <v>1098</v>
      </c>
      <c r="C27" s="14" t="s">
        <v>1099</v>
      </c>
      <c r="D27" s="14" t="s">
        <v>69</v>
      </c>
      <c r="E27" s="14">
        <v>1</v>
      </c>
      <c r="F27" s="14">
        <v>0</v>
      </c>
      <c r="G27" s="14">
        <v>0</v>
      </c>
      <c r="H27" s="14">
        <v>0</v>
      </c>
      <c r="I27" s="14">
        <v>0</v>
      </c>
      <c r="J27" s="18">
        <v>33</v>
      </c>
      <c r="K27" s="14">
        <v>1</v>
      </c>
      <c r="L27" s="18">
        <v>114.7</v>
      </c>
      <c r="M27" s="14" t="s">
        <v>86</v>
      </c>
    </row>
    <row r="28" spans="1:13" x14ac:dyDescent="0.25">
      <c r="A28" s="14" t="s">
        <v>53</v>
      </c>
      <c r="B28" s="14" t="s">
        <v>1100</v>
      </c>
      <c r="C28" s="14" t="s">
        <v>1101</v>
      </c>
      <c r="D28" s="14" t="s">
        <v>76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8">
        <v>33</v>
      </c>
      <c r="K28" s="14">
        <v>0</v>
      </c>
      <c r="L28" s="18">
        <v>0</v>
      </c>
      <c r="M28" s="14" t="s">
        <v>86</v>
      </c>
    </row>
    <row r="29" spans="1:13" x14ac:dyDescent="0.25">
      <c r="A29" s="14" t="s">
        <v>49</v>
      </c>
      <c r="B29" s="14" t="s">
        <v>1102</v>
      </c>
      <c r="C29" s="14" t="s">
        <v>1103</v>
      </c>
      <c r="D29" s="14" t="s">
        <v>44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18</v>
      </c>
      <c r="K29" s="14">
        <v>1</v>
      </c>
      <c r="L29" s="18">
        <v>0</v>
      </c>
      <c r="M29" s="14" t="s">
        <v>86</v>
      </c>
    </row>
    <row r="30" spans="1:13" x14ac:dyDescent="0.25">
      <c r="A30" s="14" t="s">
        <v>47</v>
      </c>
      <c r="B30" s="14" t="s">
        <v>1104</v>
      </c>
      <c r="C30" s="14" t="s">
        <v>1105</v>
      </c>
      <c r="D30" s="14" t="s">
        <v>42</v>
      </c>
      <c r="E30" s="14">
        <v>0</v>
      </c>
      <c r="F30" s="14">
        <v>1</v>
      </c>
      <c r="G30" s="14">
        <v>1</v>
      </c>
      <c r="H30" s="14">
        <v>0</v>
      </c>
      <c r="I30" s="14">
        <v>0</v>
      </c>
      <c r="J30" s="18">
        <v>33</v>
      </c>
      <c r="K30" s="14">
        <v>1</v>
      </c>
      <c r="L30" s="18">
        <v>59.53</v>
      </c>
      <c r="M30" s="14" t="s">
        <v>86</v>
      </c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7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7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7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1106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39</v>
      </c>
      <c r="B4" s="14" t="s">
        <v>1107</v>
      </c>
      <c r="C4" s="14" t="s">
        <v>1108</v>
      </c>
      <c r="D4" s="14" t="s">
        <v>58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24</v>
      </c>
      <c r="K4" s="14">
        <v>1</v>
      </c>
      <c r="L4" s="18">
        <v>163.79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57</v>
      </c>
      <c r="W4" s="14">
        <f t="shared" ref="W4:W15" si="6">SUMIF($A$4:$A$43,$P4,K$4:K$43)</f>
        <v>2</v>
      </c>
      <c r="X4" s="18">
        <f t="shared" ref="X4:X15" si="7">SUMIF($A$4:$A$43,$P4,L$4:L$43)</f>
        <v>163.79</v>
      </c>
    </row>
    <row r="5" spans="1:24" x14ac:dyDescent="0.25">
      <c r="A5" s="14" t="s">
        <v>51</v>
      </c>
      <c r="B5" s="14" t="s">
        <v>1109</v>
      </c>
      <c r="C5" s="14" t="s">
        <v>1110</v>
      </c>
      <c r="D5" s="14" t="s">
        <v>60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1</v>
      </c>
      <c r="V5" s="18">
        <f t="shared" si="5"/>
        <v>16</v>
      </c>
      <c r="W5" s="14">
        <f t="shared" si="6"/>
        <v>1</v>
      </c>
      <c r="X5" s="18">
        <f t="shared" si="7"/>
        <v>0</v>
      </c>
    </row>
    <row r="6" spans="1:24" x14ac:dyDescent="0.25">
      <c r="A6" s="14" t="s">
        <v>49</v>
      </c>
      <c r="B6" s="14" t="s">
        <v>1111</v>
      </c>
      <c r="C6" s="14" t="s">
        <v>1112</v>
      </c>
      <c r="D6" s="14" t="s">
        <v>54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18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1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18</v>
      </c>
      <c r="W6" s="14">
        <f t="shared" si="6"/>
        <v>2</v>
      </c>
      <c r="X6" s="18">
        <f t="shared" si="7"/>
        <v>100.86</v>
      </c>
    </row>
    <row r="7" spans="1:24" x14ac:dyDescent="0.25">
      <c r="A7" s="14" t="s">
        <v>45</v>
      </c>
      <c r="B7" s="14" t="s">
        <v>1113</v>
      </c>
      <c r="C7" s="14" t="s">
        <v>1114</v>
      </c>
      <c r="D7" s="14" t="s">
        <v>73</v>
      </c>
      <c r="E7" s="14">
        <v>0</v>
      </c>
      <c r="F7" s="14">
        <v>0</v>
      </c>
      <c r="G7" s="14">
        <v>0</v>
      </c>
      <c r="H7" s="14">
        <v>0</v>
      </c>
      <c r="I7" s="14">
        <v>1</v>
      </c>
      <c r="J7" s="18">
        <v>0</v>
      </c>
      <c r="K7" s="14">
        <v>0</v>
      </c>
      <c r="L7" s="18">
        <v>41.08</v>
      </c>
      <c r="M7" s="14" t="s">
        <v>86</v>
      </c>
      <c r="P7" s="14" t="str">
        <f>Setup!$A$7</f>
        <v>Expert 04</v>
      </c>
      <c r="Q7" s="14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1</v>
      </c>
      <c r="V7" s="18">
        <f t="shared" si="5"/>
        <v>0</v>
      </c>
      <c r="W7" s="14">
        <f t="shared" si="6"/>
        <v>0</v>
      </c>
      <c r="X7" s="18">
        <f t="shared" si="7"/>
        <v>41.08</v>
      </c>
    </row>
    <row r="8" spans="1:24" x14ac:dyDescent="0.25">
      <c r="A8" s="14" t="s">
        <v>47</v>
      </c>
      <c r="B8" s="14" t="s">
        <v>1115</v>
      </c>
      <c r="C8" s="14" t="s">
        <v>1116</v>
      </c>
      <c r="D8" s="14" t="s">
        <v>42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15</v>
      </c>
      <c r="K8" s="14">
        <v>1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3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30</v>
      </c>
      <c r="W8" s="14">
        <f t="shared" si="6"/>
        <v>2</v>
      </c>
      <c r="X8" s="18">
        <f t="shared" si="7"/>
        <v>76.64</v>
      </c>
    </row>
    <row r="9" spans="1:24" x14ac:dyDescent="0.25">
      <c r="A9" s="14" t="s">
        <v>51</v>
      </c>
      <c r="B9" s="14" t="s">
        <v>1117</v>
      </c>
      <c r="C9" s="14" t="s">
        <v>1118</v>
      </c>
      <c r="D9" s="14" t="s">
        <v>64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18</v>
      </c>
      <c r="K9" s="14">
        <v>1</v>
      </c>
      <c r="L9" s="18">
        <v>6.79</v>
      </c>
      <c r="M9" s="14" t="s">
        <v>86</v>
      </c>
      <c r="P9" s="14" t="str">
        <f>Setup!$A$9</f>
        <v>Expert 06</v>
      </c>
      <c r="Q9" s="14">
        <f t="shared" si="0"/>
        <v>2</v>
      </c>
      <c r="R9" s="14">
        <f t="shared" si="1"/>
        <v>1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75</v>
      </c>
      <c r="W9" s="14">
        <f t="shared" si="6"/>
        <v>4</v>
      </c>
      <c r="X9" s="18">
        <f t="shared" si="7"/>
        <v>231.26</v>
      </c>
    </row>
    <row r="10" spans="1:24" x14ac:dyDescent="0.25">
      <c r="A10" s="14" t="s">
        <v>49</v>
      </c>
      <c r="B10" s="14" t="s">
        <v>1119</v>
      </c>
      <c r="C10" s="14" t="s">
        <v>1120</v>
      </c>
      <c r="D10" s="14" t="s">
        <v>40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24</v>
      </c>
      <c r="K10" s="14">
        <v>1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4</v>
      </c>
      <c r="R10" s="14">
        <f t="shared" si="1"/>
        <v>0</v>
      </c>
      <c r="S10" s="14">
        <f t="shared" si="2"/>
        <v>1</v>
      </c>
      <c r="T10" s="14">
        <f t="shared" si="3"/>
        <v>0</v>
      </c>
      <c r="U10" s="14">
        <f t="shared" si="4"/>
        <v>0</v>
      </c>
      <c r="V10" s="18">
        <f t="shared" si="5"/>
        <v>51</v>
      </c>
      <c r="W10" s="14">
        <f t="shared" si="6"/>
        <v>4</v>
      </c>
      <c r="X10" s="18">
        <f t="shared" si="7"/>
        <v>209.93</v>
      </c>
    </row>
    <row r="11" spans="1:24" x14ac:dyDescent="0.25">
      <c r="A11" s="14" t="s">
        <v>43</v>
      </c>
      <c r="B11" s="14" t="s">
        <v>1121</v>
      </c>
      <c r="C11" s="14" t="s">
        <v>1122</v>
      </c>
      <c r="D11" s="14" t="s">
        <v>42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1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24</v>
      </c>
      <c r="W11" s="14">
        <f t="shared" si="6"/>
        <v>1</v>
      </c>
      <c r="X11" s="18">
        <f t="shared" si="7"/>
        <v>137.49</v>
      </c>
    </row>
    <row r="12" spans="1:24" x14ac:dyDescent="0.25">
      <c r="A12" s="14" t="s">
        <v>41</v>
      </c>
      <c r="B12" s="14" t="s">
        <v>1123</v>
      </c>
      <c r="C12" s="14" t="s">
        <v>1124</v>
      </c>
      <c r="D12" s="14" t="s">
        <v>74</v>
      </c>
      <c r="E12" s="14">
        <v>0</v>
      </c>
      <c r="F12" s="14">
        <v>0</v>
      </c>
      <c r="G12" s="14">
        <v>0</v>
      </c>
      <c r="H12" s="14">
        <v>0</v>
      </c>
      <c r="I12" s="14">
        <v>1</v>
      </c>
      <c r="J12" s="18">
        <v>16</v>
      </c>
      <c r="K12" s="14">
        <v>0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0</v>
      </c>
      <c r="X12" s="18">
        <f t="shared" si="7"/>
        <v>0</v>
      </c>
    </row>
    <row r="13" spans="1:24" x14ac:dyDescent="0.25">
      <c r="A13" s="14" t="s">
        <v>59</v>
      </c>
      <c r="B13" s="14" t="s">
        <v>1125</v>
      </c>
      <c r="C13" s="14" t="s">
        <v>1126</v>
      </c>
      <c r="D13" s="14" t="s">
        <v>74</v>
      </c>
      <c r="E13" s="14">
        <v>0</v>
      </c>
      <c r="F13" s="14">
        <v>1</v>
      </c>
      <c r="G13" s="14">
        <v>0</v>
      </c>
      <c r="H13" s="14">
        <v>0</v>
      </c>
      <c r="I13" s="14">
        <v>1</v>
      </c>
      <c r="J13" s="18">
        <v>16</v>
      </c>
      <c r="K13" s="14">
        <v>0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2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51</v>
      </c>
      <c r="W13" s="14">
        <f t="shared" si="6"/>
        <v>3</v>
      </c>
      <c r="X13" s="18">
        <f t="shared" si="7"/>
        <v>150.22</v>
      </c>
    </row>
    <row r="14" spans="1:24" x14ac:dyDescent="0.25">
      <c r="A14" s="14" t="s">
        <v>43</v>
      </c>
      <c r="B14" s="14" t="s">
        <v>1127</v>
      </c>
      <c r="C14" s="14" t="s">
        <v>1128</v>
      </c>
      <c r="D14" s="14" t="s">
        <v>76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8">
        <v>18</v>
      </c>
      <c r="K14" s="14">
        <v>0</v>
      </c>
      <c r="L14" s="18">
        <v>67.16</v>
      </c>
      <c r="M14" s="14" t="s">
        <v>86</v>
      </c>
      <c r="P14" s="14" t="str">
        <f>Setup!$A$14</f>
        <v>Expert 11</v>
      </c>
      <c r="Q14" s="14">
        <f t="shared" si="0"/>
        <v>1</v>
      </c>
      <c r="R14" s="14">
        <f t="shared" si="1"/>
        <v>2</v>
      </c>
      <c r="S14" s="14">
        <f t="shared" si="2"/>
        <v>0</v>
      </c>
      <c r="T14" s="14">
        <f t="shared" si="3"/>
        <v>0</v>
      </c>
      <c r="U14" s="14">
        <f t="shared" si="4"/>
        <v>1</v>
      </c>
      <c r="V14" s="18">
        <f t="shared" si="5"/>
        <v>32</v>
      </c>
      <c r="W14" s="14">
        <f t="shared" si="6"/>
        <v>2</v>
      </c>
      <c r="X14" s="18">
        <f t="shared" si="7"/>
        <v>87.830000000000013</v>
      </c>
    </row>
    <row r="15" spans="1:24" x14ac:dyDescent="0.25">
      <c r="A15" s="14" t="s">
        <v>49</v>
      </c>
      <c r="B15" s="14" t="s">
        <v>1129</v>
      </c>
      <c r="C15" s="14" t="s">
        <v>1130</v>
      </c>
      <c r="D15" s="14" t="s">
        <v>70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33</v>
      </c>
      <c r="K15" s="14">
        <v>1</v>
      </c>
      <c r="L15" s="18">
        <v>57.38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0</v>
      </c>
      <c r="W15" s="14">
        <f t="shared" si="6"/>
        <v>3</v>
      </c>
      <c r="X15" s="18">
        <f t="shared" si="7"/>
        <v>177.94</v>
      </c>
    </row>
    <row r="16" spans="1:24" x14ac:dyDescent="0.25">
      <c r="A16" s="14" t="s">
        <v>61</v>
      </c>
      <c r="B16" s="14" t="s">
        <v>1131</v>
      </c>
      <c r="C16" s="14" t="s">
        <v>1132</v>
      </c>
      <c r="D16" s="14" t="s">
        <v>46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100.89</v>
      </c>
      <c r="M16" s="14" t="s">
        <v>86</v>
      </c>
      <c r="P16" s="19" t="s">
        <v>112</v>
      </c>
      <c r="Q16" s="20">
        <f t="shared" ref="Q16:X16" si="8">SUM(Q4:Q15)</f>
        <v>17</v>
      </c>
      <c r="R16" s="20">
        <f t="shared" si="8"/>
        <v>5</v>
      </c>
      <c r="S16" s="20">
        <f t="shared" si="8"/>
        <v>1</v>
      </c>
      <c r="T16" s="20">
        <f t="shared" si="8"/>
        <v>0</v>
      </c>
      <c r="U16" s="20">
        <f t="shared" si="8"/>
        <v>3</v>
      </c>
      <c r="V16" s="21">
        <f t="shared" si="8"/>
        <v>354</v>
      </c>
      <c r="W16" s="20">
        <f t="shared" si="8"/>
        <v>24</v>
      </c>
      <c r="X16" s="21">
        <f t="shared" si="8"/>
        <v>1377.04</v>
      </c>
    </row>
    <row r="17" spans="1:13" x14ac:dyDescent="0.25">
      <c r="A17" s="14" t="s">
        <v>51</v>
      </c>
      <c r="B17" s="14" t="s">
        <v>1133</v>
      </c>
      <c r="C17" s="14" t="s">
        <v>1134</v>
      </c>
      <c r="D17" s="14" t="s">
        <v>62</v>
      </c>
      <c r="E17" s="14">
        <v>1</v>
      </c>
      <c r="F17" s="14">
        <v>0</v>
      </c>
      <c r="G17" s="14">
        <v>1</v>
      </c>
      <c r="H17" s="14">
        <v>0</v>
      </c>
      <c r="I17" s="14">
        <v>0</v>
      </c>
      <c r="J17" s="18">
        <v>18</v>
      </c>
      <c r="K17" s="14">
        <v>1</v>
      </c>
      <c r="L17" s="18">
        <v>10.9</v>
      </c>
      <c r="M17" s="14" t="s">
        <v>86</v>
      </c>
    </row>
    <row r="18" spans="1:13" x14ac:dyDescent="0.25">
      <c r="A18" s="14" t="s">
        <v>51</v>
      </c>
      <c r="B18" s="14" t="s">
        <v>1135</v>
      </c>
      <c r="C18" s="14" t="s">
        <v>1136</v>
      </c>
      <c r="D18" s="14" t="s">
        <v>77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15</v>
      </c>
      <c r="K18" s="14">
        <v>0</v>
      </c>
      <c r="L18" s="18">
        <v>18.8</v>
      </c>
      <c r="M18" s="14" t="s">
        <v>86</v>
      </c>
    </row>
    <row r="19" spans="1:13" x14ac:dyDescent="0.25">
      <c r="A19" s="14" t="s">
        <v>41</v>
      </c>
      <c r="B19" s="14" t="s">
        <v>1137</v>
      </c>
      <c r="C19" s="14" t="s">
        <v>1138</v>
      </c>
      <c r="D19" s="14" t="s">
        <v>64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61</v>
      </c>
      <c r="B20" s="14" t="s">
        <v>1139</v>
      </c>
      <c r="C20" s="14" t="s">
        <v>1140</v>
      </c>
      <c r="D20" s="14" t="s">
        <v>70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77.05</v>
      </c>
      <c r="M20" s="14" t="s">
        <v>111</v>
      </c>
    </row>
    <row r="21" spans="1:13" x14ac:dyDescent="0.25">
      <c r="A21" s="14" t="s">
        <v>49</v>
      </c>
      <c r="B21" s="14" t="s">
        <v>1141</v>
      </c>
      <c r="C21" s="14" t="s">
        <v>1142</v>
      </c>
      <c r="D21" s="14" t="s">
        <v>71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173.88</v>
      </c>
      <c r="M21" s="14" t="s">
        <v>86</v>
      </c>
    </row>
    <row r="22" spans="1:13" x14ac:dyDescent="0.25">
      <c r="A22" s="14" t="s">
        <v>57</v>
      </c>
      <c r="B22" s="14" t="s">
        <v>1143</v>
      </c>
      <c r="C22" s="14" t="s">
        <v>1144</v>
      </c>
      <c r="D22" s="14" t="s">
        <v>68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18</v>
      </c>
      <c r="K22" s="14">
        <v>1</v>
      </c>
      <c r="L22" s="18">
        <v>0</v>
      </c>
      <c r="M22" s="14" t="s">
        <v>86</v>
      </c>
    </row>
    <row r="23" spans="1:13" x14ac:dyDescent="0.25">
      <c r="A23" s="14" t="s">
        <v>47</v>
      </c>
      <c r="B23" s="14" t="s">
        <v>1145</v>
      </c>
      <c r="C23" s="14" t="s">
        <v>1146</v>
      </c>
      <c r="D23" s="14" t="s">
        <v>46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76.64</v>
      </c>
      <c r="M23" s="14" t="s">
        <v>86</v>
      </c>
    </row>
    <row r="24" spans="1:13" x14ac:dyDescent="0.25">
      <c r="A24" s="14" t="s">
        <v>59</v>
      </c>
      <c r="B24" s="14" t="s">
        <v>1147</v>
      </c>
      <c r="C24" s="14" t="s">
        <v>1148</v>
      </c>
      <c r="D24" s="14" t="s">
        <v>44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8">
        <v>0</v>
      </c>
      <c r="K24" s="14">
        <v>1</v>
      </c>
      <c r="L24" s="18">
        <v>75.680000000000007</v>
      </c>
      <c r="M24" s="14" t="s">
        <v>86</v>
      </c>
    </row>
    <row r="25" spans="1:13" x14ac:dyDescent="0.25">
      <c r="A25" s="14" t="s">
        <v>43</v>
      </c>
      <c r="B25" s="14" t="s">
        <v>1149</v>
      </c>
      <c r="C25" s="14" t="s">
        <v>1150</v>
      </c>
      <c r="D25" s="14" t="s">
        <v>63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8">
        <v>0</v>
      </c>
      <c r="K25" s="14">
        <v>1</v>
      </c>
      <c r="L25" s="18">
        <v>33.700000000000003</v>
      </c>
      <c r="M25" s="14" t="s">
        <v>86</v>
      </c>
    </row>
    <row r="26" spans="1:13" x14ac:dyDescent="0.25">
      <c r="A26" s="14" t="s">
        <v>61</v>
      </c>
      <c r="B26" s="14" t="s">
        <v>1151</v>
      </c>
      <c r="C26" s="14" t="s">
        <v>1152</v>
      </c>
      <c r="D26" s="14" t="s">
        <v>46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0</v>
      </c>
      <c r="M26" s="14" t="s">
        <v>86</v>
      </c>
    </row>
    <row r="27" spans="1:13" x14ac:dyDescent="0.25">
      <c r="A27" s="14" t="s">
        <v>47</v>
      </c>
      <c r="B27" s="14" t="s">
        <v>1153</v>
      </c>
      <c r="C27" s="14" t="s">
        <v>1154</v>
      </c>
      <c r="D27" s="14" t="s">
        <v>75</v>
      </c>
      <c r="E27" s="14">
        <v>1</v>
      </c>
      <c r="F27" s="14">
        <v>0</v>
      </c>
      <c r="G27" s="14">
        <v>0</v>
      </c>
      <c r="H27" s="14">
        <v>0</v>
      </c>
      <c r="I27" s="14">
        <v>0</v>
      </c>
      <c r="J27" s="18">
        <v>15</v>
      </c>
      <c r="K27" s="14">
        <v>0</v>
      </c>
      <c r="L27" s="18">
        <v>0</v>
      </c>
      <c r="M27" s="14" t="s">
        <v>86</v>
      </c>
    </row>
    <row r="28" spans="1:13" x14ac:dyDescent="0.25">
      <c r="A28" s="14" t="s">
        <v>39</v>
      </c>
      <c r="B28" s="14" t="s">
        <v>1155</v>
      </c>
      <c r="C28" s="14" t="s">
        <v>1156</v>
      </c>
      <c r="D28" s="14" t="s">
        <v>66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8">
        <v>33</v>
      </c>
      <c r="K28" s="14">
        <v>1</v>
      </c>
      <c r="L28" s="18">
        <v>0</v>
      </c>
      <c r="M28" s="14" t="s">
        <v>86</v>
      </c>
    </row>
    <row r="29" spans="1:13" x14ac:dyDescent="0.25">
      <c r="A29" s="14" t="s">
        <v>59</v>
      </c>
      <c r="B29" s="14" t="s">
        <v>1157</v>
      </c>
      <c r="C29" s="14" t="s">
        <v>1158</v>
      </c>
      <c r="D29" s="14" t="s">
        <v>44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16</v>
      </c>
      <c r="K29" s="14">
        <v>1</v>
      </c>
      <c r="L29" s="18">
        <v>12.15</v>
      </c>
      <c r="M29" s="14" t="s">
        <v>86</v>
      </c>
    </row>
    <row r="30" spans="1:13" x14ac:dyDescent="0.25">
      <c r="A30" s="14" t="s">
        <v>57</v>
      </c>
      <c r="B30" s="14" t="s">
        <v>1159</v>
      </c>
      <c r="C30" s="14" t="s">
        <v>1160</v>
      </c>
      <c r="D30" s="14" t="s">
        <v>46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8">
        <v>33</v>
      </c>
      <c r="K30" s="14">
        <v>1</v>
      </c>
      <c r="L30" s="18">
        <v>150.22</v>
      </c>
      <c r="M30" s="14" t="s">
        <v>86</v>
      </c>
    </row>
    <row r="31" spans="1:13" x14ac:dyDescent="0.25">
      <c r="A31" s="14" t="s">
        <v>53</v>
      </c>
      <c r="B31" s="14" t="s">
        <v>1161</v>
      </c>
      <c r="C31" s="14" t="s">
        <v>1162</v>
      </c>
      <c r="D31" s="14" t="s">
        <v>64</v>
      </c>
      <c r="E31" s="14">
        <v>1</v>
      </c>
      <c r="F31" s="14">
        <v>0</v>
      </c>
      <c r="G31" s="14">
        <v>0</v>
      </c>
      <c r="H31" s="14">
        <v>0</v>
      </c>
      <c r="I31" s="14">
        <v>0</v>
      </c>
      <c r="J31" s="18">
        <v>24</v>
      </c>
      <c r="K31" s="14">
        <v>1</v>
      </c>
      <c r="L31" s="18">
        <v>137.49</v>
      </c>
      <c r="M31" s="14" t="s">
        <v>86</v>
      </c>
    </row>
    <row r="32" spans="1:13" x14ac:dyDescent="0.25">
      <c r="A32" s="14" t="s">
        <v>51</v>
      </c>
      <c r="B32" s="14" t="s">
        <v>1163</v>
      </c>
      <c r="C32" s="14" t="s">
        <v>1164</v>
      </c>
      <c r="D32" s="14" t="s">
        <v>70</v>
      </c>
      <c r="E32" s="14">
        <v>1</v>
      </c>
      <c r="F32" s="14">
        <v>0</v>
      </c>
      <c r="G32" s="14">
        <v>0</v>
      </c>
      <c r="H32" s="14">
        <v>0</v>
      </c>
      <c r="I32" s="14">
        <v>0</v>
      </c>
      <c r="J32" s="18">
        <v>0</v>
      </c>
      <c r="K32" s="14">
        <v>1</v>
      </c>
      <c r="L32" s="18">
        <v>173.44</v>
      </c>
      <c r="M32" s="14" t="s">
        <v>86</v>
      </c>
    </row>
    <row r="33" spans="1:13" x14ac:dyDescent="0.25">
      <c r="A33" s="14" t="s">
        <v>57</v>
      </c>
      <c r="B33" s="14" t="s">
        <v>565</v>
      </c>
      <c r="C33" s="14" t="s">
        <v>1165</v>
      </c>
      <c r="D33" s="14" t="s">
        <v>70</v>
      </c>
      <c r="E33" s="14">
        <v>1</v>
      </c>
      <c r="F33" s="14">
        <v>0</v>
      </c>
      <c r="G33" s="14">
        <v>0</v>
      </c>
      <c r="H33" s="14">
        <v>0</v>
      </c>
      <c r="I33" s="14">
        <v>0</v>
      </c>
      <c r="J33" s="18">
        <v>0</v>
      </c>
      <c r="K33" s="14">
        <v>1</v>
      </c>
      <c r="L33" s="18">
        <v>0</v>
      </c>
      <c r="M33" s="14" t="s">
        <v>86</v>
      </c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8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8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8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1166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53</v>
      </c>
      <c r="B4" s="14" t="s">
        <v>1167</v>
      </c>
      <c r="C4" s="14" t="s">
        <v>1168</v>
      </c>
      <c r="D4" s="14" t="s">
        <v>52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0</v>
      </c>
      <c r="K4" s="14">
        <v>1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1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15</v>
      </c>
      <c r="W4" s="14">
        <f t="shared" ref="W4:W15" si="6">SUMIF($A$4:$A$43,$P4,K$4:K$43)</f>
        <v>1</v>
      </c>
      <c r="X4" s="18">
        <f t="shared" ref="X4:X15" si="7">SUMIF($A$4:$A$43,$P4,L$4:L$43)</f>
        <v>11.21</v>
      </c>
    </row>
    <row r="5" spans="1:24" x14ac:dyDescent="0.25">
      <c r="A5" s="14" t="s">
        <v>55</v>
      </c>
      <c r="B5" s="14" t="s">
        <v>1169</v>
      </c>
      <c r="C5" s="14" t="s">
        <v>1170</v>
      </c>
      <c r="D5" s="14" t="s">
        <v>69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152.6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1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57</v>
      </c>
      <c r="W5" s="14">
        <f t="shared" si="6"/>
        <v>3</v>
      </c>
      <c r="X5" s="18">
        <f t="shared" si="7"/>
        <v>165.44</v>
      </c>
    </row>
    <row r="6" spans="1:24" x14ac:dyDescent="0.25">
      <c r="A6" s="14" t="s">
        <v>41</v>
      </c>
      <c r="B6" s="14" t="s">
        <v>1171</v>
      </c>
      <c r="C6" s="14" t="s">
        <v>1172</v>
      </c>
      <c r="D6" s="14" t="s">
        <v>40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24</v>
      </c>
      <c r="K6" s="14">
        <v>1</v>
      </c>
      <c r="L6" s="18">
        <v>93.39</v>
      </c>
      <c r="M6" s="14" t="s">
        <v>86</v>
      </c>
      <c r="P6" s="14" t="str">
        <f>Setup!$A$6</f>
        <v>Expert 03</v>
      </c>
      <c r="Q6" s="14">
        <f t="shared" si="0"/>
        <v>0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0</v>
      </c>
      <c r="X6" s="18">
        <f t="shared" si="7"/>
        <v>37.79</v>
      </c>
    </row>
    <row r="7" spans="1:24" x14ac:dyDescent="0.25">
      <c r="A7" s="14" t="s">
        <v>45</v>
      </c>
      <c r="B7" s="14" t="s">
        <v>1173</v>
      </c>
      <c r="C7" s="14" t="s">
        <v>1174</v>
      </c>
      <c r="D7" s="14" t="s">
        <v>52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8">
        <v>33</v>
      </c>
      <c r="K7" s="14">
        <v>1</v>
      </c>
      <c r="L7" s="18">
        <v>72.349999999999994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57</v>
      </c>
      <c r="W7" s="14">
        <f t="shared" si="6"/>
        <v>2</v>
      </c>
      <c r="X7" s="18">
        <f t="shared" si="7"/>
        <v>237.28</v>
      </c>
    </row>
    <row r="8" spans="1:24" x14ac:dyDescent="0.25">
      <c r="A8" s="14" t="s">
        <v>53</v>
      </c>
      <c r="B8" s="14" t="s">
        <v>508</v>
      </c>
      <c r="C8" s="14" t="s">
        <v>1175</v>
      </c>
      <c r="D8" s="14" t="s">
        <v>74</v>
      </c>
      <c r="E8" s="14">
        <v>0</v>
      </c>
      <c r="F8" s="14">
        <v>0</v>
      </c>
      <c r="G8" s="14">
        <v>0</v>
      </c>
      <c r="H8" s="14">
        <v>0</v>
      </c>
      <c r="I8" s="14">
        <v>1</v>
      </c>
      <c r="J8" s="18">
        <v>0</v>
      </c>
      <c r="K8" s="14">
        <v>0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0</v>
      </c>
      <c r="X8" s="18">
        <f t="shared" si="7"/>
        <v>0</v>
      </c>
    </row>
    <row r="9" spans="1:24" x14ac:dyDescent="0.25">
      <c r="A9" s="14" t="s">
        <v>49</v>
      </c>
      <c r="B9" s="14" t="s">
        <v>1176</v>
      </c>
      <c r="C9" s="14" t="s">
        <v>1177</v>
      </c>
      <c r="D9" s="14" t="s">
        <v>58</v>
      </c>
      <c r="E9" s="14">
        <v>1</v>
      </c>
      <c r="F9" s="14">
        <v>0</v>
      </c>
      <c r="G9" s="14">
        <v>0</v>
      </c>
      <c r="H9" s="14">
        <v>1</v>
      </c>
      <c r="I9" s="14">
        <v>0</v>
      </c>
      <c r="J9" s="18">
        <v>0</v>
      </c>
      <c r="K9" s="14">
        <v>1</v>
      </c>
      <c r="L9" s="18">
        <v>167.27</v>
      </c>
      <c r="M9" s="14" t="s">
        <v>86</v>
      </c>
      <c r="P9" s="14" t="str">
        <f>Setup!$A$9</f>
        <v>Expert 06</v>
      </c>
      <c r="Q9" s="14">
        <f t="shared" si="0"/>
        <v>3</v>
      </c>
      <c r="R9" s="14">
        <f t="shared" si="1"/>
        <v>0</v>
      </c>
      <c r="S9" s="14">
        <f t="shared" si="2"/>
        <v>0</v>
      </c>
      <c r="T9" s="14">
        <f t="shared" si="3"/>
        <v>1</v>
      </c>
      <c r="U9" s="14">
        <f t="shared" si="4"/>
        <v>0</v>
      </c>
      <c r="V9" s="18">
        <f t="shared" si="5"/>
        <v>31</v>
      </c>
      <c r="W9" s="14">
        <f t="shared" si="6"/>
        <v>3</v>
      </c>
      <c r="X9" s="18">
        <f t="shared" si="7"/>
        <v>460.57000000000005</v>
      </c>
    </row>
    <row r="10" spans="1:24" x14ac:dyDescent="0.25">
      <c r="A10" s="14" t="s">
        <v>61</v>
      </c>
      <c r="B10" s="14" t="s">
        <v>1178</v>
      </c>
      <c r="C10" s="14" t="s">
        <v>1179</v>
      </c>
      <c r="D10" s="14" t="s">
        <v>69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0</v>
      </c>
      <c r="W10" s="14">
        <f t="shared" si="6"/>
        <v>0</v>
      </c>
      <c r="X10" s="18">
        <f t="shared" si="7"/>
        <v>0</v>
      </c>
    </row>
    <row r="11" spans="1:24" x14ac:dyDescent="0.25">
      <c r="A11" s="14" t="s">
        <v>61</v>
      </c>
      <c r="B11" s="14" t="s">
        <v>1180</v>
      </c>
      <c r="C11" s="14" t="s">
        <v>1181</v>
      </c>
      <c r="D11" s="14" t="s">
        <v>56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8">
        <v>16</v>
      </c>
      <c r="K11" s="14">
        <v>1</v>
      </c>
      <c r="L11" s="18">
        <v>71.62</v>
      </c>
      <c r="M11" s="14" t="s">
        <v>111</v>
      </c>
      <c r="P11" s="14" t="str">
        <f>Setup!$A$11</f>
        <v>Expert 08</v>
      </c>
      <c r="Q11" s="14">
        <f t="shared" si="0"/>
        <v>3</v>
      </c>
      <c r="R11" s="14">
        <f t="shared" si="1"/>
        <v>1</v>
      </c>
      <c r="S11" s="14">
        <f t="shared" si="2"/>
        <v>0</v>
      </c>
      <c r="T11" s="14">
        <f t="shared" si="3"/>
        <v>0</v>
      </c>
      <c r="U11" s="14">
        <f t="shared" si="4"/>
        <v>1</v>
      </c>
      <c r="V11" s="18">
        <f t="shared" si="5"/>
        <v>48</v>
      </c>
      <c r="W11" s="14">
        <f t="shared" si="6"/>
        <v>5</v>
      </c>
      <c r="X11" s="18">
        <f t="shared" si="7"/>
        <v>174.94000000000003</v>
      </c>
    </row>
    <row r="12" spans="1:24" x14ac:dyDescent="0.25">
      <c r="A12" s="14" t="s">
        <v>41</v>
      </c>
      <c r="B12" s="14" t="s">
        <v>1182</v>
      </c>
      <c r="C12" s="14" t="s">
        <v>1183</v>
      </c>
      <c r="D12" s="14" t="s">
        <v>72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42.42</v>
      </c>
      <c r="M12" s="14" t="s">
        <v>86</v>
      </c>
      <c r="P12" s="14" t="str">
        <f>Setup!$A$12</f>
        <v>Expert 09</v>
      </c>
      <c r="Q12" s="14">
        <f t="shared" si="0"/>
        <v>2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24</v>
      </c>
      <c r="W12" s="14">
        <f t="shared" si="6"/>
        <v>2</v>
      </c>
      <c r="X12" s="18">
        <f t="shared" si="7"/>
        <v>152.6</v>
      </c>
    </row>
    <row r="13" spans="1:24" x14ac:dyDescent="0.25">
      <c r="A13" s="14" t="s">
        <v>45</v>
      </c>
      <c r="B13" s="14" t="s">
        <v>1184</v>
      </c>
      <c r="C13" s="14" t="s">
        <v>1185</v>
      </c>
      <c r="D13" s="14" t="s">
        <v>50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24</v>
      </c>
      <c r="K13" s="14">
        <v>1</v>
      </c>
      <c r="L13" s="18">
        <v>164.93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0</v>
      </c>
      <c r="W13" s="14">
        <f t="shared" si="6"/>
        <v>0</v>
      </c>
      <c r="X13" s="18">
        <f t="shared" si="7"/>
        <v>0</v>
      </c>
    </row>
    <row r="14" spans="1:24" x14ac:dyDescent="0.25">
      <c r="A14" s="14" t="s">
        <v>59</v>
      </c>
      <c r="B14" s="14" t="s">
        <v>1186</v>
      </c>
      <c r="C14" s="14" t="s">
        <v>1187</v>
      </c>
      <c r="D14" s="14" t="s">
        <v>62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8">
        <v>15</v>
      </c>
      <c r="K14" s="14">
        <v>1</v>
      </c>
      <c r="L14" s="18">
        <v>62.04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2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15</v>
      </c>
      <c r="W14" s="14">
        <f t="shared" si="6"/>
        <v>2</v>
      </c>
      <c r="X14" s="18">
        <f t="shared" si="7"/>
        <v>62.04</v>
      </c>
    </row>
    <row r="15" spans="1:24" x14ac:dyDescent="0.25">
      <c r="A15" s="14" t="s">
        <v>49</v>
      </c>
      <c r="B15" s="14" t="s">
        <v>1188</v>
      </c>
      <c r="C15" s="14" t="s">
        <v>1189</v>
      </c>
      <c r="D15" s="14" t="s">
        <v>76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15</v>
      </c>
      <c r="K15" s="14">
        <v>0</v>
      </c>
      <c r="L15" s="18">
        <v>133.19999999999999</v>
      </c>
      <c r="M15" s="14" t="s">
        <v>111</v>
      </c>
      <c r="P15" s="14" t="str">
        <f>Setup!$A$15</f>
        <v>Expert 12</v>
      </c>
      <c r="Q15" s="14">
        <f t="shared" si="0"/>
        <v>1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16</v>
      </c>
      <c r="W15" s="14">
        <f t="shared" si="6"/>
        <v>2</v>
      </c>
      <c r="X15" s="18">
        <f t="shared" si="7"/>
        <v>71.62</v>
      </c>
    </row>
    <row r="16" spans="1:24" x14ac:dyDescent="0.25">
      <c r="A16" s="14" t="s">
        <v>43</v>
      </c>
      <c r="B16" s="14" t="s">
        <v>1190</v>
      </c>
      <c r="C16" s="14" t="s">
        <v>1191</v>
      </c>
      <c r="D16" s="14" t="s">
        <v>77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0</v>
      </c>
      <c r="L16" s="18">
        <v>37.79</v>
      </c>
      <c r="M16" s="14" t="s">
        <v>86</v>
      </c>
      <c r="P16" s="19" t="s">
        <v>112</v>
      </c>
      <c r="Q16" s="20">
        <f t="shared" ref="Q16:X16" si="8">SUM(Q4:Q15)</f>
        <v>11</v>
      </c>
      <c r="R16" s="20">
        <f t="shared" si="8"/>
        <v>6</v>
      </c>
      <c r="S16" s="20">
        <f t="shared" si="8"/>
        <v>0</v>
      </c>
      <c r="T16" s="20">
        <f t="shared" si="8"/>
        <v>1</v>
      </c>
      <c r="U16" s="20">
        <f t="shared" si="8"/>
        <v>1</v>
      </c>
      <c r="V16" s="21">
        <f t="shared" si="8"/>
        <v>263</v>
      </c>
      <c r="W16" s="20">
        <f t="shared" si="8"/>
        <v>20</v>
      </c>
      <c r="X16" s="21">
        <f t="shared" si="8"/>
        <v>1373.4899999999998</v>
      </c>
    </row>
    <row r="17" spans="1:13" x14ac:dyDescent="0.25">
      <c r="A17" s="14" t="s">
        <v>53</v>
      </c>
      <c r="B17" s="14" t="s">
        <v>1192</v>
      </c>
      <c r="C17" s="14" t="s">
        <v>1193</v>
      </c>
      <c r="D17" s="14" t="s">
        <v>71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0</v>
      </c>
      <c r="M17" s="14" t="s">
        <v>86</v>
      </c>
    </row>
    <row r="18" spans="1:13" x14ac:dyDescent="0.25">
      <c r="A18" s="14" t="s">
        <v>39</v>
      </c>
      <c r="B18" s="14" t="s">
        <v>1194</v>
      </c>
      <c r="C18" s="14" t="s">
        <v>1195</v>
      </c>
      <c r="D18" s="14" t="s">
        <v>40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8">
        <v>15</v>
      </c>
      <c r="K18" s="14">
        <v>1</v>
      </c>
      <c r="L18" s="18">
        <v>11.21</v>
      </c>
      <c r="M18" s="14" t="s">
        <v>86</v>
      </c>
    </row>
    <row r="19" spans="1:13" x14ac:dyDescent="0.25">
      <c r="A19" s="14" t="s">
        <v>49</v>
      </c>
      <c r="B19" s="14" t="s">
        <v>1196</v>
      </c>
      <c r="C19" s="14" t="s">
        <v>1197</v>
      </c>
      <c r="D19" s="14" t="s">
        <v>71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16</v>
      </c>
      <c r="K19" s="14">
        <v>1</v>
      </c>
      <c r="L19" s="18">
        <v>160.1</v>
      </c>
      <c r="M19" s="14" t="s">
        <v>86</v>
      </c>
    </row>
    <row r="20" spans="1:13" x14ac:dyDescent="0.25">
      <c r="A20" s="14" t="s">
        <v>53</v>
      </c>
      <c r="B20" s="14" t="s">
        <v>1198</v>
      </c>
      <c r="C20" s="14" t="s">
        <v>1199</v>
      </c>
      <c r="D20" s="14" t="s">
        <v>52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24</v>
      </c>
      <c r="K20" s="14">
        <v>1</v>
      </c>
      <c r="L20" s="18">
        <v>164.86</v>
      </c>
      <c r="M20" s="14" t="s">
        <v>86</v>
      </c>
    </row>
    <row r="21" spans="1:13" x14ac:dyDescent="0.25">
      <c r="A21" s="14" t="s">
        <v>53</v>
      </c>
      <c r="B21" s="14" t="s">
        <v>1200</v>
      </c>
      <c r="C21" s="14" t="s">
        <v>1201</v>
      </c>
      <c r="D21" s="14" t="s">
        <v>54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55</v>
      </c>
      <c r="B22" s="14" t="s">
        <v>1202</v>
      </c>
      <c r="C22" s="14" t="s">
        <v>1203</v>
      </c>
      <c r="D22" s="14" t="s">
        <v>50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24</v>
      </c>
      <c r="K22" s="14">
        <v>1</v>
      </c>
      <c r="L22" s="18">
        <v>0</v>
      </c>
      <c r="M22" s="14" t="s">
        <v>86</v>
      </c>
    </row>
    <row r="23" spans="1:13" x14ac:dyDescent="0.25">
      <c r="A23" s="14" t="s">
        <v>49</v>
      </c>
      <c r="B23" s="14" t="s">
        <v>1204</v>
      </c>
      <c r="C23" s="14" t="s">
        <v>1205</v>
      </c>
      <c r="D23" s="14" t="s">
        <v>72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0</v>
      </c>
      <c r="M23" s="14" t="s">
        <v>86</v>
      </c>
    </row>
    <row r="24" spans="1:13" x14ac:dyDescent="0.25">
      <c r="A24" s="14" t="s">
        <v>41</v>
      </c>
      <c r="B24" s="14" t="s">
        <v>1206</v>
      </c>
      <c r="C24" s="14" t="s">
        <v>1207</v>
      </c>
      <c r="D24" s="14" t="s">
        <v>68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8">
        <v>33</v>
      </c>
      <c r="K24" s="14">
        <v>1</v>
      </c>
      <c r="L24" s="18">
        <v>29.63</v>
      </c>
      <c r="M24" s="14" t="s">
        <v>86</v>
      </c>
    </row>
    <row r="25" spans="1:13" x14ac:dyDescent="0.25">
      <c r="A25" s="14" t="s">
        <v>53</v>
      </c>
      <c r="B25" s="14" t="s">
        <v>1208</v>
      </c>
      <c r="C25" s="14" t="s">
        <v>1209</v>
      </c>
      <c r="D25" s="14" t="s">
        <v>68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24</v>
      </c>
      <c r="K25" s="14">
        <v>1</v>
      </c>
      <c r="L25" s="18">
        <v>10.08</v>
      </c>
      <c r="M25" s="14" t="s">
        <v>86</v>
      </c>
    </row>
    <row r="26" spans="1:13" x14ac:dyDescent="0.25">
      <c r="A26" s="14" t="s">
        <v>59</v>
      </c>
      <c r="B26" s="14" t="s">
        <v>1210</v>
      </c>
      <c r="C26" s="14" t="s">
        <v>1211</v>
      </c>
      <c r="D26" s="14" t="s">
        <v>44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0</v>
      </c>
      <c r="M26" s="14" t="s">
        <v>111</v>
      </c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9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9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9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1212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59</v>
      </c>
      <c r="B4" s="14" t="s">
        <v>1213</v>
      </c>
      <c r="C4" s="14" t="s">
        <v>1214</v>
      </c>
      <c r="D4" s="14" t="s">
        <v>67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33</v>
      </c>
      <c r="K4" s="14">
        <v>1</v>
      </c>
      <c r="L4" s="18">
        <v>144.38999999999999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2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18</v>
      </c>
      <c r="W4" s="14">
        <f t="shared" ref="W4:W15" si="6">SUMIF($A$4:$A$43,$P4,K$4:K$43)</f>
        <v>2</v>
      </c>
      <c r="X4" s="18">
        <f t="shared" ref="X4:X15" si="7">SUMIF($A$4:$A$43,$P4,L$4:L$43)</f>
        <v>215.67</v>
      </c>
    </row>
    <row r="5" spans="1:24" x14ac:dyDescent="0.25">
      <c r="A5" s="14" t="s">
        <v>45</v>
      </c>
      <c r="B5" s="14" t="s">
        <v>1215</v>
      </c>
      <c r="C5" s="14" t="s">
        <v>1216</v>
      </c>
      <c r="D5" s="14" t="s">
        <v>44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140.9</v>
      </c>
      <c r="M5" s="14" t="s">
        <v>86</v>
      </c>
      <c r="P5" s="14" t="str">
        <f>Setup!$A$5</f>
        <v>Expert 02</v>
      </c>
      <c r="Q5" s="14">
        <f t="shared" si="0"/>
        <v>0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0</v>
      </c>
      <c r="W5" s="14">
        <f t="shared" si="6"/>
        <v>0</v>
      </c>
      <c r="X5" s="18">
        <f t="shared" si="7"/>
        <v>0</v>
      </c>
    </row>
    <row r="6" spans="1:24" x14ac:dyDescent="0.25">
      <c r="A6" s="14" t="s">
        <v>57</v>
      </c>
      <c r="B6" s="14" t="s">
        <v>1217</v>
      </c>
      <c r="C6" s="14" t="s">
        <v>1218</v>
      </c>
      <c r="D6" s="14" t="s">
        <v>69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2</v>
      </c>
      <c r="X6" s="18">
        <f t="shared" si="7"/>
        <v>0</v>
      </c>
    </row>
    <row r="7" spans="1:24" x14ac:dyDescent="0.25">
      <c r="A7" s="14" t="s">
        <v>51</v>
      </c>
      <c r="B7" s="14" t="s">
        <v>1219</v>
      </c>
      <c r="C7" s="14" t="s">
        <v>1220</v>
      </c>
      <c r="D7" s="14" t="s">
        <v>52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1</v>
      </c>
      <c r="X7" s="18">
        <f t="shared" si="7"/>
        <v>140.9</v>
      </c>
    </row>
    <row r="8" spans="1:24" x14ac:dyDescent="0.25">
      <c r="A8" s="14" t="s">
        <v>59</v>
      </c>
      <c r="B8" s="14" t="s">
        <v>1111</v>
      </c>
      <c r="C8" s="14" t="s">
        <v>1221</v>
      </c>
      <c r="D8" s="14" t="s">
        <v>60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8">
        <v>16</v>
      </c>
      <c r="K8" s="14">
        <v>1</v>
      </c>
      <c r="L8" s="18">
        <v>118.12</v>
      </c>
      <c r="M8" s="14" t="s">
        <v>86</v>
      </c>
      <c r="P8" s="14" t="str">
        <f>Setup!$A$8</f>
        <v>Expert 05</v>
      </c>
      <c r="Q8" s="14">
        <f t="shared" si="0"/>
        <v>1</v>
      </c>
      <c r="R8" s="14">
        <f t="shared" si="1"/>
        <v>1</v>
      </c>
      <c r="S8" s="14">
        <f t="shared" si="2"/>
        <v>1</v>
      </c>
      <c r="T8" s="14">
        <f t="shared" si="3"/>
        <v>1</v>
      </c>
      <c r="U8" s="14">
        <f t="shared" si="4"/>
        <v>0</v>
      </c>
      <c r="V8" s="18">
        <f t="shared" si="5"/>
        <v>16</v>
      </c>
      <c r="W8" s="14">
        <f t="shared" si="6"/>
        <v>2</v>
      </c>
      <c r="X8" s="18">
        <f t="shared" si="7"/>
        <v>197.7</v>
      </c>
    </row>
    <row r="9" spans="1:24" x14ac:dyDescent="0.25">
      <c r="A9" s="14" t="s">
        <v>55</v>
      </c>
      <c r="B9" s="14" t="s">
        <v>1222</v>
      </c>
      <c r="C9" s="14" t="s">
        <v>1223</v>
      </c>
      <c r="D9" s="14" t="s">
        <v>70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15</v>
      </c>
      <c r="K9" s="14">
        <v>1</v>
      </c>
      <c r="L9" s="18">
        <v>62.88</v>
      </c>
      <c r="M9" s="14" t="s">
        <v>86</v>
      </c>
      <c r="P9" s="14" t="str">
        <f>Setup!$A$9</f>
        <v>Expert 06</v>
      </c>
      <c r="Q9" s="14">
        <f t="shared" si="0"/>
        <v>2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2</v>
      </c>
      <c r="X9" s="18">
        <f t="shared" si="7"/>
        <v>295.26</v>
      </c>
    </row>
    <row r="10" spans="1:24" x14ac:dyDescent="0.25">
      <c r="A10" s="14" t="s">
        <v>59</v>
      </c>
      <c r="B10" s="14" t="s">
        <v>1224</v>
      </c>
      <c r="C10" s="14" t="s">
        <v>1225</v>
      </c>
      <c r="D10" s="14" t="s">
        <v>68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24</v>
      </c>
      <c r="K10" s="14">
        <v>1</v>
      </c>
      <c r="L10" s="18">
        <v>83.98</v>
      </c>
      <c r="M10" s="14" t="s">
        <v>86</v>
      </c>
      <c r="P10" s="14" t="str">
        <f>Setup!$A$10</f>
        <v>Expert 07</v>
      </c>
      <c r="Q10" s="14">
        <f t="shared" si="0"/>
        <v>2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0</v>
      </c>
      <c r="W10" s="14">
        <f t="shared" si="6"/>
        <v>3</v>
      </c>
      <c r="X10" s="18">
        <f t="shared" si="7"/>
        <v>144.25</v>
      </c>
    </row>
    <row r="11" spans="1:24" x14ac:dyDescent="0.25">
      <c r="A11" s="14" t="s">
        <v>61</v>
      </c>
      <c r="B11" s="14" t="s">
        <v>1226</v>
      </c>
      <c r="C11" s="14" t="s">
        <v>1227</v>
      </c>
      <c r="D11" s="14" t="s">
        <v>48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8">
        <v>18</v>
      </c>
      <c r="K11" s="14">
        <v>1</v>
      </c>
      <c r="L11" s="18">
        <v>116.51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0</v>
      </c>
      <c r="W11" s="14">
        <f t="shared" si="6"/>
        <v>0</v>
      </c>
      <c r="X11" s="18">
        <f t="shared" si="7"/>
        <v>0</v>
      </c>
    </row>
    <row r="12" spans="1:24" x14ac:dyDescent="0.25">
      <c r="A12" s="14" t="s">
        <v>55</v>
      </c>
      <c r="B12" s="14" t="s">
        <v>1228</v>
      </c>
      <c r="C12" s="14" t="s">
        <v>1229</v>
      </c>
      <c r="D12" s="14" t="s">
        <v>44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24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3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1</v>
      </c>
      <c r="V12" s="18">
        <f t="shared" si="5"/>
        <v>71</v>
      </c>
      <c r="W12" s="14">
        <f t="shared" si="6"/>
        <v>4</v>
      </c>
      <c r="X12" s="18">
        <f t="shared" si="7"/>
        <v>249.48</v>
      </c>
    </row>
    <row r="13" spans="1:24" x14ac:dyDescent="0.25">
      <c r="A13" s="14" t="s">
        <v>61</v>
      </c>
      <c r="B13" s="14" t="s">
        <v>1230</v>
      </c>
      <c r="C13" s="14" t="s">
        <v>1231</v>
      </c>
      <c r="D13" s="14" t="s">
        <v>69</v>
      </c>
      <c r="E13" s="14">
        <v>1</v>
      </c>
      <c r="F13" s="14">
        <v>0</v>
      </c>
      <c r="G13" s="14">
        <v>0</v>
      </c>
      <c r="H13" s="14">
        <v>1</v>
      </c>
      <c r="I13" s="14">
        <v>0</v>
      </c>
      <c r="J13" s="18">
        <v>0</v>
      </c>
      <c r="K13" s="14">
        <v>1</v>
      </c>
      <c r="L13" s="18">
        <v>0</v>
      </c>
      <c r="M13" s="14" t="s">
        <v>111</v>
      </c>
      <c r="P13" s="14" t="str">
        <f>Setup!$A$13</f>
        <v>Expert 10</v>
      </c>
      <c r="Q13" s="14">
        <f t="shared" si="0"/>
        <v>1</v>
      </c>
      <c r="R13" s="14">
        <f t="shared" si="1"/>
        <v>2</v>
      </c>
      <c r="S13" s="14">
        <f t="shared" si="2"/>
        <v>0</v>
      </c>
      <c r="T13" s="14">
        <f t="shared" si="3"/>
        <v>0</v>
      </c>
      <c r="U13" s="14">
        <f t="shared" si="4"/>
        <v>1</v>
      </c>
      <c r="V13" s="18">
        <f t="shared" si="5"/>
        <v>36</v>
      </c>
      <c r="W13" s="14">
        <f t="shared" si="6"/>
        <v>3</v>
      </c>
      <c r="X13" s="18">
        <f t="shared" si="7"/>
        <v>334.34</v>
      </c>
    </row>
    <row r="14" spans="1:24" x14ac:dyDescent="0.25">
      <c r="A14" s="14" t="s">
        <v>57</v>
      </c>
      <c r="B14" s="14" t="s">
        <v>482</v>
      </c>
      <c r="C14" s="14" t="s">
        <v>1232</v>
      </c>
      <c r="D14" s="14" t="s">
        <v>72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8">
        <v>18</v>
      </c>
      <c r="K14" s="14">
        <v>1</v>
      </c>
      <c r="L14" s="18">
        <v>175.67</v>
      </c>
      <c r="M14" s="14" t="s">
        <v>111</v>
      </c>
      <c r="P14" s="14" t="str">
        <f>Setup!$A$14</f>
        <v>Expert 11</v>
      </c>
      <c r="Q14" s="14">
        <f t="shared" si="0"/>
        <v>3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106</v>
      </c>
      <c r="W14" s="14">
        <f t="shared" si="6"/>
        <v>5</v>
      </c>
      <c r="X14" s="18">
        <f t="shared" si="7"/>
        <v>460.78</v>
      </c>
    </row>
    <row r="15" spans="1:24" x14ac:dyDescent="0.25">
      <c r="A15" s="14" t="s">
        <v>49</v>
      </c>
      <c r="B15" s="14" t="s">
        <v>1233</v>
      </c>
      <c r="C15" s="14" t="s">
        <v>1234</v>
      </c>
      <c r="D15" s="14" t="s">
        <v>42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148.01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1</v>
      </c>
      <c r="S15" s="14">
        <f t="shared" si="2"/>
        <v>0</v>
      </c>
      <c r="T15" s="14">
        <f t="shared" si="3"/>
        <v>1</v>
      </c>
      <c r="U15" s="14">
        <f t="shared" si="4"/>
        <v>0</v>
      </c>
      <c r="V15" s="18">
        <f t="shared" si="5"/>
        <v>18</v>
      </c>
      <c r="W15" s="14">
        <f t="shared" si="6"/>
        <v>2</v>
      </c>
      <c r="X15" s="18">
        <f t="shared" si="7"/>
        <v>116.51</v>
      </c>
    </row>
    <row r="16" spans="1:24" x14ac:dyDescent="0.25">
      <c r="A16" s="14" t="s">
        <v>55</v>
      </c>
      <c r="B16" s="14" t="s">
        <v>1235</v>
      </c>
      <c r="C16" s="14" t="s">
        <v>1236</v>
      </c>
      <c r="D16" s="14" t="s">
        <v>64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171.12</v>
      </c>
      <c r="M16" s="14" t="s">
        <v>86</v>
      </c>
      <c r="P16" s="19" t="s">
        <v>112</v>
      </c>
      <c r="Q16" s="20">
        <f t="shared" ref="Q16:X16" si="8">SUM(Q4:Q15)</f>
        <v>15</v>
      </c>
      <c r="R16" s="20">
        <f t="shared" si="8"/>
        <v>6</v>
      </c>
      <c r="S16" s="20">
        <f t="shared" si="8"/>
        <v>1</v>
      </c>
      <c r="T16" s="20">
        <f t="shared" si="8"/>
        <v>2</v>
      </c>
      <c r="U16" s="20">
        <f t="shared" si="8"/>
        <v>2</v>
      </c>
      <c r="V16" s="21">
        <f t="shared" si="8"/>
        <v>265</v>
      </c>
      <c r="W16" s="20">
        <f t="shared" si="8"/>
        <v>26</v>
      </c>
      <c r="X16" s="21">
        <f t="shared" si="8"/>
        <v>2154.89</v>
      </c>
    </row>
    <row r="17" spans="1:13" x14ac:dyDescent="0.25">
      <c r="A17" s="14" t="s">
        <v>59</v>
      </c>
      <c r="B17" s="14" t="s">
        <v>1237</v>
      </c>
      <c r="C17" s="14" t="s">
        <v>1238</v>
      </c>
      <c r="D17" s="14" t="s">
        <v>76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8">
        <v>33</v>
      </c>
      <c r="K17" s="14">
        <v>0</v>
      </c>
      <c r="L17" s="18">
        <v>19.32</v>
      </c>
      <c r="M17" s="14" t="s">
        <v>86</v>
      </c>
    </row>
    <row r="18" spans="1:13" x14ac:dyDescent="0.25">
      <c r="A18" s="14" t="s">
        <v>49</v>
      </c>
      <c r="B18" s="14" t="s">
        <v>1239</v>
      </c>
      <c r="C18" s="14" t="s">
        <v>1240</v>
      </c>
      <c r="D18" s="14" t="s">
        <v>63</v>
      </c>
      <c r="E18" s="14">
        <v>1</v>
      </c>
      <c r="F18" s="14">
        <v>0</v>
      </c>
      <c r="G18" s="14">
        <v>0</v>
      </c>
      <c r="H18" s="14">
        <v>0</v>
      </c>
      <c r="I18" s="14">
        <v>0</v>
      </c>
      <c r="J18" s="18">
        <v>0</v>
      </c>
      <c r="K18" s="14">
        <v>1</v>
      </c>
      <c r="L18" s="18">
        <v>147.25</v>
      </c>
      <c r="M18" s="14" t="s">
        <v>86</v>
      </c>
    </row>
    <row r="19" spans="1:13" x14ac:dyDescent="0.25">
      <c r="A19" s="14" t="s">
        <v>39</v>
      </c>
      <c r="B19" s="14" t="s">
        <v>1241</v>
      </c>
      <c r="C19" s="14" t="s">
        <v>1242</v>
      </c>
      <c r="D19" s="14" t="s">
        <v>68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8">
        <v>18</v>
      </c>
      <c r="K19" s="14">
        <v>1</v>
      </c>
      <c r="L19" s="18">
        <v>65.849999999999994</v>
      </c>
      <c r="M19" s="14" t="s">
        <v>86</v>
      </c>
    </row>
    <row r="20" spans="1:13" x14ac:dyDescent="0.25">
      <c r="A20" s="14" t="s">
        <v>43</v>
      </c>
      <c r="B20" s="14" t="s">
        <v>1113</v>
      </c>
      <c r="C20" s="14" t="s">
        <v>1243</v>
      </c>
      <c r="D20" s="14" t="s">
        <v>63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0</v>
      </c>
      <c r="M20" s="14" t="s">
        <v>86</v>
      </c>
    </row>
    <row r="21" spans="1:13" x14ac:dyDescent="0.25">
      <c r="A21" s="14" t="s">
        <v>39</v>
      </c>
      <c r="B21" s="14" t="s">
        <v>1244</v>
      </c>
      <c r="C21" s="14" t="s">
        <v>1245</v>
      </c>
      <c r="D21" s="14" t="s">
        <v>67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149.82</v>
      </c>
      <c r="M21" s="14" t="s">
        <v>86</v>
      </c>
    </row>
    <row r="22" spans="1:13" x14ac:dyDescent="0.25">
      <c r="A22" s="14" t="s">
        <v>47</v>
      </c>
      <c r="B22" s="14" t="s">
        <v>1246</v>
      </c>
      <c r="C22" s="14" t="s">
        <v>1247</v>
      </c>
      <c r="D22" s="14" t="s">
        <v>62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137.09</v>
      </c>
      <c r="M22" s="14" t="s">
        <v>86</v>
      </c>
    </row>
    <row r="23" spans="1:13" x14ac:dyDescent="0.25">
      <c r="A23" s="14" t="s">
        <v>51</v>
      </c>
      <c r="B23" s="14" t="s">
        <v>1248</v>
      </c>
      <c r="C23" s="14" t="s">
        <v>1249</v>
      </c>
      <c r="D23" s="14" t="s">
        <v>63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0</v>
      </c>
      <c r="M23" s="14" t="s">
        <v>86</v>
      </c>
    </row>
    <row r="24" spans="1:13" x14ac:dyDescent="0.25">
      <c r="A24" s="14" t="s">
        <v>55</v>
      </c>
      <c r="B24" s="14" t="s">
        <v>1250</v>
      </c>
      <c r="C24" s="14" t="s">
        <v>1251</v>
      </c>
      <c r="D24" s="14" t="s">
        <v>58</v>
      </c>
      <c r="E24" s="14">
        <v>1</v>
      </c>
      <c r="F24" s="14">
        <v>0</v>
      </c>
      <c r="G24" s="14">
        <v>0</v>
      </c>
      <c r="H24" s="14">
        <v>0</v>
      </c>
      <c r="I24" s="14">
        <v>0</v>
      </c>
      <c r="J24" s="18">
        <v>16</v>
      </c>
      <c r="K24" s="14">
        <v>1</v>
      </c>
      <c r="L24" s="18">
        <v>0</v>
      </c>
      <c r="M24" s="14" t="s">
        <v>111</v>
      </c>
    </row>
    <row r="25" spans="1:13" x14ac:dyDescent="0.25">
      <c r="A25" s="14" t="s">
        <v>59</v>
      </c>
      <c r="B25" s="14" t="s">
        <v>1252</v>
      </c>
      <c r="C25" s="14" t="s">
        <v>1253</v>
      </c>
      <c r="D25" s="14" t="s">
        <v>48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0</v>
      </c>
      <c r="K25" s="14">
        <v>1</v>
      </c>
      <c r="L25" s="18">
        <v>94.97</v>
      </c>
      <c r="M25" s="14" t="s">
        <v>86</v>
      </c>
    </row>
    <row r="26" spans="1:13" x14ac:dyDescent="0.25">
      <c r="A26" s="14" t="s">
        <v>55</v>
      </c>
      <c r="B26" s="14" t="s">
        <v>674</v>
      </c>
      <c r="C26" s="14" t="s">
        <v>1254</v>
      </c>
      <c r="D26" s="14" t="s">
        <v>74</v>
      </c>
      <c r="E26" s="14">
        <v>0</v>
      </c>
      <c r="F26" s="14">
        <v>0</v>
      </c>
      <c r="G26" s="14">
        <v>0</v>
      </c>
      <c r="H26" s="14">
        <v>0</v>
      </c>
      <c r="I26" s="14">
        <v>1</v>
      </c>
      <c r="J26" s="18">
        <v>16</v>
      </c>
      <c r="K26" s="14">
        <v>0</v>
      </c>
      <c r="L26" s="18">
        <v>15.48</v>
      </c>
      <c r="M26" s="14" t="s">
        <v>86</v>
      </c>
    </row>
    <row r="27" spans="1:13" x14ac:dyDescent="0.25">
      <c r="A27" s="14" t="s">
        <v>47</v>
      </c>
      <c r="B27" s="14" t="s">
        <v>1255</v>
      </c>
      <c r="C27" s="14" t="s">
        <v>1256</v>
      </c>
      <c r="D27" s="14" t="s">
        <v>62</v>
      </c>
      <c r="E27" s="14">
        <v>0</v>
      </c>
      <c r="F27" s="14">
        <v>1</v>
      </c>
      <c r="G27" s="14">
        <v>1</v>
      </c>
      <c r="H27" s="14">
        <v>1</v>
      </c>
      <c r="I27" s="14">
        <v>0</v>
      </c>
      <c r="J27" s="18">
        <v>16</v>
      </c>
      <c r="K27" s="14">
        <v>1</v>
      </c>
      <c r="L27" s="18">
        <v>60.61</v>
      </c>
      <c r="M27" s="14" t="s">
        <v>86</v>
      </c>
    </row>
    <row r="28" spans="1:13" x14ac:dyDescent="0.25">
      <c r="A28" s="14" t="s">
        <v>57</v>
      </c>
      <c r="B28" s="14" t="s">
        <v>1257</v>
      </c>
      <c r="C28" s="14" t="s">
        <v>1258</v>
      </c>
      <c r="D28" s="14" t="s">
        <v>64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8">
        <v>0</v>
      </c>
      <c r="K28" s="14">
        <v>1</v>
      </c>
      <c r="L28" s="18">
        <v>23.17</v>
      </c>
      <c r="M28" s="14" t="s">
        <v>86</v>
      </c>
    </row>
    <row r="29" spans="1:13" x14ac:dyDescent="0.25">
      <c r="A29" s="14" t="s">
        <v>51</v>
      </c>
      <c r="B29" s="14" t="s">
        <v>1259</v>
      </c>
      <c r="C29" s="14" t="s">
        <v>1260</v>
      </c>
      <c r="D29" s="14" t="s">
        <v>50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0</v>
      </c>
      <c r="K29" s="14">
        <v>1</v>
      </c>
      <c r="L29" s="18">
        <v>144.25</v>
      </c>
      <c r="M29" s="14" t="s">
        <v>111</v>
      </c>
    </row>
    <row r="30" spans="1:13" x14ac:dyDescent="0.25">
      <c r="A30" s="14" t="s">
        <v>57</v>
      </c>
      <c r="B30" s="14" t="s">
        <v>1261</v>
      </c>
      <c r="C30" s="14" t="s">
        <v>1262</v>
      </c>
      <c r="D30" s="14" t="s">
        <v>73</v>
      </c>
      <c r="E30" s="14">
        <v>0</v>
      </c>
      <c r="F30" s="14">
        <v>1</v>
      </c>
      <c r="G30" s="14">
        <v>0</v>
      </c>
      <c r="H30" s="14">
        <v>0</v>
      </c>
      <c r="I30" s="14">
        <v>1</v>
      </c>
      <c r="J30" s="18">
        <v>18</v>
      </c>
      <c r="K30" s="14">
        <v>0</v>
      </c>
      <c r="L30" s="18">
        <v>135.5</v>
      </c>
      <c r="M30" s="14" t="s">
        <v>86</v>
      </c>
    </row>
    <row r="31" spans="1:13" x14ac:dyDescent="0.25">
      <c r="A31" s="14" t="s">
        <v>59</v>
      </c>
      <c r="B31" s="14" t="s">
        <v>1263</v>
      </c>
      <c r="C31" s="14" t="s">
        <v>1264</v>
      </c>
      <c r="D31" s="14" t="s">
        <v>50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8">
        <v>0</v>
      </c>
      <c r="K31" s="14">
        <v>1</v>
      </c>
      <c r="L31" s="18">
        <v>0</v>
      </c>
      <c r="M31" s="14" t="s">
        <v>86</v>
      </c>
    </row>
    <row r="32" spans="1:13" x14ac:dyDescent="0.25">
      <c r="A32" s="14" t="s">
        <v>43</v>
      </c>
      <c r="B32" s="14" t="s">
        <v>1265</v>
      </c>
      <c r="C32" s="14" t="s">
        <v>1266</v>
      </c>
      <c r="D32" s="14" t="s">
        <v>56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8">
        <v>0</v>
      </c>
      <c r="K32" s="14">
        <v>1</v>
      </c>
      <c r="L32" s="18">
        <v>0</v>
      </c>
      <c r="M32" s="14" t="s">
        <v>86</v>
      </c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A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A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A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1267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49</v>
      </c>
      <c r="B4" s="14" t="s">
        <v>1268</v>
      </c>
      <c r="C4" s="14" t="s">
        <v>1269</v>
      </c>
      <c r="D4" s="14" t="s">
        <v>56</v>
      </c>
      <c r="E4" s="14">
        <v>0</v>
      </c>
      <c r="F4" s="14">
        <v>1</v>
      </c>
      <c r="G4" s="14">
        <v>0</v>
      </c>
      <c r="H4" s="14">
        <v>0</v>
      </c>
      <c r="I4" s="14">
        <v>0</v>
      </c>
      <c r="J4" s="18">
        <v>15</v>
      </c>
      <c r="K4" s="14">
        <v>1</v>
      </c>
      <c r="L4" s="18">
        <v>102.71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1</v>
      </c>
      <c r="V4" s="18">
        <f t="shared" ref="V4:V15" si="5">SUMIF($A$4:$A$43,$P4,J$4:J$43)</f>
        <v>15</v>
      </c>
      <c r="W4" s="14">
        <f t="shared" ref="W4:W15" si="6">SUMIF($A$4:$A$43,$P4,K$4:K$43)</f>
        <v>1</v>
      </c>
      <c r="X4" s="18">
        <f t="shared" ref="X4:X15" si="7">SUMIF($A$4:$A$43,$P4,L$4:L$43)</f>
        <v>172.39</v>
      </c>
    </row>
    <row r="5" spans="1:24" x14ac:dyDescent="0.25">
      <c r="A5" s="14" t="s">
        <v>53</v>
      </c>
      <c r="B5" s="14" t="s">
        <v>1270</v>
      </c>
      <c r="C5" s="14" t="s">
        <v>1271</v>
      </c>
      <c r="D5" s="14" t="s">
        <v>69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15.04</v>
      </c>
      <c r="M5" s="14" t="s">
        <v>86</v>
      </c>
      <c r="P5" s="14" t="str">
        <f>Setup!$A$5</f>
        <v>Expert 02</v>
      </c>
      <c r="Q5" s="14">
        <f t="shared" si="0"/>
        <v>0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1</v>
      </c>
      <c r="V5" s="18">
        <f t="shared" si="5"/>
        <v>0</v>
      </c>
      <c r="W5" s="14">
        <f t="shared" si="6"/>
        <v>0</v>
      </c>
      <c r="X5" s="18">
        <f t="shared" si="7"/>
        <v>0</v>
      </c>
    </row>
    <row r="6" spans="1:24" x14ac:dyDescent="0.25">
      <c r="A6" s="14" t="s">
        <v>51</v>
      </c>
      <c r="B6" s="14" t="s">
        <v>221</v>
      </c>
      <c r="C6" s="14" t="s">
        <v>1272</v>
      </c>
      <c r="D6" s="14" t="s">
        <v>54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8">
        <v>16</v>
      </c>
      <c r="K6" s="14">
        <v>1</v>
      </c>
      <c r="L6" s="18">
        <v>140.03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39</v>
      </c>
      <c r="W6" s="14">
        <f t="shared" si="6"/>
        <v>1</v>
      </c>
      <c r="X6" s="18">
        <f t="shared" si="7"/>
        <v>163.6</v>
      </c>
    </row>
    <row r="7" spans="1:24" x14ac:dyDescent="0.25">
      <c r="A7" s="14" t="s">
        <v>57</v>
      </c>
      <c r="B7" s="14" t="s">
        <v>1273</v>
      </c>
      <c r="C7" s="14" t="s">
        <v>1274</v>
      </c>
      <c r="D7" s="14" t="s">
        <v>74</v>
      </c>
      <c r="E7" s="14">
        <v>0</v>
      </c>
      <c r="F7" s="14">
        <v>0</v>
      </c>
      <c r="G7" s="14">
        <v>0</v>
      </c>
      <c r="H7" s="14">
        <v>0</v>
      </c>
      <c r="I7" s="14">
        <v>1</v>
      </c>
      <c r="J7" s="18">
        <v>0</v>
      </c>
      <c r="K7" s="14">
        <v>0</v>
      </c>
      <c r="L7" s="18">
        <v>158.27000000000001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0</v>
      </c>
      <c r="T7" s="14">
        <f t="shared" si="3"/>
        <v>1</v>
      </c>
      <c r="U7" s="14">
        <f t="shared" si="4"/>
        <v>0</v>
      </c>
      <c r="V7" s="18">
        <f t="shared" si="5"/>
        <v>18</v>
      </c>
      <c r="W7" s="14">
        <f t="shared" si="6"/>
        <v>1</v>
      </c>
      <c r="X7" s="18">
        <f t="shared" si="7"/>
        <v>32.700000000000003</v>
      </c>
    </row>
    <row r="8" spans="1:24" x14ac:dyDescent="0.25">
      <c r="A8" s="14" t="s">
        <v>39</v>
      </c>
      <c r="B8" s="14" t="s">
        <v>1275</v>
      </c>
      <c r="C8" s="14" t="s">
        <v>1276</v>
      </c>
      <c r="D8" s="14" t="s">
        <v>70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172.39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1</v>
      </c>
      <c r="V8" s="18">
        <f t="shared" si="5"/>
        <v>24</v>
      </c>
      <c r="W8" s="14">
        <f t="shared" si="6"/>
        <v>0</v>
      </c>
      <c r="X8" s="18">
        <f t="shared" si="7"/>
        <v>252.64000000000001</v>
      </c>
    </row>
    <row r="9" spans="1:24" x14ac:dyDescent="0.25">
      <c r="A9" s="14" t="s">
        <v>47</v>
      </c>
      <c r="B9" s="14" t="s">
        <v>1277</v>
      </c>
      <c r="C9" s="14" t="s">
        <v>1278</v>
      </c>
      <c r="D9" s="14" t="s">
        <v>73</v>
      </c>
      <c r="E9" s="14">
        <v>0</v>
      </c>
      <c r="F9" s="14">
        <v>0</v>
      </c>
      <c r="G9" s="14">
        <v>0</v>
      </c>
      <c r="H9" s="14">
        <v>0</v>
      </c>
      <c r="I9" s="14">
        <v>1</v>
      </c>
      <c r="J9" s="18">
        <v>0</v>
      </c>
      <c r="K9" s="14">
        <v>0</v>
      </c>
      <c r="L9" s="18">
        <v>145.99</v>
      </c>
      <c r="M9" s="14" t="s">
        <v>86</v>
      </c>
      <c r="P9" s="14" t="str">
        <f>Setup!$A$9</f>
        <v>Expert 06</v>
      </c>
      <c r="Q9" s="14">
        <f t="shared" si="0"/>
        <v>2</v>
      </c>
      <c r="R9" s="14">
        <f t="shared" si="1"/>
        <v>1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54</v>
      </c>
      <c r="W9" s="14">
        <f t="shared" si="6"/>
        <v>4</v>
      </c>
      <c r="X9" s="18">
        <f t="shared" si="7"/>
        <v>174.04</v>
      </c>
    </row>
    <row r="10" spans="1:24" x14ac:dyDescent="0.25">
      <c r="A10" s="14" t="s">
        <v>59</v>
      </c>
      <c r="B10" s="14" t="s">
        <v>1279</v>
      </c>
      <c r="C10" s="14" t="s">
        <v>1280</v>
      </c>
      <c r="D10" s="14" t="s">
        <v>71</v>
      </c>
      <c r="E10" s="14">
        <v>0</v>
      </c>
      <c r="F10" s="14">
        <v>0</v>
      </c>
      <c r="G10" s="14">
        <v>0</v>
      </c>
      <c r="H10" s="14">
        <v>1</v>
      </c>
      <c r="I10" s="14">
        <v>0</v>
      </c>
      <c r="J10" s="18">
        <v>0</v>
      </c>
      <c r="K10" s="14">
        <v>1</v>
      </c>
      <c r="L10" s="18">
        <v>40.93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1</v>
      </c>
      <c r="U10" s="14">
        <f t="shared" si="4"/>
        <v>2</v>
      </c>
      <c r="V10" s="18">
        <f t="shared" si="5"/>
        <v>67</v>
      </c>
      <c r="W10" s="14">
        <f t="shared" si="6"/>
        <v>2</v>
      </c>
      <c r="X10" s="18">
        <f t="shared" si="7"/>
        <v>316.98</v>
      </c>
    </row>
    <row r="11" spans="1:24" x14ac:dyDescent="0.25">
      <c r="A11" s="14" t="s">
        <v>43</v>
      </c>
      <c r="B11" s="14" t="s">
        <v>1281</v>
      </c>
      <c r="C11" s="14" t="s">
        <v>1282</v>
      </c>
      <c r="D11" s="14" t="s">
        <v>68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15</v>
      </c>
      <c r="K11" s="14">
        <v>1</v>
      </c>
      <c r="L11" s="18">
        <v>108.86</v>
      </c>
      <c r="M11" s="14" t="s">
        <v>86</v>
      </c>
      <c r="P11" s="14" t="str">
        <f>Setup!$A$11</f>
        <v>Expert 08</v>
      </c>
      <c r="Q11" s="14">
        <f t="shared" si="0"/>
        <v>1</v>
      </c>
      <c r="R11" s="14">
        <f t="shared" si="1"/>
        <v>0</v>
      </c>
      <c r="S11" s="14">
        <f t="shared" si="2"/>
        <v>1</v>
      </c>
      <c r="T11" s="14">
        <f t="shared" si="3"/>
        <v>0</v>
      </c>
      <c r="U11" s="14">
        <f t="shared" si="4"/>
        <v>0</v>
      </c>
      <c r="V11" s="18">
        <f t="shared" si="5"/>
        <v>18</v>
      </c>
      <c r="W11" s="14">
        <f t="shared" si="6"/>
        <v>2</v>
      </c>
      <c r="X11" s="18">
        <f t="shared" si="7"/>
        <v>184.67999999999998</v>
      </c>
    </row>
    <row r="12" spans="1:24" x14ac:dyDescent="0.25">
      <c r="A12" s="14" t="s">
        <v>41</v>
      </c>
      <c r="B12" s="14" t="s">
        <v>1283</v>
      </c>
      <c r="C12" s="14" t="s">
        <v>1284</v>
      </c>
      <c r="D12" s="14" t="s">
        <v>73</v>
      </c>
      <c r="E12" s="14">
        <v>0</v>
      </c>
      <c r="F12" s="14">
        <v>0</v>
      </c>
      <c r="G12" s="14">
        <v>0</v>
      </c>
      <c r="H12" s="14">
        <v>0</v>
      </c>
      <c r="I12" s="14">
        <v>1</v>
      </c>
      <c r="J12" s="18">
        <v>0</v>
      </c>
      <c r="K12" s="14">
        <v>0</v>
      </c>
      <c r="L12" s="18">
        <v>0</v>
      </c>
      <c r="M12" s="14" t="s">
        <v>111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0</v>
      </c>
      <c r="X12" s="18">
        <f t="shared" si="7"/>
        <v>0</v>
      </c>
    </row>
    <row r="13" spans="1:24" x14ac:dyDescent="0.25">
      <c r="A13" s="14" t="s">
        <v>57</v>
      </c>
      <c r="B13" s="14" t="s">
        <v>1285</v>
      </c>
      <c r="C13" s="14" t="s">
        <v>1286</v>
      </c>
      <c r="D13" s="14" t="s">
        <v>54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0</v>
      </c>
      <c r="M13" s="14" t="s">
        <v>111</v>
      </c>
      <c r="P13" s="14" t="str">
        <f>Setup!$A$13</f>
        <v>Expert 10</v>
      </c>
      <c r="Q13" s="14">
        <f t="shared" si="0"/>
        <v>3</v>
      </c>
      <c r="R13" s="14">
        <f t="shared" si="1"/>
        <v>0</v>
      </c>
      <c r="S13" s="14">
        <f t="shared" si="2"/>
        <v>1</v>
      </c>
      <c r="T13" s="14">
        <f t="shared" si="3"/>
        <v>0</v>
      </c>
      <c r="U13" s="14">
        <f t="shared" si="4"/>
        <v>1</v>
      </c>
      <c r="V13" s="18">
        <f t="shared" si="5"/>
        <v>0</v>
      </c>
      <c r="W13" s="14">
        <f t="shared" si="6"/>
        <v>4</v>
      </c>
      <c r="X13" s="18">
        <f t="shared" si="7"/>
        <v>195.77</v>
      </c>
    </row>
    <row r="14" spans="1:24" x14ac:dyDescent="0.25">
      <c r="A14" s="14" t="s">
        <v>53</v>
      </c>
      <c r="B14" s="14" t="s">
        <v>1287</v>
      </c>
      <c r="C14" s="14" t="s">
        <v>1288</v>
      </c>
      <c r="D14" s="14" t="s">
        <v>67</v>
      </c>
      <c r="E14" s="14">
        <v>0</v>
      </c>
      <c r="F14" s="14">
        <v>0</v>
      </c>
      <c r="G14" s="14">
        <v>1</v>
      </c>
      <c r="H14" s="14">
        <v>0</v>
      </c>
      <c r="I14" s="14">
        <v>0</v>
      </c>
      <c r="J14" s="18">
        <v>18</v>
      </c>
      <c r="K14" s="14">
        <v>1</v>
      </c>
      <c r="L14" s="18">
        <v>169.64</v>
      </c>
      <c r="M14" s="14" t="s">
        <v>86</v>
      </c>
      <c r="P14" s="14" t="str">
        <f>Setup!$A$14</f>
        <v>Expert 11</v>
      </c>
      <c r="Q14" s="14">
        <f t="shared" si="0"/>
        <v>3</v>
      </c>
      <c r="R14" s="14">
        <f t="shared" si="1"/>
        <v>0</v>
      </c>
      <c r="S14" s="14">
        <f t="shared" si="2"/>
        <v>0</v>
      </c>
      <c r="T14" s="14">
        <f t="shared" si="3"/>
        <v>2</v>
      </c>
      <c r="U14" s="14">
        <f t="shared" si="4"/>
        <v>1</v>
      </c>
      <c r="V14" s="18">
        <f t="shared" si="5"/>
        <v>0</v>
      </c>
      <c r="W14" s="14">
        <f t="shared" si="6"/>
        <v>4</v>
      </c>
      <c r="X14" s="18">
        <f t="shared" si="7"/>
        <v>180.51000000000002</v>
      </c>
    </row>
    <row r="15" spans="1:24" x14ac:dyDescent="0.25">
      <c r="A15" s="14" t="s">
        <v>51</v>
      </c>
      <c r="B15" s="14" t="s">
        <v>1289</v>
      </c>
      <c r="C15" s="14" t="s">
        <v>1290</v>
      </c>
      <c r="D15" s="14" t="s">
        <v>73</v>
      </c>
      <c r="E15" s="14">
        <v>0</v>
      </c>
      <c r="F15" s="14">
        <v>0</v>
      </c>
      <c r="G15" s="14">
        <v>0</v>
      </c>
      <c r="H15" s="14">
        <v>0</v>
      </c>
      <c r="I15" s="14">
        <v>1</v>
      </c>
      <c r="J15" s="18">
        <v>18</v>
      </c>
      <c r="K15" s="14">
        <v>0</v>
      </c>
      <c r="L15" s="18">
        <v>176.95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33</v>
      </c>
      <c r="W15" s="14">
        <f t="shared" si="6"/>
        <v>1</v>
      </c>
      <c r="X15" s="18">
        <f t="shared" si="7"/>
        <v>0</v>
      </c>
    </row>
    <row r="16" spans="1:24" x14ac:dyDescent="0.25">
      <c r="A16" s="14" t="s">
        <v>43</v>
      </c>
      <c r="B16" s="14" t="s">
        <v>1291</v>
      </c>
      <c r="C16" s="14" t="s">
        <v>1292</v>
      </c>
      <c r="D16" s="14" t="s">
        <v>77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24</v>
      </c>
      <c r="K16" s="14">
        <v>0</v>
      </c>
      <c r="L16" s="18">
        <v>54.74</v>
      </c>
      <c r="M16" s="14" t="s">
        <v>86</v>
      </c>
      <c r="P16" s="19" t="s">
        <v>112</v>
      </c>
      <c r="Q16" s="20">
        <f t="shared" ref="Q16:X16" si="8">SUM(Q4:Q15)</f>
        <v>13</v>
      </c>
      <c r="R16" s="20">
        <f t="shared" si="8"/>
        <v>1</v>
      </c>
      <c r="S16" s="20">
        <f t="shared" si="8"/>
        <v>2</v>
      </c>
      <c r="T16" s="20">
        <f t="shared" si="8"/>
        <v>4</v>
      </c>
      <c r="U16" s="20">
        <f t="shared" si="8"/>
        <v>7</v>
      </c>
      <c r="V16" s="21">
        <f t="shared" si="8"/>
        <v>268</v>
      </c>
      <c r="W16" s="20">
        <f t="shared" si="8"/>
        <v>20</v>
      </c>
      <c r="X16" s="21">
        <f t="shared" si="8"/>
        <v>1673.31</v>
      </c>
    </row>
    <row r="17" spans="1:13" x14ac:dyDescent="0.25">
      <c r="A17" s="14" t="s">
        <v>57</v>
      </c>
      <c r="B17" s="14" t="s">
        <v>1293</v>
      </c>
      <c r="C17" s="14" t="s">
        <v>1294</v>
      </c>
      <c r="D17" s="14" t="s">
        <v>48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0</v>
      </c>
      <c r="M17" s="14" t="s">
        <v>86</v>
      </c>
    </row>
    <row r="18" spans="1:13" x14ac:dyDescent="0.25">
      <c r="A18" s="14" t="s">
        <v>49</v>
      </c>
      <c r="B18" s="14" t="s">
        <v>1295</v>
      </c>
      <c r="C18" s="14" t="s">
        <v>1296</v>
      </c>
      <c r="D18" s="14" t="s">
        <v>71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15</v>
      </c>
      <c r="K18" s="14">
        <v>1</v>
      </c>
      <c r="L18" s="18">
        <v>0</v>
      </c>
      <c r="M18" s="14" t="s">
        <v>86</v>
      </c>
    </row>
    <row r="19" spans="1:13" x14ac:dyDescent="0.25">
      <c r="A19" s="14" t="s">
        <v>39</v>
      </c>
      <c r="B19" s="14" t="s">
        <v>1297</v>
      </c>
      <c r="C19" s="14" t="s">
        <v>1298</v>
      </c>
      <c r="D19" s="14" t="s">
        <v>74</v>
      </c>
      <c r="E19" s="14">
        <v>0</v>
      </c>
      <c r="F19" s="14">
        <v>0</v>
      </c>
      <c r="G19" s="14">
        <v>0</v>
      </c>
      <c r="H19" s="14">
        <v>0</v>
      </c>
      <c r="I19" s="14">
        <v>1</v>
      </c>
      <c r="J19" s="18">
        <v>15</v>
      </c>
      <c r="K19" s="14">
        <v>0</v>
      </c>
      <c r="L19" s="18">
        <v>0</v>
      </c>
      <c r="M19" s="14" t="s">
        <v>86</v>
      </c>
    </row>
    <row r="20" spans="1:13" x14ac:dyDescent="0.25">
      <c r="A20" s="14" t="s">
        <v>59</v>
      </c>
      <c r="B20" s="14" t="s">
        <v>1299</v>
      </c>
      <c r="C20" s="14" t="s">
        <v>1300</v>
      </c>
      <c r="D20" s="14" t="s">
        <v>50</v>
      </c>
      <c r="E20" s="14">
        <v>1</v>
      </c>
      <c r="F20" s="14">
        <v>0</v>
      </c>
      <c r="G20" s="14">
        <v>0</v>
      </c>
      <c r="H20" s="14">
        <v>1</v>
      </c>
      <c r="I20" s="14">
        <v>0</v>
      </c>
      <c r="J20" s="18">
        <v>0</v>
      </c>
      <c r="K20" s="14">
        <v>1</v>
      </c>
      <c r="L20" s="18">
        <v>139.58000000000001</v>
      </c>
      <c r="M20" s="14" t="s">
        <v>86</v>
      </c>
    </row>
    <row r="21" spans="1:13" x14ac:dyDescent="0.25">
      <c r="A21" s="14" t="s">
        <v>59</v>
      </c>
      <c r="B21" s="14" t="s">
        <v>1301</v>
      </c>
      <c r="C21" s="14" t="s">
        <v>1302</v>
      </c>
      <c r="D21" s="14" t="s">
        <v>42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47</v>
      </c>
      <c r="B22" s="14" t="s">
        <v>1303</v>
      </c>
      <c r="C22" s="14" t="s">
        <v>1304</v>
      </c>
      <c r="D22" s="14" t="s">
        <v>76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8">
        <v>24</v>
      </c>
      <c r="K22" s="14">
        <v>0</v>
      </c>
      <c r="L22" s="18">
        <v>106.65</v>
      </c>
      <c r="M22" s="14" t="s">
        <v>86</v>
      </c>
    </row>
    <row r="23" spans="1:13" x14ac:dyDescent="0.25">
      <c r="A23" s="14" t="s">
        <v>57</v>
      </c>
      <c r="B23" s="14" t="s">
        <v>1305</v>
      </c>
      <c r="C23" s="14" t="s">
        <v>1306</v>
      </c>
      <c r="D23" s="14" t="s">
        <v>62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0</v>
      </c>
      <c r="M23" s="14" t="s">
        <v>86</v>
      </c>
    </row>
    <row r="24" spans="1:13" x14ac:dyDescent="0.25">
      <c r="A24" s="14" t="s">
        <v>57</v>
      </c>
      <c r="B24" s="14" t="s">
        <v>1307</v>
      </c>
      <c r="C24" s="14" t="s">
        <v>1308</v>
      </c>
      <c r="D24" s="14" t="s">
        <v>64</v>
      </c>
      <c r="E24" s="14">
        <v>1</v>
      </c>
      <c r="F24" s="14">
        <v>0</v>
      </c>
      <c r="G24" s="14">
        <v>1</v>
      </c>
      <c r="H24" s="14">
        <v>0</v>
      </c>
      <c r="I24" s="14">
        <v>0</v>
      </c>
      <c r="J24" s="18">
        <v>0</v>
      </c>
      <c r="K24" s="14">
        <v>1</v>
      </c>
      <c r="L24" s="18">
        <v>37.5</v>
      </c>
      <c r="M24" s="14" t="s">
        <v>86</v>
      </c>
    </row>
    <row r="25" spans="1:13" x14ac:dyDescent="0.25">
      <c r="A25" s="14" t="s">
        <v>45</v>
      </c>
      <c r="B25" s="14" t="s">
        <v>1309</v>
      </c>
      <c r="C25" s="14" t="s">
        <v>1310</v>
      </c>
      <c r="D25" s="14" t="s">
        <v>70</v>
      </c>
      <c r="E25" s="14">
        <v>1</v>
      </c>
      <c r="F25" s="14">
        <v>0</v>
      </c>
      <c r="G25" s="14">
        <v>0</v>
      </c>
      <c r="H25" s="14">
        <v>1</v>
      </c>
      <c r="I25" s="14">
        <v>0</v>
      </c>
      <c r="J25" s="18">
        <v>18</v>
      </c>
      <c r="K25" s="14">
        <v>1</v>
      </c>
      <c r="L25" s="18">
        <v>32.700000000000003</v>
      </c>
      <c r="M25" s="14" t="s">
        <v>86</v>
      </c>
    </row>
    <row r="26" spans="1:13" x14ac:dyDescent="0.25">
      <c r="A26" s="14" t="s">
        <v>49</v>
      </c>
      <c r="B26" s="14" t="s">
        <v>1311</v>
      </c>
      <c r="C26" s="14" t="s">
        <v>1312</v>
      </c>
      <c r="D26" s="14" t="s">
        <v>54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71.33</v>
      </c>
      <c r="M26" s="14" t="s">
        <v>86</v>
      </c>
    </row>
    <row r="27" spans="1:13" x14ac:dyDescent="0.25">
      <c r="A27" s="14" t="s">
        <v>61</v>
      </c>
      <c r="B27" s="14" t="s">
        <v>1313</v>
      </c>
      <c r="C27" s="14" t="s">
        <v>1314</v>
      </c>
      <c r="D27" s="14" t="s">
        <v>62</v>
      </c>
      <c r="E27" s="14">
        <v>1</v>
      </c>
      <c r="F27" s="14">
        <v>0</v>
      </c>
      <c r="G27" s="14">
        <v>0</v>
      </c>
      <c r="H27" s="14">
        <v>0</v>
      </c>
      <c r="I27" s="14">
        <v>0</v>
      </c>
      <c r="J27" s="18">
        <v>33</v>
      </c>
      <c r="K27" s="14">
        <v>1</v>
      </c>
      <c r="L27" s="18">
        <v>0</v>
      </c>
      <c r="M27" s="14" t="s">
        <v>86</v>
      </c>
    </row>
    <row r="28" spans="1:13" x14ac:dyDescent="0.25">
      <c r="A28" s="14" t="s">
        <v>51</v>
      </c>
      <c r="B28" s="14" t="s">
        <v>1315</v>
      </c>
      <c r="C28" s="14" t="s">
        <v>1316</v>
      </c>
      <c r="D28" s="14" t="s">
        <v>48</v>
      </c>
      <c r="E28" s="14">
        <v>0</v>
      </c>
      <c r="F28" s="14">
        <v>0</v>
      </c>
      <c r="G28" s="14">
        <v>0</v>
      </c>
      <c r="H28" s="14">
        <v>1</v>
      </c>
      <c r="I28" s="14">
        <v>0</v>
      </c>
      <c r="J28" s="18">
        <v>0</v>
      </c>
      <c r="K28" s="14">
        <v>1</v>
      </c>
      <c r="L28" s="18">
        <v>0</v>
      </c>
      <c r="M28" s="14" t="s">
        <v>86</v>
      </c>
    </row>
    <row r="29" spans="1:13" x14ac:dyDescent="0.25">
      <c r="A29" s="14" t="s">
        <v>49</v>
      </c>
      <c r="B29" s="14" t="s">
        <v>1317</v>
      </c>
      <c r="C29" s="14" t="s">
        <v>1318</v>
      </c>
      <c r="D29" s="14" t="s">
        <v>60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24</v>
      </c>
      <c r="K29" s="14">
        <v>1</v>
      </c>
      <c r="L29" s="18">
        <v>0</v>
      </c>
      <c r="M29" s="14" t="s">
        <v>111</v>
      </c>
    </row>
    <row r="30" spans="1:13" x14ac:dyDescent="0.25">
      <c r="A30" s="14" t="s">
        <v>51</v>
      </c>
      <c r="B30" s="14" t="s">
        <v>1319</v>
      </c>
      <c r="C30" s="14" t="s">
        <v>1320</v>
      </c>
      <c r="D30" s="14" t="s">
        <v>74</v>
      </c>
      <c r="E30" s="14">
        <v>0</v>
      </c>
      <c r="F30" s="14">
        <v>0</v>
      </c>
      <c r="G30" s="14">
        <v>0</v>
      </c>
      <c r="H30" s="14">
        <v>0</v>
      </c>
      <c r="I30" s="14">
        <v>1</v>
      </c>
      <c r="J30" s="18">
        <v>33</v>
      </c>
      <c r="K30" s="14">
        <v>0</v>
      </c>
      <c r="L30" s="18">
        <v>0</v>
      </c>
      <c r="M30" s="14" t="s">
        <v>86</v>
      </c>
    </row>
    <row r="31" spans="1:13" x14ac:dyDescent="0.25">
      <c r="A31" s="14" t="s">
        <v>59</v>
      </c>
      <c r="B31" s="14" t="s">
        <v>1321</v>
      </c>
      <c r="C31" s="14" t="s">
        <v>1322</v>
      </c>
      <c r="D31" s="14" t="s">
        <v>44</v>
      </c>
      <c r="E31" s="14">
        <v>1</v>
      </c>
      <c r="F31" s="14">
        <v>0</v>
      </c>
      <c r="G31" s="14">
        <v>0</v>
      </c>
      <c r="H31" s="14">
        <v>0</v>
      </c>
      <c r="I31" s="14">
        <v>0</v>
      </c>
      <c r="J31" s="18">
        <v>0</v>
      </c>
      <c r="K31" s="14">
        <v>1</v>
      </c>
      <c r="L31" s="18">
        <v>0</v>
      </c>
      <c r="M31" s="14" t="s">
        <v>86</v>
      </c>
    </row>
    <row r="32" spans="1:13" x14ac:dyDescent="0.25">
      <c r="A32" s="14" t="s">
        <v>59</v>
      </c>
      <c r="B32" s="14" t="s">
        <v>1323</v>
      </c>
      <c r="C32" s="14" t="s">
        <v>1324</v>
      </c>
      <c r="D32" s="14" t="s">
        <v>74</v>
      </c>
      <c r="E32" s="14">
        <v>0</v>
      </c>
      <c r="F32" s="14">
        <v>0</v>
      </c>
      <c r="G32" s="14">
        <v>0</v>
      </c>
      <c r="H32" s="14">
        <v>0</v>
      </c>
      <c r="I32" s="14">
        <v>1</v>
      </c>
      <c r="J32" s="18">
        <v>0</v>
      </c>
      <c r="K32" s="14">
        <v>0</v>
      </c>
      <c r="L32" s="18">
        <v>0</v>
      </c>
      <c r="M32" s="14" t="s">
        <v>86</v>
      </c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B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B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B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1325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51</v>
      </c>
      <c r="B4" s="14" t="s">
        <v>842</v>
      </c>
      <c r="C4" s="14" t="s">
        <v>1326</v>
      </c>
      <c r="D4" s="14" t="s">
        <v>40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18</v>
      </c>
      <c r="K4" s="14">
        <v>1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1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1</v>
      </c>
      <c r="X4" s="18">
        <f t="shared" ref="X4:X15" si="7">SUMIF($A$4:$A$43,$P4,L$4:L$43)</f>
        <v>15.78</v>
      </c>
    </row>
    <row r="5" spans="1:24" x14ac:dyDescent="0.25">
      <c r="A5" s="14" t="s">
        <v>43</v>
      </c>
      <c r="B5" s="14" t="s">
        <v>1327</v>
      </c>
      <c r="C5" s="14" t="s">
        <v>1328</v>
      </c>
      <c r="D5" s="14" t="s">
        <v>58</v>
      </c>
      <c r="E5" s="14">
        <v>0</v>
      </c>
      <c r="F5" s="14">
        <v>1</v>
      </c>
      <c r="G5" s="14">
        <v>0</v>
      </c>
      <c r="H5" s="14">
        <v>0</v>
      </c>
      <c r="I5" s="14">
        <v>0</v>
      </c>
      <c r="J5" s="18">
        <v>15</v>
      </c>
      <c r="K5" s="14">
        <v>1</v>
      </c>
      <c r="L5" s="18">
        <v>14.42</v>
      </c>
      <c r="M5" s="14" t="s">
        <v>111</v>
      </c>
      <c r="P5" s="14" t="str">
        <f>Setup!$A$5</f>
        <v>Expert 02</v>
      </c>
      <c r="Q5" s="14">
        <f t="shared" si="0"/>
        <v>2</v>
      </c>
      <c r="R5" s="14">
        <f t="shared" si="1"/>
        <v>0</v>
      </c>
      <c r="S5" s="14">
        <f t="shared" si="2"/>
        <v>1</v>
      </c>
      <c r="T5" s="14">
        <f t="shared" si="3"/>
        <v>0</v>
      </c>
      <c r="U5" s="14">
        <f t="shared" si="4"/>
        <v>0</v>
      </c>
      <c r="V5" s="18">
        <f t="shared" si="5"/>
        <v>33</v>
      </c>
      <c r="W5" s="14">
        <f t="shared" si="6"/>
        <v>3</v>
      </c>
      <c r="X5" s="18">
        <f t="shared" si="7"/>
        <v>144.41</v>
      </c>
    </row>
    <row r="6" spans="1:24" x14ac:dyDescent="0.25">
      <c r="A6" s="14" t="s">
        <v>55</v>
      </c>
      <c r="B6" s="14" t="s">
        <v>1329</v>
      </c>
      <c r="C6" s="14" t="s">
        <v>1330</v>
      </c>
      <c r="D6" s="14" t="s">
        <v>42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8">
        <v>33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2</v>
      </c>
      <c r="R6" s="14">
        <f t="shared" si="1"/>
        <v>1</v>
      </c>
      <c r="S6" s="14">
        <f t="shared" si="2"/>
        <v>0</v>
      </c>
      <c r="T6" s="14">
        <f t="shared" si="3"/>
        <v>1</v>
      </c>
      <c r="U6" s="14">
        <f t="shared" si="4"/>
        <v>0</v>
      </c>
      <c r="V6" s="18">
        <f t="shared" si="5"/>
        <v>15</v>
      </c>
      <c r="W6" s="14">
        <f t="shared" si="6"/>
        <v>3</v>
      </c>
      <c r="X6" s="18">
        <f t="shared" si="7"/>
        <v>14.42</v>
      </c>
    </row>
    <row r="7" spans="1:24" x14ac:dyDescent="0.25">
      <c r="A7" s="14" t="s">
        <v>53</v>
      </c>
      <c r="B7" s="14" t="s">
        <v>1331</v>
      </c>
      <c r="C7" s="14" t="s">
        <v>1332</v>
      </c>
      <c r="D7" s="14" t="s">
        <v>69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0</v>
      </c>
      <c r="X7" s="18">
        <f t="shared" si="7"/>
        <v>35.270000000000003</v>
      </c>
    </row>
    <row r="8" spans="1:24" x14ac:dyDescent="0.25">
      <c r="A8" s="14" t="s">
        <v>59</v>
      </c>
      <c r="B8" s="14" t="s">
        <v>1333</v>
      </c>
      <c r="C8" s="14" t="s">
        <v>1334</v>
      </c>
      <c r="D8" s="14" t="s">
        <v>76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8">
        <v>16</v>
      </c>
      <c r="K8" s="14">
        <v>0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0</v>
      </c>
      <c r="X8" s="18">
        <f t="shared" si="7"/>
        <v>0</v>
      </c>
    </row>
    <row r="9" spans="1:24" x14ac:dyDescent="0.25">
      <c r="A9" s="14" t="s">
        <v>41</v>
      </c>
      <c r="B9" s="14" t="s">
        <v>863</v>
      </c>
      <c r="C9" s="14" t="s">
        <v>1335</v>
      </c>
      <c r="D9" s="14" t="s">
        <v>56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17.78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1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15</v>
      </c>
      <c r="W9" s="14">
        <f t="shared" si="6"/>
        <v>1</v>
      </c>
      <c r="X9" s="18">
        <f t="shared" si="7"/>
        <v>0</v>
      </c>
    </row>
    <row r="10" spans="1:24" x14ac:dyDescent="0.25">
      <c r="A10" s="14" t="s">
        <v>51</v>
      </c>
      <c r="B10" s="14" t="s">
        <v>1336</v>
      </c>
      <c r="C10" s="14" t="s">
        <v>1337</v>
      </c>
      <c r="D10" s="14" t="s">
        <v>75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15</v>
      </c>
      <c r="K10" s="14">
        <v>0</v>
      </c>
      <c r="L10" s="18">
        <v>0</v>
      </c>
      <c r="M10" s="14" t="s">
        <v>111</v>
      </c>
      <c r="P10" s="14" t="str">
        <f>Setup!$A$10</f>
        <v>Expert 07</v>
      </c>
      <c r="Q10" s="14">
        <f t="shared" si="0"/>
        <v>2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33</v>
      </c>
      <c r="W10" s="14">
        <f t="shared" si="6"/>
        <v>1</v>
      </c>
      <c r="X10" s="18">
        <f t="shared" si="7"/>
        <v>0</v>
      </c>
    </row>
    <row r="11" spans="1:24" x14ac:dyDescent="0.25">
      <c r="A11" s="14" t="s">
        <v>57</v>
      </c>
      <c r="B11" s="14" t="s">
        <v>1338</v>
      </c>
      <c r="C11" s="14" t="s">
        <v>1339</v>
      </c>
      <c r="D11" s="14" t="s">
        <v>42</v>
      </c>
      <c r="E11" s="14">
        <v>1</v>
      </c>
      <c r="F11" s="14">
        <v>0</v>
      </c>
      <c r="G11" s="14">
        <v>1</v>
      </c>
      <c r="H11" s="14">
        <v>0</v>
      </c>
      <c r="I11" s="14">
        <v>0</v>
      </c>
      <c r="J11" s="18">
        <v>15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1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0</v>
      </c>
      <c r="W11" s="14">
        <f t="shared" si="6"/>
        <v>2</v>
      </c>
      <c r="X11" s="18">
        <f t="shared" si="7"/>
        <v>164.32</v>
      </c>
    </row>
    <row r="12" spans="1:24" x14ac:dyDescent="0.25">
      <c r="A12" s="14" t="s">
        <v>41</v>
      </c>
      <c r="B12" s="14" t="s">
        <v>1340</v>
      </c>
      <c r="C12" s="14" t="s">
        <v>1341</v>
      </c>
      <c r="D12" s="14" t="s">
        <v>44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1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33</v>
      </c>
      <c r="W12" s="14">
        <f t="shared" si="6"/>
        <v>1</v>
      </c>
      <c r="X12" s="18">
        <f t="shared" si="7"/>
        <v>0</v>
      </c>
    </row>
    <row r="13" spans="1:24" x14ac:dyDescent="0.25">
      <c r="A13" s="14" t="s">
        <v>53</v>
      </c>
      <c r="B13" s="14" t="s">
        <v>1342</v>
      </c>
      <c r="C13" s="14" t="s">
        <v>1343</v>
      </c>
      <c r="D13" s="14" t="s">
        <v>67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164.32</v>
      </c>
      <c r="M13" s="14" t="s">
        <v>86</v>
      </c>
      <c r="P13" s="14" t="str">
        <f>Setup!$A$13</f>
        <v>Expert 10</v>
      </c>
      <c r="Q13" s="14">
        <f t="shared" si="0"/>
        <v>2</v>
      </c>
      <c r="R13" s="14">
        <f t="shared" si="1"/>
        <v>0</v>
      </c>
      <c r="S13" s="14">
        <f t="shared" si="2"/>
        <v>1</v>
      </c>
      <c r="T13" s="14">
        <f t="shared" si="3"/>
        <v>0</v>
      </c>
      <c r="U13" s="14">
        <f t="shared" si="4"/>
        <v>0</v>
      </c>
      <c r="V13" s="18">
        <f t="shared" si="5"/>
        <v>15</v>
      </c>
      <c r="W13" s="14">
        <f t="shared" si="6"/>
        <v>2</v>
      </c>
      <c r="X13" s="18">
        <f t="shared" si="7"/>
        <v>0</v>
      </c>
    </row>
    <row r="14" spans="1:24" x14ac:dyDescent="0.25">
      <c r="A14" s="14" t="s">
        <v>49</v>
      </c>
      <c r="B14" s="14" t="s">
        <v>1068</v>
      </c>
      <c r="C14" s="14" t="s">
        <v>1344</v>
      </c>
      <c r="D14" s="14" t="s">
        <v>62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8">
        <v>15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16</v>
      </c>
      <c r="W14" s="14">
        <f t="shared" si="6"/>
        <v>0</v>
      </c>
      <c r="X14" s="18">
        <f t="shared" si="7"/>
        <v>0</v>
      </c>
    </row>
    <row r="15" spans="1:24" x14ac:dyDescent="0.25">
      <c r="A15" s="14" t="s">
        <v>57</v>
      </c>
      <c r="B15" s="14" t="s">
        <v>1345</v>
      </c>
      <c r="C15" s="14" t="s">
        <v>1346</v>
      </c>
      <c r="D15" s="14" t="s">
        <v>72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0</v>
      </c>
      <c r="M15" s="14" t="s">
        <v>86</v>
      </c>
      <c r="P15" s="14" t="str">
        <f>Setup!$A$15</f>
        <v>Expert 12</v>
      </c>
      <c r="Q15" s="14">
        <f t="shared" si="0"/>
        <v>0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1</v>
      </c>
      <c r="V15" s="18">
        <f t="shared" si="5"/>
        <v>33</v>
      </c>
      <c r="W15" s="14">
        <f t="shared" si="6"/>
        <v>0</v>
      </c>
      <c r="X15" s="18">
        <f t="shared" si="7"/>
        <v>113.48</v>
      </c>
    </row>
    <row r="16" spans="1:24" x14ac:dyDescent="0.25">
      <c r="A16" s="14" t="s">
        <v>43</v>
      </c>
      <c r="B16" s="14" t="s">
        <v>791</v>
      </c>
      <c r="C16" s="14" t="s">
        <v>1347</v>
      </c>
      <c r="D16" s="14" t="s">
        <v>50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9</v>
      </c>
      <c r="R16" s="20">
        <f t="shared" si="8"/>
        <v>6</v>
      </c>
      <c r="S16" s="20">
        <f t="shared" si="8"/>
        <v>2</v>
      </c>
      <c r="T16" s="20">
        <f t="shared" si="8"/>
        <v>1</v>
      </c>
      <c r="U16" s="20">
        <f t="shared" si="8"/>
        <v>1</v>
      </c>
      <c r="V16" s="21">
        <f t="shared" si="8"/>
        <v>193</v>
      </c>
      <c r="W16" s="20">
        <f t="shared" si="8"/>
        <v>14</v>
      </c>
      <c r="X16" s="21">
        <f t="shared" si="8"/>
        <v>487.68</v>
      </c>
    </row>
    <row r="17" spans="1:13" x14ac:dyDescent="0.25">
      <c r="A17" s="14" t="s">
        <v>45</v>
      </c>
      <c r="B17" s="14" t="s">
        <v>1348</v>
      </c>
      <c r="C17" s="14" t="s">
        <v>1349</v>
      </c>
      <c r="D17" s="14" t="s">
        <v>75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0</v>
      </c>
      <c r="L17" s="18">
        <v>35.270000000000003</v>
      </c>
      <c r="M17" s="14" t="s">
        <v>86</v>
      </c>
    </row>
    <row r="18" spans="1:13" x14ac:dyDescent="0.25">
      <c r="A18" s="14" t="s">
        <v>61</v>
      </c>
      <c r="B18" s="14" t="s">
        <v>1350</v>
      </c>
      <c r="C18" s="14" t="s">
        <v>1351</v>
      </c>
      <c r="D18" s="14" t="s">
        <v>73</v>
      </c>
      <c r="E18" s="14">
        <v>0</v>
      </c>
      <c r="F18" s="14">
        <v>1</v>
      </c>
      <c r="G18" s="14">
        <v>0</v>
      </c>
      <c r="H18" s="14">
        <v>0</v>
      </c>
      <c r="I18" s="14">
        <v>1</v>
      </c>
      <c r="J18" s="18">
        <v>33</v>
      </c>
      <c r="K18" s="14">
        <v>0</v>
      </c>
      <c r="L18" s="18">
        <v>113.48</v>
      </c>
      <c r="M18" s="14" t="s">
        <v>86</v>
      </c>
    </row>
    <row r="19" spans="1:13" x14ac:dyDescent="0.25">
      <c r="A19" s="14" t="s">
        <v>41</v>
      </c>
      <c r="B19" s="14" t="s">
        <v>1352</v>
      </c>
      <c r="C19" s="14" t="s">
        <v>1353</v>
      </c>
      <c r="D19" s="14" t="s">
        <v>40</v>
      </c>
      <c r="E19" s="14">
        <v>0</v>
      </c>
      <c r="F19" s="14">
        <v>0</v>
      </c>
      <c r="G19" s="14">
        <v>1</v>
      </c>
      <c r="H19" s="14">
        <v>0</v>
      </c>
      <c r="I19" s="14">
        <v>0</v>
      </c>
      <c r="J19" s="18">
        <v>33</v>
      </c>
      <c r="K19" s="14">
        <v>1</v>
      </c>
      <c r="L19" s="18">
        <v>126.63</v>
      </c>
      <c r="M19" s="14" t="s">
        <v>86</v>
      </c>
    </row>
    <row r="20" spans="1:13" x14ac:dyDescent="0.25">
      <c r="A20" s="14" t="s">
        <v>43</v>
      </c>
      <c r="B20" s="14" t="s">
        <v>1354</v>
      </c>
      <c r="C20" s="14" t="s">
        <v>1355</v>
      </c>
      <c r="D20" s="14" t="s">
        <v>56</v>
      </c>
      <c r="E20" s="14">
        <v>1</v>
      </c>
      <c r="F20" s="14">
        <v>0</v>
      </c>
      <c r="G20" s="14">
        <v>0</v>
      </c>
      <c r="H20" s="14">
        <v>1</v>
      </c>
      <c r="I20" s="14">
        <v>0</v>
      </c>
      <c r="J20" s="18">
        <v>0</v>
      </c>
      <c r="K20" s="14">
        <v>1</v>
      </c>
      <c r="L20" s="18">
        <v>0</v>
      </c>
      <c r="M20" s="14" t="s">
        <v>86</v>
      </c>
    </row>
    <row r="21" spans="1:13" x14ac:dyDescent="0.25">
      <c r="A21" s="14" t="s">
        <v>39</v>
      </c>
      <c r="B21" s="14" t="s">
        <v>1356</v>
      </c>
      <c r="C21" s="14" t="s">
        <v>1357</v>
      </c>
      <c r="D21" s="14" t="s">
        <v>50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15.78</v>
      </c>
      <c r="M21" s="14" t="s">
        <v>86</v>
      </c>
    </row>
    <row r="22" spans="1:13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8"/>
      <c r="K22" s="14"/>
      <c r="L22" s="18"/>
      <c r="M22" s="14"/>
    </row>
    <row r="23" spans="1:13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8"/>
      <c r="K23" s="14"/>
      <c r="L23" s="18"/>
      <c r="M23" s="14"/>
    </row>
    <row r="24" spans="1:13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8"/>
      <c r="K24" s="14"/>
      <c r="L24" s="18"/>
      <c r="M24" s="14"/>
    </row>
    <row r="25" spans="1:13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8"/>
      <c r="K25" s="14"/>
      <c r="L25" s="18"/>
      <c r="M25" s="14"/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8"/>
      <c r="K26" s="14"/>
      <c r="L26" s="18"/>
      <c r="M26" s="14"/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C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C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C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1358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49</v>
      </c>
      <c r="B4" s="14" t="s">
        <v>1359</v>
      </c>
      <c r="C4" s="14" t="s">
        <v>1360</v>
      </c>
      <c r="D4" s="14" t="s">
        <v>73</v>
      </c>
      <c r="E4" s="14">
        <v>0</v>
      </c>
      <c r="F4" s="14">
        <v>0</v>
      </c>
      <c r="G4" s="14">
        <v>1</v>
      </c>
      <c r="H4" s="14">
        <v>0</v>
      </c>
      <c r="I4" s="14">
        <v>1</v>
      </c>
      <c r="J4" s="18">
        <v>0</v>
      </c>
      <c r="K4" s="14">
        <v>0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1</v>
      </c>
      <c r="X4" s="18">
        <f t="shared" ref="X4:X15" si="7">SUMIF($A$4:$A$43,$P4,L$4:L$43)</f>
        <v>151.08000000000001</v>
      </c>
    </row>
    <row r="5" spans="1:24" x14ac:dyDescent="0.25">
      <c r="A5" s="14" t="s">
        <v>53</v>
      </c>
      <c r="B5" s="14" t="s">
        <v>1361</v>
      </c>
      <c r="C5" s="14" t="s">
        <v>1362</v>
      </c>
      <c r="D5" s="14" t="s">
        <v>50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33</v>
      </c>
      <c r="K5" s="14">
        <v>1</v>
      </c>
      <c r="L5" s="18">
        <v>0</v>
      </c>
      <c r="M5" s="14" t="s">
        <v>111</v>
      </c>
      <c r="P5" s="14" t="str">
        <f>Setup!$A$5</f>
        <v>Expert 02</v>
      </c>
      <c r="Q5" s="14">
        <f t="shared" si="0"/>
        <v>1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18</v>
      </c>
      <c r="W5" s="14">
        <f t="shared" si="6"/>
        <v>2</v>
      </c>
      <c r="X5" s="18">
        <f t="shared" si="7"/>
        <v>0</v>
      </c>
    </row>
    <row r="6" spans="1:24" x14ac:dyDescent="0.25">
      <c r="A6" s="14" t="s">
        <v>59</v>
      </c>
      <c r="B6" s="14" t="s">
        <v>1363</v>
      </c>
      <c r="C6" s="14" t="s">
        <v>1364</v>
      </c>
      <c r="D6" s="14" t="s">
        <v>70</v>
      </c>
      <c r="E6" s="14">
        <v>1</v>
      </c>
      <c r="F6" s="14">
        <v>0</v>
      </c>
      <c r="G6" s="14">
        <v>0</v>
      </c>
      <c r="H6" s="14">
        <v>1</v>
      </c>
      <c r="I6" s="14">
        <v>0</v>
      </c>
      <c r="J6" s="18">
        <v>33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0</v>
      </c>
      <c r="R6" s="14">
        <f t="shared" si="1"/>
        <v>2</v>
      </c>
      <c r="S6" s="14">
        <f t="shared" si="2"/>
        <v>0</v>
      </c>
      <c r="T6" s="14">
        <f t="shared" si="3"/>
        <v>1</v>
      </c>
      <c r="U6" s="14">
        <f t="shared" si="4"/>
        <v>0</v>
      </c>
      <c r="V6" s="18">
        <f t="shared" si="5"/>
        <v>0</v>
      </c>
      <c r="W6" s="14">
        <f t="shared" si="6"/>
        <v>2</v>
      </c>
      <c r="X6" s="18">
        <f t="shared" si="7"/>
        <v>162.80000000000001</v>
      </c>
    </row>
    <row r="7" spans="1:24" x14ac:dyDescent="0.25">
      <c r="A7" s="14" t="s">
        <v>47</v>
      </c>
      <c r="B7" s="14" t="s">
        <v>1365</v>
      </c>
      <c r="C7" s="14" t="s">
        <v>1366</v>
      </c>
      <c r="D7" s="14" t="s">
        <v>74</v>
      </c>
      <c r="E7" s="14">
        <v>0</v>
      </c>
      <c r="F7" s="14">
        <v>0</v>
      </c>
      <c r="G7" s="14">
        <v>0</v>
      </c>
      <c r="H7" s="14">
        <v>0</v>
      </c>
      <c r="I7" s="14">
        <v>1</v>
      </c>
      <c r="J7" s="18">
        <v>0</v>
      </c>
      <c r="K7" s="14">
        <v>0</v>
      </c>
      <c r="L7" s="18">
        <v>25.61</v>
      </c>
      <c r="M7" s="14" t="s">
        <v>86</v>
      </c>
      <c r="P7" s="14" t="str">
        <f>Setup!$A$7</f>
        <v>Expert 04</v>
      </c>
      <c r="Q7" s="14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66</v>
      </c>
      <c r="W7" s="14">
        <f t="shared" si="6"/>
        <v>2</v>
      </c>
      <c r="X7" s="18">
        <f t="shared" si="7"/>
        <v>101.74</v>
      </c>
    </row>
    <row r="8" spans="1:24" x14ac:dyDescent="0.25">
      <c r="A8" s="14" t="s">
        <v>51</v>
      </c>
      <c r="B8" s="14" t="s">
        <v>1367</v>
      </c>
      <c r="C8" s="14" t="s">
        <v>1368</v>
      </c>
      <c r="D8" s="14" t="s">
        <v>54</v>
      </c>
      <c r="E8" s="14">
        <v>0</v>
      </c>
      <c r="F8" s="14">
        <v>1</v>
      </c>
      <c r="G8" s="14">
        <v>0</v>
      </c>
      <c r="H8" s="14">
        <v>1</v>
      </c>
      <c r="I8" s="14">
        <v>0</v>
      </c>
      <c r="J8" s="18">
        <v>16</v>
      </c>
      <c r="K8" s="14">
        <v>1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1</v>
      </c>
      <c r="V8" s="18">
        <f t="shared" si="5"/>
        <v>39</v>
      </c>
      <c r="W8" s="14">
        <f t="shared" si="6"/>
        <v>1</v>
      </c>
      <c r="X8" s="18">
        <f t="shared" si="7"/>
        <v>137.12</v>
      </c>
    </row>
    <row r="9" spans="1:24" x14ac:dyDescent="0.25">
      <c r="A9" s="14" t="s">
        <v>41</v>
      </c>
      <c r="B9" s="14" t="s">
        <v>1369</v>
      </c>
      <c r="C9" s="14" t="s">
        <v>1370</v>
      </c>
      <c r="D9" s="14" t="s">
        <v>56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8">
        <v>18</v>
      </c>
      <c r="K9" s="14">
        <v>1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0</v>
      </c>
      <c r="S9" s="14">
        <f t="shared" si="2"/>
        <v>1</v>
      </c>
      <c r="T9" s="14">
        <f t="shared" si="3"/>
        <v>0</v>
      </c>
      <c r="U9" s="14">
        <f t="shared" si="4"/>
        <v>1</v>
      </c>
      <c r="V9" s="18">
        <f t="shared" si="5"/>
        <v>0</v>
      </c>
      <c r="W9" s="14">
        <f t="shared" si="6"/>
        <v>0</v>
      </c>
      <c r="X9" s="18">
        <f t="shared" si="7"/>
        <v>0</v>
      </c>
    </row>
    <row r="10" spans="1:24" x14ac:dyDescent="0.25">
      <c r="A10" s="14" t="s">
        <v>45</v>
      </c>
      <c r="B10" s="14" t="s">
        <v>1371</v>
      </c>
      <c r="C10" s="14" t="s">
        <v>1372</v>
      </c>
      <c r="D10" s="14" t="s">
        <v>62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8">
        <v>33</v>
      </c>
      <c r="K10" s="14">
        <v>1</v>
      </c>
      <c r="L10" s="18">
        <v>101.74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2</v>
      </c>
      <c r="S10" s="14">
        <f t="shared" si="2"/>
        <v>0</v>
      </c>
      <c r="T10" s="14">
        <f t="shared" si="3"/>
        <v>1</v>
      </c>
      <c r="U10" s="14">
        <f t="shared" si="4"/>
        <v>0</v>
      </c>
      <c r="V10" s="18">
        <f t="shared" si="5"/>
        <v>16</v>
      </c>
      <c r="W10" s="14">
        <f t="shared" si="6"/>
        <v>2</v>
      </c>
      <c r="X10" s="18">
        <f t="shared" si="7"/>
        <v>0</v>
      </c>
    </row>
    <row r="11" spans="1:24" x14ac:dyDescent="0.25">
      <c r="A11" s="14" t="s">
        <v>39</v>
      </c>
      <c r="B11" s="14" t="s">
        <v>1373</v>
      </c>
      <c r="C11" s="14" t="s">
        <v>1374</v>
      </c>
      <c r="D11" s="14" t="s">
        <v>56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151.08000000000001</v>
      </c>
      <c r="M11" s="14" t="s">
        <v>86</v>
      </c>
      <c r="P11" s="14" t="str">
        <f>Setup!$A$11</f>
        <v>Expert 08</v>
      </c>
      <c r="Q11" s="14">
        <f t="shared" si="0"/>
        <v>3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33</v>
      </c>
      <c r="W11" s="14">
        <f t="shared" si="6"/>
        <v>3</v>
      </c>
      <c r="X11" s="18">
        <f t="shared" si="7"/>
        <v>95.07</v>
      </c>
    </row>
    <row r="12" spans="1:24" x14ac:dyDescent="0.25">
      <c r="A12" s="14" t="s">
        <v>47</v>
      </c>
      <c r="B12" s="14" t="s">
        <v>1375</v>
      </c>
      <c r="C12" s="14" t="s">
        <v>1376</v>
      </c>
      <c r="D12" s="14" t="s">
        <v>64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111.51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1</v>
      </c>
      <c r="X12" s="18">
        <f t="shared" si="7"/>
        <v>0</v>
      </c>
    </row>
    <row r="13" spans="1:24" x14ac:dyDescent="0.25">
      <c r="A13" s="14" t="s">
        <v>53</v>
      </c>
      <c r="B13" s="14" t="s">
        <v>1377</v>
      </c>
      <c r="C13" s="14" t="s">
        <v>1378</v>
      </c>
      <c r="D13" s="14" t="s">
        <v>44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0</v>
      </c>
      <c r="M13" s="14" t="s">
        <v>111</v>
      </c>
      <c r="P13" s="14" t="str">
        <f>Setup!$A$13</f>
        <v>Expert 10</v>
      </c>
      <c r="Q13" s="14">
        <f t="shared" si="0"/>
        <v>0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0</v>
      </c>
      <c r="W13" s="14">
        <f t="shared" si="6"/>
        <v>0</v>
      </c>
      <c r="X13" s="18">
        <f t="shared" si="7"/>
        <v>0</v>
      </c>
    </row>
    <row r="14" spans="1:24" x14ac:dyDescent="0.25">
      <c r="A14" s="14" t="s">
        <v>41</v>
      </c>
      <c r="B14" s="14" t="s">
        <v>1379</v>
      </c>
      <c r="C14" s="14" t="s">
        <v>1380</v>
      </c>
      <c r="D14" s="14" t="s">
        <v>42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2</v>
      </c>
      <c r="R14" s="14">
        <f t="shared" si="1"/>
        <v>0</v>
      </c>
      <c r="S14" s="14">
        <f t="shared" si="2"/>
        <v>1</v>
      </c>
      <c r="T14" s="14">
        <f t="shared" si="3"/>
        <v>1</v>
      </c>
      <c r="U14" s="14">
        <f t="shared" si="4"/>
        <v>0</v>
      </c>
      <c r="V14" s="18">
        <f t="shared" si="5"/>
        <v>33</v>
      </c>
      <c r="W14" s="14">
        <f t="shared" si="6"/>
        <v>2</v>
      </c>
      <c r="X14" s="18">
        <f t="shared" si="7"/>
        <v>0</v>
      </c>
    </row>
    <row r="15" spans="1:24" x14ac:dyDescent="0.25">
      <c r="A15" s="14" t="s">
        <v>47</v>
      </c>
      <c r="B15" s="14" t="s">
        <v>1381</v>
      </c>
      <c r="C15" s="14" t="s">
        <v>1382</v>
      </c>
      <c r="D15" s="14" t="s">
        <v>77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15</v>
      </c>
      <c r="K15" s="14">
        <v>0</v>
      </c>
      <c r="L15" s="18">
        <v>0</v>
      </c>
      <c r="M15" s="14" t="s">
        <v>86</v>
      </c>
      <c r="P15" s="14" t="str">
        <f>Setup!$A$15</f>
        <v>Expert 12</v>
      </c>
      <c r="Q15" s="14">
        <f t="shared" si="0"/>
        <v>0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16</v>
      </c>
      <c r="W15" s="14">
        <f t="shared" si="6"/>
        <v>1</v>
      </c>
      <c r="X15" s="18">
        <f t="shared" si="7"/>
        <v>11.02</v>
      </c>
    </row>
    <row r="16" spans="1:24" x14ac:dyDescent="0.25">
      <c r="A16" s="14" t="s">
        <v>47</v>
      </c>
      <c r="B16" s="14" t="s">
        <v>1383</v>
      </c>
      <c r="C16" s="14" t="s">
        <v>1384</v>
      </c>
      <c r="D16" s="14" t="s">
        <v>76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24</v>
      </c>
      <c r="K16" s="14">
        <v>0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8</v>
      </c>
      <c r="R16" s="20">
        <f t="shared" si="8"/>
        <v>5</v>
      </c>
      <c r="S16" s="20">
        <f t="shared" si="8"/>
        <v>2</v>
      </c>
      <c r="T16" s="20">
        <f t="shared" si="8"/>
        <v>3</v>
      </c>
      <c r="U16" s="20">
        <f t="shared" si="8"/>
        <v>2</v>
      </c>
      <c r="V16" s="21">
        <f t="shared" si="8"/>
        <v>221</v>
      </c>
      <c r="W16" s="20">
        <f t="shared" si="8"/>
        <v>17</v>
      </c>
      <c r="X16" s="21">
        <f t="shared" si="8"/>
        <v>658.82999999999993</v>
      </c>
    </row>
    <row r="17" spans="1:13" x14ac:dyDescent="0.25">
      <c r="A17" s="14" t="s">
        <v>51</v>
      </c>
      <c r="B17" s="14" t="s">
        <v>1385</v>
      </c>
      <c r="C17" s="14" t="s">
        <v>1386</v>
      </c>
      <c r="D17" s="14" t="s">
        <v>60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0</v>
      </c>
      <c r="M17" s="14" t="s">
        <v>86</v>
      </c>
    </row>
    <row r="18" spans="1:13" x14ac:dyDescent="0.25">
      <c r="A18" s="14" t="s">
        <v>43</v>
      </c>
      <c r="B18" s="14" t="s">
        <v>1387</v>
      </c>
      <c r="C18" s="14" t="s">
        <v>1388</v>
      </c>
      <c r="D18" s="14" t="s">
        <v>50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8">
        <v>0</v>
      </c>
      <c r="K18" s="14">
        <v>1</v>
      </c>
      <c r="L18" s="18">
        <v>162.80000000000001</v>
      </c>
      <c r="M18" s="14" t="s">
        <v>86</v>
      </c>
    </row>
    <row r="19" spans="1:13" x14ac:dyDescent="0.25">
      <c r="A19" s="14" t="s">
        <v>45</v>
      </c>
      <c r="B19" s="14" t="s">
        <v>1389</v>
      </c>
      <c r="C19" s="14" t="s">
        <v>1390</v>
      </c>
      <c r="D19" s="14" t="s">
        <v>50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8">
        <v>33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61</v>
      </c>
      <c r="B20" s="14" t="s">
        <v>1391</v>
      </c>
      <c r="C20" s="14" t="s">
        <v>1392</v>
      </c>
      <c r="D20" s="14" t="s">
        <v>46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8">
        <v>16</v>
      </c>
      <c r="K20" s="14">
        <v>1</v>
      </c>
      <c r="L20" s="18">
        <v>11.02</v>
      </c>
      <c r="M20" s="14" t="s">
        <v>86</v>
      </c>
    </row>
    <row r="21" spans="1:13" x14ac:dyDescent="0.25">
      <c r="A21" s="14" t="s">
        <v>43</v>
      </c>
      <c r="B21" s="14" t="s">
        <v>1393</v>
      </c>
      <c r="C21" s="14" t="s">
        <v>1394</v>
      </c>
      <c r="D21" s="14" t="s">
        <v>71</v>
      </c>
      <c r="E21" s="14">
        <v>0</v>
      </c>
      <c r="F21" s="14">
        <v>1</v>
      </c>
      <c r="G21" s="14">
        <v>0</v>
      </c>
      <c r="H21" s="14">
        <v>1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55</v>
      </c>
      <c r="B22" s="14" t="s">
        <v>1395</v>
      </c>
      <c r="C22" s="14" t="s">
        <v>1396</v>
      </c>
      <c r="D22" s="14" t="s">
        <v>66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0</v>
      </c>
      <c r="M22" s="14" t="s">
        <v>86</v>
      </c>
    </row>
    <row r="23" spans="1:13" x14ac:dyDescent="0.25">
      <c r="A23" s="14" t="s">
        <v>59</v>
      </c>
      <c r="B23" s="14" t="s">
        <v>1397</v>
      </c>
      <c r="C23" s="14" t="s">
        <v>1398</v>
      </c>
      <c r="D23" s="14" t="s">
        <v>66</v>
      </c>
      <c r="E23" s="14">
        <v>1</v>
      </c>
      <c r="F23" s="14">
        <v>0</v>
      </c>
      <c r="G23" s="14">
        <v>1</v>
      </c>
      <c r="H23" s="14">
        <v>0</v>
      </c>
      <c r="I23" s="14">
        <v>0</v>
      </c>
      <c r="J23" s="18">
        <v>0</v>
      </c>
      <c r="K23" s="14">
        <v>1</v>
      </c>
      <c r="L23" s="18">
        <v>0</v>
      </c>
      <c r="M23" s="14" t="s">
        <v>86</v>
      </c>
    </row>
    <row r="24" spans="1:13" x14ac:dyDescent="0.25">
      <c r="A24" s="14" t="s">
        <v>53</v>
      </c>
      <c r="B24" s="14" t="s">
        <v>1399</v>
      </c>
      <c r="C24" s="14" t="s">
        <v>1400</v>
      </c>
      <c r="D24" s="14" t="s">
        <v>72</v>
      </c>
      <c r="E24" s="14">
        <v>1</v>
      </c>
      <c r="F24" s="14">
        <v>0</v>
      </c>
      <c r="G24" s="14">
        <v>0</v>
      </c>
      <c r="H24" s="14">
        <v>0</v>
      </c>
      <c r="I24" s="14">
        <v>0</v>
      </c>
      <c r="J24" s="18">
        <v>0</v>
      </c>
      <c r="K24" s="14">
        <v>1</v>
      </c>
      <c r="L24" s="18">
        <v>95.07</v>
      </c>
      <c r="M24" s="14" t="s">
        <v>86</v>
      </c>
    </row>
    <row r="25" spans="1:13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8"/>
      <c r="K25" s="14"/>
      <c r="L25" s="18"/>
      <c r="M25" s="14"/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8"/>
      <c r="K26" s="14"/>
      <c r="L26" s="18"/>
      <c r="M26" s="14"/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D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D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D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1401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43</v>
      </c>
      <c r="B4" s="14" t="s">
        <v>1402</v>
      </c>
      <c r="C4" s="14" t="s">
        <v>1403</v>
      </c>
      <c r="D4" s="14" t="s">
        <v>60</v>
      </c>
      <c r="E4" s="14">
        <v>0</v>
      </c>
      <c r="F4" s="14">
        <v>1</v>
      </c>
      <c r="G4" s="14">
        <v>0</v>
      </c>
      <c r="H4" s="14">
        <v>0</v>
      </c>
      <c r="I4" s="14">
        <v>0</v>
      </c>
      <c r="J4" s="18">
        <v>16</v>
      </c>
      <c r="K4" s="14">
        <v>1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0</v>
      </c>
      <c r="X4" s="18">
        <f t="shared" ref="X4:X15" si="7">SUMIF($A$4:$A$43,$P4,L$4:L$43)</f>
        <v>0</v>
      </c>
    </row>
    <row r="5" spans="1:24" x14ac:dyDescent="0.25">
      <c r="A5" s="14" t="s">
        <v>57</v>
      </c>
      <c r="B5" s="14" t="s">
        <v>1404</v>
      </c>
      <c r="C5" s="14" t="s">
        <v>1405</v>
      </c>
      <c r="D5" s="14" t="s">
        <v>71</v>
      </c>
      <c r="E5" s="14">
        <v>0</v>
      </c>
      <c r="F5" s="14">
        <v>1</v>
      </c>
      <c r="G5" s="14">
        <v>0</v>
      </c>
      <c r="H5" s="14">
        <v>0</v>
      </c>
      <c r="I5" s="14">
        <v>0</v>
      </c>
      <c r="J5" s="18">
        <v>15</v>
      </c>
      <c r="K5" s="14">
        <v>1</v>
      </c>
      <c r="L5" s="18">
        <v>44.37</v>
      </c>
      <c r="M5" s="14" t="s">
        <v>86</v>
      </c>
      <c r="P5" s="14" t="str">
        <f>Setup!$A$5</f>
        <v>Expert 02</v>
      </c>
      <c r="Q5" s="14">
        <f t="shared" si="0"/>
        <v>0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0</v>
      </c>
      <c r="W5" s="14">
        <f t="shared" si="6"/>
        <v>0</v>
      </c>
      <c r="X5" s="18">
        <f t="shared" si="7"/>
        <v>0</v>
      </c>
    </row>
    <row r="6" spans="1:24" x14ac:dyDescent="0.25">
      <c r="A6" s="14" t="s">
        <v>43</v>
      </c>
      <c r="B6" s="14" t="s">
        <v>1406</v>
      </c>
      <c r="C6" s="14" t="s">
        <v>1407</v>
      </c>
      <c r="D6" s="14" t="s">
        <v>72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158.96</v>
      </c>
      <c r="M6" s="14" t="s">
        <v>86</v>
      </c>
      <c r="P6" s="14" t="str">
        <f>Setup!$A$6</f>
        <v>Expert 03</v>
      </c>
      <c r="Q6" s="14">
        <f t="shared" si="0"/>
        <v>3</v>
      </c>
      <c r="R6" s="14">
        <f t="shared" si="1"/>
        <v>1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49</v>
      </c>
      <c r="W6" s="14">
        <f t="shared" si="6"/>
        <v>4</v>
      </c>
      <c r="X6" s="18">
        <f t="shared" si="7"/>
        <v>245.92000000000002</v>
      </c>
    </row>
    <row r="7" spans="1:24" x14ac:dyDescent="0.25">
      <c r="A7" s="14" t="s">
        <v>49</v>
      </c>
      <c r="B7" s="14" t="s">
        <v>1408</v>
      </c>
      <c r="C7" s="14" t="s">
        <v>1409</v>
      </c>
      <c r="D7" s="14" t="s">
        <v>71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67.459999999999994</v>
      </c>
      <c r="M7" s="14" t="s">
        <v>86</v>
      </c>
      <c r="P7" s="14" t="str">
        <f>Setup!$A$7</f>
        <v>Expert 04</v>
      </c>
      <c r="Q7" s="14">
        <f t="shared" si="0"/>
        <v>1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1</v>
      </c>
      <c r="X7" s="18">
        <f t="shared" si="7"/>
        <v>53.01</v>
      </c>
    </row>
    <row r="8" spans="1:24" x14ac:dyDescent="0.25">
      <c r="A8" s="14" t="s">
        <v>61</v>
      </c>
      <c r="B8" s="14" t="s">
        <v>1410</v>
      </c>
      <c r="C8" s="14" t="s">
        <v>1411</v>
      </c>
      <c r="D8" s="14" t="s">
        <v>46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1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1</v>
      </c>
      <c r="X8" s="18">
        <f t="shared" si="7"/>
        <v>0</v>
      </c>
    </row>
    <row r="9" spans="1:24" x14ac:dyDescent="0.25">
      <c r="A9" s="14" t="s">
        <v>55</v>
      </c>
      <c r="B9" s="14" t="s">
        <v>1412</v>
      </c>
      <c r="C9" s="14" t="s">
        <v>1413</v>
      </c>
      <c r="D9" s="14" t="s">
        <v>60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1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24</v>
      </c>
      <c r="W9" s="14">
        <f t="shared" si="6"/>
        <v>1</v>
      </c>
      <c r="X9" s="18">
        <f t="shared" si="7"/>
        <v>67.459999999999994</v>
      </c>
    </row>
    <row r="10" spans="1:24" x14ac:dyDescent="0.25">
      <c r="A10" s="14" t="s">
        <v>55</v>
      </c>
      <c r="B10" s="14" t="s">
        <v>814</v>
      </c>
      <c r="C10" s="14" t="s">
        <v>1414</v>
      </c>
      <c r="D10" s="14" t="s">
        <v>68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8">
        <v>0</v>
      </c>
      <c r="K10" s="14">
        <v>1</v>
      </c>
      <c r="L10" s="18">
        <v>72.680000000000007</v>
      </c>
      <c r="M10" s="14" t="s">
        <v>86</v>
      </c>
      <c r="P10" s="14" t="str">
        <f>Setup!$A$10</f>
        <v>Expert 07</v>
      </c>
      <c r="Q10" s="14">
        <f t="shared" si="0"/>
        <v>1</v>
      </c>
      <c r="R10" s="14">
        <f t="shared" si="1"/>
        <v>1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0</v>
      </c>
      <c r="W10" s="14">
        <f t="shared" si="6"/>
        <v>1</v>
      </c>
      <c r="X10" s="18">
        <f t="shared" si="7"/>
        <v>0</v>
      </c>
    </row>
    <row r="11" spans="1:24" x14ac:dyDescent="0.25">
      <c r="A11" s="14" t="s">
        <v>47</v>
      </c>
      <c r="B11" s="14" t="s">
        <v>1415</v>
      </c>
      <c r="C11" s="14" t="s">
        <v>1416</v>
      </c>
      <c r="D11" s="14" t="s">
        <v>46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0</v>
      </c>
      <c r="W11" s="14">
        <f t="shared" si="6"/>
        <v>0</v>
      </c>
      <c r="X11" s="18">
        <f t="shared" si="7"/>
        <v>0</v>
      </c>
    </row>
    <row r="12" spans="1:24" x14ac:dyDescent="0.25">
      <c r="A12" s="14" t="s">
        <v>49</v>
      </c>
      <c r="B12" s="14" t="s">
        <v>1417</v>
      </c>
      <c r="C12" s="14" t="s">
        <v>1418</v>
      </c>
      <c r="D12" s="14" t="s">
        <v>75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24</v>
      </c>
      <c r="K12" s="14">
        <v>0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1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3</v>
      </c>
      <c r="X12" s="18">
        <f t="shared" si="7"/>
        <v>206.92000000000002</v>
      </c>
    </row>
    <row r="13" spans="1:24" x14ac:dyDescent="0.25">
      <c r="A13" s="14" t="s">
        <v>45</v>
      </c>
      <c r="B13" s="14" t="s">
        <v>1419</v>
      </c>
      <c r="C13" s="14" t="s">
        <v>1420</v>
      </c>
      <c r="D13" s="14" t="s">
        <v>46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53.01</v>
      </c>
      <c r="M13" s="14" t="s">
        <v>86</v>
      </c>
      <c r="P13" s="14" t="str">
        <f>Setup!$A$13</f>
        <v>Expert 10</v>
      </c>
      <c r="Q13" s="14">
        <f t="shared" si="0"/>
        <v>0</v>
      </c>
      <c r="R13" s="14">
        <f t="shared" si="1"/>
        <v>1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15</v>
      </c>
      <c r="W13" s="14">
        <f t="shared" si="6"/>
        <v>2</v>
      </c>
      <c r="X13" s="18">
        <f t="shared" si="7"/>
        <v>44.37</v>
      </c>
    </row>
    <row r="14" spans="1:24" x14ac:dyDescent="0.25">
      <c r="A14" s="14" t="s">
        <v>61</v>
      </c>
      <c r="B14" s="14" t="s">
        <v>1421</v>
      </c>
      <c r="C14" s="14" t="s">
        <v>1422</v>
      </c>
      <c r="D14" s="14" t="s">
        <v>58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8">
        <v>18</v>
      </c>
      <c r="K14" s="14">
        <v>1</v>
      </c>
      <c r="L14" s="18">
        <v>112.49</v>
      </c>
      <c r="M14" s="14" t="s">
        <v>86</v>
      </c>
      <c r="P14" s="14" t="str">
        <f>Setup!$A$14</f>
        <v>Expert 11</v>
      </c>
      <c r="Q14" s="14">
        <f t="shared" si="0"/>
        <v>1</v>
      </c>
      <c r="R14" s="14">
        <f t="shared" si="1"/>
        <v>1</v>
      </c>
      <c r="S14" s="14">
        <f t="shared" si="2"/>
        <v>1</v>
      </c>
      <c r="T14" s="14">
        <f t="shared" si="3"/>
        <v>0</v>
      </c>
      <c r="U14" s="14">
        <f t="shared" si="4"/>
        <v>0</v>
      </c>
      <c r="V14" s="18">
        <f t="shared" si="5"/>
        <v>31</v>
      </c>
      <c r="W14" s="14">
        <f t="shared" si="6"/>
        <v>3</v>
      </c>
      <c r="X14" s="18">
        <f t="shared" si="7"/>
        <v>137.88999999999999</v>
      </c>
    </row>
    <row r="15" spans="1:24" x14ac:dyDescent="0.25">
      <c r="A15" s="14" t="s">
        <v>55</v>
      </c>
      <c r="B15" s="14" t="s">
        <v>1423</v>
      </c>
      <c r="C15" s="14" t="s">
        <v>1424</v>
      </c>
      <c r="D15" s="14" t="s">
        <v>68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134.24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18</v>
      </c>
      <c r="W15" s="14">
        <f t="shared" si="6"/>
        <v>2</v>
      </c>
      <c r="X15" s="18">
        <f t="shared" si="7"/>
        <v>112.49</v>
      </c>
    </row>
    <row r="16" spans="1:24" x14ac:dyDescent="0.25">
      <c r="A16" s="14" t="s">
        <v>59</v>
      </c>
      <c r="B16" s="14" t="s">
        <v>1425</v>
      </c>
      <c r="C16" s="14" t="s">
        <v>1426</v>
      </c>
      <c r="D16" s="14" t="s">
        <v>63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16</v>
      </c>
      <c r="K16" s="14">
        <v>1</v>
      </c>
      <c r="L16" s="18">
        <v>137.88999999999999</v>
      </c>
      <c r="M16" s="14" t="s">
        <v>86</v>
      </c>
      <c r="P16" s="19" t="s">
        <v>112</v>
      </c>
      <c r="Q16" s="20">
        <f t="shared" ref="Q16:X16" si="8">SUM(Q4:Q15)</f>
        <v>9</v>
      </c>
      <c r="R16" s="20">
        <f t="shared" si="8"/>
        <v>5</v>
      </c>
      <c r="S16" s="20">
        <f t="shared" si="8"/>
        <v>1</v>
      </c>
      <c r="T16" s="20">
        <f t="shared" si="8"/>
        <v>0</v>
      </c>
      <c r="U16" s="20">
        <f t="shared" si="8"/>
        <v>0</v>
      </c>
      <c r="V16" s="21">
        <f t="shared" si="8"/>
        <v>137</v>
      </c>
      <c r="W16" s="20">
        <f t="shared" si="8"/>
        <v>18</v>
      </c>
      <c r="X16" s="21">
        <f t="shared" si="8"/>
        <v>868.06</v>
      </c>
    </row>
    <row r="17" spans="1:13" x14ac:dyDescent="0.25">
      <c r="A17" s="14" t="s">
        <v>43</v>
      </c>
      <c r="B17" s="14" t="s">
        <v>1427</v>
      </c>
      <c r="C17" s="14" t="s">
        <v>1428</v>
      </c>
      <c r="D17" s="14" t="s">
        <v>66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33</v>
      </c>
      <c r="K17" s="14">
        <v>1</v>
      </c>
      <c r="L17" s="18">
        <v>34.68</v>
      </c>
      <c r="M17" s="14" t="s">
        <v>111</v>
      </c>
    </row>
    <row r="18" spans="1:13" x14ac:dyDescent="0.25">
      <c r="A18" s="14" t="s">
        <v>59</v>
      </c>
      <c r="B18" s="14" t="s">
        <v>1429</v>
      </c>
      <c r="C18" s="14" t="s">
        <v>1430</v>
      </c>
      <c r="D18" s="14" t="s">
        <v>69</v>
      </c>
      <c r="E18" s="14">
        <v>0</v>
      </c>
      <c r="F18" s="14">
        <v>0</v>
      </c>
      <c r="G18" s="14">
        <v>1</v>
      </c>
      <c r="H18" s="14">
        <v>0</v>
      </c>
      <c r="I18" s="14">
        <v>0</v>
      </c>
      <c r="J18" s="18">
        <v>15</v>
      </c>
      <c r="K18" s="14">
        <v>1</v>
      </c>
      <c r="L18" s="18">
        <v>0</v>
      </c>
      <c r="M18" s="14" t="s">
        <v>86</v>
      </c>
    </row>
    <row r="19" spans="1:13" x14ac:dyDescent="0.25">
      <c r="A19" s="14" t="s">
        <v>57</v>
      </c>
      <c r="B19" s="14" t="s">
        <v>1431</v>
      </c>
      <c r="C19" s="14" t="s">
        <v>1432</v>
      </c>
      <c r="D19" s="14" t="s">
        <v>70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51</v>
      </c>
      <c r="B20" s="14" t="s">
        <v>1433</v>
      </c>
      <c r="C20" s="14" t="s">
        <v>1434</v>
      </c>
      <c r="D20" s="14" t="s">
        <v>75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8">
        <v>0</v>
      </c>
      <c r="K20" s="14">
        <v>0</v>
      </c>
      <c r="L20" s="18">
        <v>0</v>
      </c>
      <c r="M20" s="14" t="s">
        <v>86</v>
      </c>
    </row>
    <row r="21" spans="1:13" x14ac:dyDescent="0.25">
      <c r="A21" s="14" t="s">
        <v>51</v>
      </c>
      <c r="B21" s="14" t="s">
        <v>269</v>
      </c>
      <c r="C21" s="14" t="s">
        <v>1435</v>
      </c>
      <c r="D21" s="14" t="s">
        <v>54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43</v>
      </c>
      <c r="B22" s="14" t="s">
        <v>1436</v>
      </c>
      <c r="C22" s="14" t="s">
        <v>1437</v>
      </c>
      <c r="D22" s="14" t="s">
        <v>68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52.28</v>
      </c>
      <c r="M22" s="14" t="s">
        <v>86</v>
      </c>
    </row>
    <row r="23" spans="1:13" x14ac:dyDescent="0.25">
      <c r="A23" s="14" t="s">
        <v>59</v>
      </c>
      <c r="B23" s="14" t="s">
        <v>1438</v>
      </c>
      <c r="C23" s="14" t="s">
        <v>1439</v>
      </c>
      <c r="D23" s="14" t="s">
        <v>62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0</v>
      </c>
      <c r="M23" s="14" t="s">
        <v>86</v>
      </c>
    </row>
    <row r="24" spans="1:13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8"/>
      <c r="K24" s="14"/>
      <c r="L24" s="18"/>
      <c r="M24" s="14"/>
    </row>
    <row r="25" spans="1:13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8"/>
      <c r="K25" s="14"/>
      <c r="L25" s="18"/>
      <c r="M25" s="14"/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8"/>
      <c r="K26" s="14"/>
      <c r="L26" s="18"/>
      <c r="M26" s="14"/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E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E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E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1440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51</v>
      </c>
      <c r="B4" s="14" t="s">
        <v>1441</v>
      </c>
      <c r="C4" s="14" t="s">
        <v>1442</v>
      </c>
      <c r="D4" s="14" t="s">
        <v>67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8">
        <v>33</v>
      </c>
      <c r="K4" s="14">
        <v>1</v>
      </c>
      <c r="L4" s="18">
        <v>53.18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15</v>
      </c>
      <c r="W4" s="14">
        <f t="shared" ref="W4:W15" si="6">SUMIF($A$4:$A$43,$P4,K$4:K$43)</f>
        <v>1</v>
      </c>
      <c r="X4" s="18">
        <f t="shared" ref="X4:X15" si="7">SUMIF($A$4:$A$43,$P4,L$4:L$43)</f>
        <v>0</v>
      </c>
    </row>
    <row r="5" spans="1:24" x14ac:dyDescent="0.25">
      <c r="A5" s="14" t="s">
        <v>51</v>
      </c>
      <c r="B5" s="14" t="s">
        <v>1443</v>
      </c>
      <c r="C5" s="14" t="s">
        <v>1444</v>
      </c>
      <c r="D5" s="14" t="s">
        <v>44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8">
        <v>15</v>
      </c>
      <c r="K5" s="14">
        <v>1</v>
      </c>
      <c r="L5" s="18">
        <v>0</v>
      </c>
      <c r="M5" s="14" t="s">
        <v>111</v>
      </c>
      <c r="P5" s="14" t="str">
        <f>Setup!$A$5</f>
        <v>Expert 02</v>
      </c>
      <c r="Q5" s="14">
        <f t="shared" si="0"/>
        <v>0</v>
      </c>
      <c r="R5" s="14">
        <f t="shared" si="1"/>
        <v>1</v>
      </c>
      <c r="S5" s="14">
        <f t="shared" si="2"/>
        <v>1</v>
      </c>
      <c r="T5" s="14">
        <f t="shared" si="3"/>
        <v>1</v>
      </c>
      <c r="U5" s="14">
        <f t="shared" si="4"/>
        <v>0</v>
      </c>
      <c r="V5" s="18">
        <f t="shared" si="5"/>
        <v>32</v>
      </c>
      <c r="W5" s="14">
        <f t="shared" si="6"/>
        <v>2</v>
      </c>
      <c r="X5" s="18">
        <f t="shared" si="7"/>
        <v>121.59</v>
      </c>
    </row>
    <row r="6" spans="1:24" x14ac:dyDescent="0.25">
      <c r="A6" s="14" t="s">
        <v>47</v>
      </c>
      <c r="B6" s="14" t="s">
        <v>1445</v>
      </c>
      <c r="C6" s="14" t="s">
        <v>1446</v>
      </c>
      <c r="D6" s="14" t="s">
        <v>69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8">
        <v>18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1</v>
      </c>
      <c r="X6" s="18">
        <f t="shared" si="7"/>
        <v>0</v>
      </c>
    </row>
    <row r="7" spans="1:24" x14ac:dyDescent="0.25">
      <c r="A7" s="14" t="s">
        <v>53</v>
      </c>
      <c r="B7" s="14" t="s">
        <v>1447</v>
      </c>
      <c r="C7" s="14" t="s">
        <v>1448</v>
      </c>
      <c r="D7" s="14" t="s">
        <v>52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173.25</v>
      </c>
      <c r="M7" s="14" t="s">
        <v>86</v>
      </c>
      <c r="P7" s="14" t="str">
        <f>Setup!$A$7</f>
        <v>Expert 04</v>
      </c>
      <c r="Q7" s="14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1</v>
      </c>
      <c r="V7" s="18">
        <f t="shared" si="5"/>
        <v>0</v>
      </c>
      <c r="W7" s="14">
        <f t="shared" si="6"/>
        <v>0</v>
      </c>
      <c r="X7" s="18">
        <f t="shared" si="7"/>
        <v>0</v>
      </c>
    </row>
    <row r="8" spans="1:24" x14ac:dyDescent="0.25">
      <c r="A8" s="14" t="s">
        <v>53</v>
      </c>
      <c r="B8" s="14" t="s">
        <v>1449</v>
      </c>
      <c r="C8" s="14" t="s">
        <v>1450</v>
      </c>
      <c r="D8" s="14" t="s">
        <v>54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8">
        <v>15</v>
      </c>
      <c r="K8" s="14">
        <v>1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1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18</v>
      </c>
      <c r="W8" s="14">
        <f t="shared" si="6"/>
        <v>2</v>
      </c>
      <c r="X8" s="18">
        <f t="shared" si="7"/>
        <v>0</v>
      </c>
    </row>
    <row r="9" spans="1:24" x14ac:dyDescent="0.25">
      <c r="A9" s="14" t="s">
        <v>61</v>
      </c>
      <c r="B9" s="14" t="s">
        <v>1451</v>
      </c>
      <c r="C9" s="14" t="s">
        <v>1452</v>
      </c>
      <c r="D9" s="14" t="s">
        <v>72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1</v>
      </c>
      <c r="X9" s="18">
        <f t="shared" si="7"/>
        <v>125.27</v>
      </c>
    </row>
    <row r="10" spans="1:24" x14ac:dyDescent="0.25">
      <c r="A10" s="14" t="s">
        <v>57</v>
      </c>
      <c r="B10" s="14" t="s">
        <v>1453</v>
      </c>
      <c r="C10" s="14" t="s">
        <v>1454</v>
      </c>
      <c r="D10" s="14" t="s">
        <v>52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33</v>
      </c>
      <c r="K10" s="14">
        <v>1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1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48</v>
      </c>
      <c r="W10" s="14">
        <f t="shared" si="6"/>
        <v>3</v>
      </c>
      <c r="X10" s="18">
        <f t="shared" si="7"/>
        <v>164.06</v>
      </c>
    </row>
    <row r="11" spans="1:24" x14ac:dyDescent="0.25">
      <c r="A11" s="14" t="s">
        <v>41</v>
      </c>
      <c r="B11" s="14" t="s">
        <v>1455</v>
      </c>
      <c r="C11" s="14" t="s">
        <v>1456</v>
      </c>
      <c r="D11" s="14" t="s">
        <v>66</v>
      </c>
      <c r="E11" s="14">
        <v>0</v>
      </c>
      <c r="F11" s="14">
        <v>1</v>
      </c>
      <c r="G11" s="14">
        <v>0</v>
      </c>
      <c r="H11" s="14">
        <v>1</v>
      </c>
      <c r="I11" s="14">
        <v>0</v>
      </c>
      <c r="J11" s="18">
        <v>16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1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15</v>
      </c>
      <c r="W11" s="14">
        <f t="shared" si="6"/>
        <v>2</v>
      </c>
      <c r="X11" s="18">
        <f t="shared" si="7"/>
        <v>173.25</v>
      </c>
    </row>
    <row r="12" spans="1:24" x14ac:dyDescent="0.25">
      <c r="A12" s="14" t="s">
        <v>39</v>
      </c>
      <c r="B12" s="14" t="s">
        <v>1457</v>
      </c>
      <c r="C12" s="14" t="s">
        <v>1458</v>
      </c>
      <c r="D12" s="14" t="s">
        <v>52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15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1</v>
      </c>
      <c r="V12" s="18">
        <f t="shared" si="5"/>
        <v>0</v>
      </c>
      <c r="W12" s="14">
        <f t="shared" si="6"/>
        <v>0</v>
      </c>
      <c r="X12" s="18">
        <f t="shared" si="7"/>
        <v>66.680000000000007</v>
      </c>
    </row>
    <row r="13" spans="1:24" x14ac:dyDescent="0.25">
      <c r="A13" s="14" t="s">
        <v>41</v>
      </c>
      <c r="B13" s="14" t="s">
        <v>1459</v>
      </c>
      <c r="C13" s="14" t="s">
        <v>1460</v>
      </c>
      <c r="D13" s="14" t="s">
        <v>62</v>
      </c>
      <c r="E13" s="14">
        <v>0</v>
      </c>
      <c r="F13" s="14">
        <v>0</v>
      </c>
      <c r="G13" s="14">
        <v>1</v>
      </c>
      <c r="H13" s="14">
        <v>0</v>
      </c>
      <c r="I13" s="14">
        <v>0</v>
      </c>
      <c r="J13" s="18">
        <v>16</v>
      </c>
      <c r="K13" s="14">
        <v>1</v>
      </c>
      <c r="L13" s="18">
        <v>121.59</v>
      </c>
      <c r="M13" s="14" t="s">
        <v>86</v>
      </c>
      <c r="P13" s="14" t="str">
        <f>Setup!$A$13</f>
        <v>Expert 10</v>
      </c>
      <c r="Q13" s="14">
        <f t="shared" si="0"/>
        <v>2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33</v>
      </c>
      <c r="W13" s="14">
        <f t="shared" si="6"/>
        <v>2</v>
      </c>
      <c r="X13" s="18">
        <f t="shared" si="7"/>
        <v>68.819999999999993</v>
      </c>
    </row>
    <row r="14" spans="1:24" x14ac:dyDescent="0.25">
      <c r="A14" s="14" t="s">
        <v>61</v>
      </c>
      <c r="B14" s="14" t="s">
        <v>781</v>
      </c>
      <c r="C14" s="14" t="s">
        <v>1461</v>
      </c>
      <c r="D14" s="14" t="s">
        <v>44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0</v>
      </c>
      <c r="W14" s="14">
        <f t="shared" si="6"/>
        <v>0</v>
      </c>
      <c r="X14" s="18">
        <f t="shared" si="7"/>
        <v>0</v>
      </c>
    </row>
    <row r="15" spans="1:24" x14ac:dyDescent="0.25">
      <c r="A15" s="14" t="s">
        <v>57</v>
      </c>
      <c r="B15" s="14" t="s">
        <v>1462</v>
      </c>
      <c r="C15" s="14" t="s">
        <v>1463</v>
      </c>
      <c r="D15" s="14" t="s">
        <v>72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68.819999999999993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2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51</v>
      </c>
      <c r="W15" s="14">
        <f t="shared" si="6"/>
        <v>4</v>
      </c>
      <c r="X15" s="18">
        <f t="shared" si="7"/>
        <v>321.89999999999998</v>
      </c>
    </row>
    <row r="16" spans="1:24" x14ac:dyDescent="0.25">
      <c r="A16" s="14" t="s">
        <v>45</v>
      </c>
      <c r="B16" s="14" t="s">
        <v>1464</v>
      </c>
      <c r="C16" s="14" t="s">
        <v>1465</v>
      </c>
      <c r="D16" s="14" t="s">
        <v>74</v>
      </c>
      <c r="E16" s="14">
        <v>0</v>
      </c>
      <c r="F16" s="14">
        <v>0</v>
      </c>
      <c r="G16" s="14">
        <v>0</v>
      </c>
      <c r="H16" s="14">
        <v>0</v>
      </c>
      <c r="I16" s="14">
        <v>1</v>
      </c>
      <c r="J16" s="18">
        <v>0</v>
      </c>
      <c r="K16" s="14">
        <v>0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5</v>
      </c>
      <c r="R16" s="20">
        <f t="shared" si="8"/>
        <v>6</v>
      </c>
      <c r="S16" s="20">
        <f t="shared" si="8"/>
        <v>1</v>
      </c>
      <c r="T16" s="20">
        <f t="shared" si="8"/>
        <v>1</v>
      </c>
      <c r="U16" s="20">
        <f t="shared" si="8"/>
        <v>2</v>
      </c>
      <c r="V16" s="21">
        <f t="shared" si="8"/>
        <v>212</v>
      </c>
      <c r="W16" s="20">
        <f t="shared" si="8"/>
        <v>18</v>
      </c>
      <c r="X16" s="21">
        <f t="shared" si="8"/>
        <v>1041.5700000000002</v>
      </c>
    </row>
    <row r="17" spans="1:13" x14ac:dyDescent="0.25">
      <c r="A17" s="14" t="s">
        <v>51</v>
      </c>
      <c r="B17" s="14" t="s">
        <v>1466</v>
      </c>
      <c r="C17" s="14" t="s">
        <v>1467</v>
      </c>
      <c r="D17" s="14" t="s">
        <v>63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110.88</v>
      </c>
      <c r="M17" s="14" t="s">
        <v>86</v>
      </c>
    </row>
    <row r="18" spans="1:13" x14ac:dyDescent="0.25">
      <c r="A18" s="14" t="s">
        <v>61</v>
      </c>
      <c r="B18" s="14" t="s">
        <v>1468</v>
      </c>
      <c r="C18" s="14" t="s">
        <v>1469</v>
      </c>
      <c r="D18" s="14" t="s">
        <v>46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18</v>
      </c>
      <c r="K18" s="14">
        <v>1</v>
      </c>
      <c r="L18" s="18">
        <v>159.15</v>
      </c>
      <c r="M18" s="14" t="s">
        <v>86</v>
      </c>
    </row>
    <row r="19" spans="1:13" x14ac:dyDescent="0.25">
      <c r="A19" s="14" t="s">
        <v>47</v>
      </c>
      <c r="B19" s="14" t="s">
        <v>1470</v>
      </c>
      <c r="C19" s="14" t="s">
        <v>1471</v>
      </c>
      <c r="D19" s="14" t="s">
        <v>66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55</v>
      </c>
      <c r="B20" s="14" t="s">
        <v>1472</v>
      </c>
      <c r="C20" s="14" t="s">
        <v>1473</v>
      </c>
      <c r="D20" s="14" t="s">
        <v>74</v>
      </c>
      <c r="E20" s="14">
        <v>0</v>
      </c>
      <c r="F20" s="14">
        <v>0</v>
      </c>
      <c r="G20" s="14">
        <v>0</v>
      </c>
      <c r="H20" s="14">
        <v>0</v>
      </c>
      <c r="I20" s="14">
        <v>1</v>
      </c>
      <c r="J20" s="18">
        <v>0</v>
      </c>
      <c r="K20" s="14">
        <v>0</v>
      </c>
      <c r="L20" s="18">
        <v>66.680000000000007</v>
      </c>
      <c r="M20" s="14" t="s">
        <v>111</v>
      </c>
    </row>
    <row r="21" spans="1:13" x14ac:dyDescent="0.25">
      <c r="A21" s="14" t="s">
        <v>43</v>
      </c>
      <c r="B21" s="14" t="s">
        <v>1474</v>
      </c>
      <c r="C21" s="14" t="s">
        <v>1475</v>
      </c>
      <c r="D21" s="14" t="s">
        <v>63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61</v>
      </c>
      <c r="B22" s="14" t="s">
        <v>1186</v>
      </c>
      <c r="C22" s="14" t="s">
        <v>1476</v>
      </c>
      <c r="D22" s="14" t="s">
        <v>67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8">
        <v>33</v>
      </c>
      <c r="K22" s="14">
        <v>1</v>
      </c>
      <c r="L22" s="18">
        <v>162.75</v>
      </c>
      <c r="M22" s="14" t="s">
        <v>86</v>
      </c>
    </row>
    <row r="23" spans="1:13" x14ac:dyDescent="0.25">
      <c r="A23" s="14" t="s">
        <v>49</v>
      </c>
      <c r="B23" s="14" t="s">
        <v>1477</v>
      </c>
      <c r="C23" s="14" t="s">
        <v>1478</v>
      </c>
      <c r="D23" s="14" t="s">
        <v>71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125.27</v>
      </c>
      <c r="M23" s="14" t="s">
        <v>86</v>
      </c>
    </row>
    <row r="24" spans="1:13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8"/>
      <c r="K24" s="14"/>
      <c r="L24" s="18"/>
      <c r="M24" s="14"/>
    </row>
    <row r="25" spans="1:13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8"/>
      <c r="K25" s="14"/>
      <c r="L25" s="18"/>
      <c r="M25" s="14"/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8"/>
      <c r="K26" s="14"/>
      <c r="L26" s="18"/>
      <c r="M26" s="14"/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1F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1F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1F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1479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57</v>
      </c>
      <c r="B4" s="14" t="s">
        <v>1480</v>
      </c>
      <c r="C4" s="14" t="s">
        <v>1481</v>
      </c>
      <c r="D4" s="14" t="s">
        <v>40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0</v>
      </c>
      <c r="K4" s="14">
        <v>1</v>
      </c>
      <c r="L4" s="18">
        <v>73.180000000000007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15</v>
      </c>
      <c r="W4" s="14">
        <f t="shared" ref="W4:W15" si="6">SUMIF($A$4:$A$43,$P4,K$4:K$43)</f>
        <v>1</v>
      </c>
      <c r="X4" s="18">
        <f t="shared" ref="X4:X15" si="7">SUMIF($A$4:$A$43,$P4,L$4:L$43)</f>
        <v>77.819999999999993</v>
      </c>
    </row>
    <row r="5" spans="1:24" x14ac:dyDescent="0.25">
      <c r="A5" s="14" t="s">
        <v>61</v>
      </c>
      <c r="B5" s="14" t="s">
        <v>1482</v>
      </c>
      <c r="C5" s="14" t="s">
        <v>1483</v>
      </c>
      <c r="D5" s="14" t="s">
        <v>46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42</v>
      </c>
      <c r="W5" s="14">
        <f t="shared" si="6"/>
        <v>2</v>
      </c>
      <c r="X5" s="18">
        <f t="shared" si="7"/>
        <v>94.86</v>
      </c>
    </row>
    <row r="6" spans="1:24" x14ac:dyDescent="0.25">
      <c r="A6" s="14" t="s">
        <v>51</v>
      </c>
      <c r="B6" s="14" t="s">
        <v>1484</v>
      </c>
      <c r="C6" s="14" t="s">
        <v>1485</v>
      </c>
      <c r="D6" s="14" t="s">
        <v>68</v>
      </c>
      <c r="E6" s="14">
        <v>0</v>
      </c>
      <c r="F6" s="14">
        <v>0</v>
      </c>
      <c r="G6" s="14">
        <v>1</v>
      </c>
      <c r="H6" s="14">
        <v>0</v>
      </c>
      <c r="I6" s="14">
        <v>0</v>
      </c>
      <c r="J6" s="18">
        <v>0</v>
      </c>
      <c r="K6" s="14">
        <v>1</v>
      </c>
      <c r="L6" s="18">
        <v>0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33</v>
      </c>
      <c r="W6" s="14">
        <f t="shared" si="6"/>
        <v>2</v>
      </c>
      <c r="X6" s="18">
        <f t="shared" si="7"/>
        <v>229.51999999999998</v>
      </c>
    </row>
    <row r="7" spans="1:24" x14ac:dyDescent="0.25">
      <c r="A7" s="14" t="s">
        <v>39</v>
      </c>
      <c r="B7" s="14" t="s">
        <v>1486</v>
      </c>
      <c r="C7" s="14" t="s">
        <v>1487</v>
      </c>
      <c r="D7" s="14" t="s">
        <v>50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0</v>
      </c>
      <c r="M7" s="14" t="s">
        <v>86</v>
      </c>
      <c r="P7" s="14" t="str">
        <f>Setup!$A$7</f>
        <v>Expert 04</v>
      </c>
      <c r="Q7" s="14">
        <f t="shared" si="0"/>
        <v>2</v>
      </c>
      <c r="R7" s="14">
        <f t="shared" si="1"/>
        <v>1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48</v>
      </c>
      <c r="W7" s="14">
        <f t="shared" si="6"/>
        <v>2</v>
      </c>
      <c r="X7" s="18">
        <f t="shared" si="7"/>
        <v>265.36</v>
      </c>
    </row>
    <row r="8" spans="1:24" x14ac:dyDescent="0.25">
      <c r="A8" s="14" t="s">
        <v>39</v>
      </c>
      <c r="B8" s="14" t="s">
        <v>1488</v>
      </c>
      <c r="C8" s="14" t="s">
        <v>1489</v>
      </c>
      <c r="D8" s="14" t="s">
        <v>76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8">
        <v>15</v>
      </c>
      <c r="K8" s="14">
        <v>0</v>
      </c>
      <c r="L8" s="18">
        <v>77.819999999999993</v>
      </c>
      <c r="M8" s="14" t="s">
        <v>111</v>
      </c>
      <c r="P8" s="14" t="str">
        <f>Setup!$A$8</f>
        <v>Expert 05</v>
      </c>
      <c r="Q8" s="14">
        <f t="shared" si="0"/>
        <v>1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0</v>
      </c>
      <c r="W8" s="14">
        <f t="shared" si="6"/>
        <v>2</v>
      </c>
      <c r="X8" s="18">
        <f t="shared" si="7"/>
        <v>0</v>
      </c>
    </row>
    <row r="9" spans="1:24" x14ac:dyDescent="0.25">
      <c r="A9" s="14" t="s">
        <v>57</v>
      </c>
      <c r="B9" s="14" t="s">
        <v>1490</v>
      </c>
      <c r="C9" s="14" t="s">
        <v>1491</v>
      </c>
      <c r="D9" s="14" t="s">
        <v>72</v>
      </c>
      <c r="E9" s="14">
        <v>1</v>
      </c>
      <c r="F9" s="14">
        <v>0</v>
      </c>
      <c r="G9" s="14">
        <v>0</v>
      </c>
      <c r="H9" s="14">
        <v>0</v>
      </c>
      <c r="I9" s="14">
        <v>0</v>
      </c>
      <c r="J9" s="18">
        <v>24</v>
      </c>
      <c r="K9" s="14">
        <v>1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1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2</v>
      </c>
      <c r="X9" s="18">
        <f t="shared" si="7"/>
        <v>194.25</v>
      </c>
    </row>
    <row r="10" spans="1:24" x14ac:dyDescent="0.25">
      <c r="A10" s="14" t="s">
        <v>61</v>
      </c>
      <c r="B10" s="14" t="s">
        <v>1492</v>
      </c>
      <c r="C10" s="14" t="s">
        <v>1493</v>
      </c>
      <c r="D10" s="14" t="s">
        <v>76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8">
        <v>24</v>
      </c>
      <c r="K10" s="14">
        <v>0</v>
      </c>
      <c r="L10" s="18">
        <v>45.82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1</v>
      </c>
      <c r="T10" s="14">
        <f t="shared" si="3"/>
        <v>0</v>
      </c>
      <c r="U10" s="14">
        <f t="shared" si="4"/>
        <v>0</v>
      </c>
      <c r="V10" s="18">
        <f t="shared" si="5"/>
        <v>24</v>
      </c>
      <c r="W10" s="14">
        <f t="shared" si="6"/>
        <v>2</v>
      </c>
      <c r="X10" s="18">
        <f t="shared" si="7"/>
        <v>0</v>
      </c>
    </row>
    <row r="11" spans="1:24" x14ac:dyDescent="0.25">
      <c r="A11" s="14" t="s">
        <v>49</v>
      </c>
      <c r="B11" s="14" t="s">
        <v>1494</v>
      </c>
      <c r="C11" s="14" t="s">
        <v>1495</v>
      </c>
      <c r="D11" s="14" t="s">
        <v>54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8">
        <v>0</v>
      </c>
      <c r="K11" s="14">
        <v>1</v>
      </c>
      <c r="L11" s="18">
        <v>91.04</v>
      </c>
      <c r="M11" s="14" t="s">
        <v>111</v>
      </c>
      <c r="P11" s="14" t="str">
        <f>Setup!$A$11</f>
        <v>Expert 08</v>
      </c>
      <c r="Q11" s="14">
        <f t="shared" si="0"/>
        <v>1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24</v>
      </c>
      <c r="W11" s="14">
        <f t="shared" si="6"/>
        <v>1</v>
      </c>
      <c r="X11" s="18">
        <f t="shared" si="7"/>
        <v>0</v>
      </c>
    </row>
    <row r="12" spans="1:24" x14ac:dyDescent="0.25">
      <c r="A12" s="14" t="s">
        <v>49</v>
      </c>
      <c r="B12" s="14" t="s">
        <v>1496</v>
      </c>
      <c r="C12" s="14" t="s">
        <v>1497</v>
      </c>
      <c r="D12" s="14" t="s">
        <v>77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0</v>
      </c>
      <c r="L12" s="18">
        <v>81.02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0</v>
      </c>
      <c r="X12" s="18">
        <f t="shared" si="7"/>
        <v>0</v>
      </c>
    </row>
    <row r="13" spans="1:24" x14ac:dyDescent="0.25">
      <c r="A13" s="14" t="s">
        <v>61</v>
      </c>
      <c r="B13" s="14" t="s">
        <v>1477</v>
      </c>
      <c r="C13" s="14" t="s">
        <v>1498</v>
      </c>
      <c r="D13" s="14" t="s">
        <v>74</v>
      </c>
      <c r="E13" s="14">
        <v>0</v>
      </c>
      <c r="F13" s="14">
        <v>0</v>
      </c>
      <c r="G13" s="14">
        <v>0</v>
      </c>
      <c r="H13" s="14">
        <v>0</v>
      </c>
      <c r="I13" s="14">
        <v>1</v>
      </c>
      <c r="J13" s="18">
        <v>0</v>
      </c>
      <c r="K13" s="14">
        <v>0</v>
      </c>
      <c r="L13" s="18">
        <v>35.92</v>
      </c>
      <c r="M13" s="14" t="s">
        <v>86</v>
      </c>
      <c r="P13" s="14" t="str">
        <f>Setup!$A$13</f>
        <v>Expert 10</v>
      </c>
      <c r="Q13" s="14">
        <f t="shared" si="0"/>
        <v>3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42</v>
      </c>
      <c r="W13" s="14">
        <f t="shared" si="6"/>
        <v>3</v>
      </c>
      <c r="X13" s="18">
        <f t="shared" si="7"/>
        <v>111.78</v>
      </c>
    </row>
    <row r="14" spans="1:24" x14ac:dyDescent="0.25">
      <c r="A14" s="14" t="s">
        <v>45</v>
      </c>
      <c r="B14" s="14" t="s">
        <v>1499</v>
      </c>
      <c r="C14" s="14" t="s">
        <v>1500</v>
      </c>
      <c r="D14" s="14" t="s">
        <v>54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24</v>
      </c>
      <c r="K14" s="14">
        <v>1</v>
      </c>
      <c r="L14" s="18">
        <v>46.89</v>
      </c>
      <c r="M14" s="14" t="s">
        <v>86</v>
      </c>
      <c r="P14" s="14" t="str">
        <f>Setup!$A$14</f>
        <v>Expert 11</v>
      </c>
      <c r="Q14" s="14">
        <f t="shared" si="0"/>
        <v>1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0</v>
      </c>
      <c r="W14" s="14">
        <f t="shared" si="6"/>
        <v>1</v>
      </c>
      <c r="X14" s="18">
        <f t="shared" si="7"/>
        <v>153.56</v>
      </c>
    </row>
    <row r="15" spans="1:24" x14ac:dyDescent="0.25">
      <c r="A15" s="14" t="s">
        <v>59</v>
      </c>
      <c r="B15" s="14" t="s">
        <v>1501</v>
      </c>
      <c r="C15" s="14" t="s">
        <v>1502</v>
      </c>
      <c r="D15" s="14" t="s">
        <v>67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0</v>
      </c>
      <c r="K15" s="14">
        <v>1</v>
      </c>
      <c r="L15" s="18">
        <v>153.56</v>
      </c>
      <c r="M15" s="14" t="s">
        <v>86</v>
      </c>
      <c r="P15" s="14" t="str">
        <f>Setup!$A$15</f>
        <v>Expert 12</v>
      </c>
      <c r="Q15" s="14">
        <f t="shared" si="0"/>
        <v>2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1</v>
      </c>
      <c r="V15" s="18">
        <f t="shared" si="5"/>
        <v>75</v>
      </c>
      <c r="W15" s="14">
        <f t="shared" si="6"/>
        <v>4</v>
      </c>
      <c r="X15" s="18">
        <f t="shared" si="7"/>
        <v>412.52000000000004</v>
      </c>
    </row>
    <row r="16" spans="1:24" x14ac:dyDescent="0.25">
      <c r="A16" s="14" t="s">
        <v>51</v>
      </c>
      <c r="B16" s="14" t="s">
        <v>1503</v>
      </c>
      <c r="C16" s="14" t="s">
        <v>1504</v>
      </c>
      <c r="D16" s="14" t="s">
        <v>48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24</v>
      </c>
      <c r="K16" s="14">
        <v>1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14</v>
      </c>
      <c r="R16" s="20">
        <f t="shared" si="8"/>
        <v>1</v>
      </c>
      <c r="S16" s="20">
        <f t="shared" si="8"/>
        <v>1</v>
      </c>
      <c r="T16" s="20">
        <f t="shared" si="8"/>
        <v>0</v>
      </c>
      <c r="U16" s="20">
        <f t="shared" si="8"/>
        <v>1</v>
      </c>
      <c r="V16" s="21">
        <f t="shared" si="8"/>
        <v>303</v>
      </c>
      <c r="W16" s="20">
        <f t="shared" si="8"/>
        <v>22</v>
      </c>
      <c r="X16" s="21">
        <f t="shared" si="8"/>
        <v>1539.6699999999998</v>
      </c>
    </row>
    <row r="17" spans="1:13" x14ac:dyDescent="0.25">
      <c r="A17" s="14" t="s">
        <v>61</v>
      </c>
      <c r="B17" s="14" t="s">
        <v>1505</v>
      </c>
      <c r="C17" s="14" t="s">
        <v>1506</v>
      </c>
      <c r="D17" s="14" t="s">
        <v>67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100.04</v>
      </c>
      <c r="M17" s="14" t="s">
        <v>86</v>
      </c>
    </row>
    <row r="18" spans="1:13" x14ac:dyDescent="0.25">
      <c r="A18" s="14" t="s">
        <v>47</v>
      </c>
      <c r="B18" s="14" t="s">
        <v>1507</v>
      </c>
      <c r="C18" s="14" t="s">
        <v>1508</v>
      </c>
      <c r="D18" s="14" t="s">
        <v>52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0</v>
      </c>
      <c r="K18" s="14">
        <v>1</v>
      </c>
      <c r="L18" s="18">
        <v>0</v>
      </c>
      <c r="M18" s="14" t="s">
        <v>86</v>
      </c>
    </row>
    <row r="19" spans="1:13" x14ac:dyDescent="0.25">
      <c r="A19" s="14" t="s">
        <v>43</v>
      </c>
      <c r="B19" s="14" t="s">
        <v>1509</v>
      </c>
      <c r="C19" s="14" t="s">
        <v>1510</v>
      </c>
      <c r="D19" s="14" t="s">
        <v>50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33</v>
      </c>
      <c r="K19" s="14">
        <v>1</v>
      </c>
      <c r="L19" s="18">
        <v>78.709999999999994</v>
      </c>
      <c r="M19" s="14" t="s">
        <v>86</v>
      </c>
    </row>
    <row r="20" spans="1:13" x14ac:dyDescent="0.25">
      <c r="A20" s="14" t="s">
        <v>41</v>
      </c>
      <c r="B20" s="14" t="s">
        <v>195</v>
      </c>
      <c r="C20" s="14" t="s">
        <v>1511</v>
      </c>
      <c r="D20" s="14" t="s">
        <v>46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8">
        <v>24</v>
      </c>
      <c r="K20" s="14">
        <v>1</v>
      </c>
      <c r="L20" s="18">
        <v>0</v>
      </c>
      <c r="M20" s="14" t="s">
        <v>86</v>
      </c>
    </row>
    <row r="21" spans="1:13" x14ac:dyDescent="0.25">
      <c r="A21" s="14" t="s">
        <v>41</v>
      </c>
      <c r="B21" s="14" t="s">
        <v>1512</v>
      </c>
      <c r="C21" s="14" t="s">
        <v>1513</v>
      </c>
      <c r="D21" s="14" t="s">
        <v>42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18</v>
      </c>
      <c r="K21" s="14">
        <v>1</v>
      </c>
      <c r="L21" s="18">
        <v>94.86</v>
      </c>
      <c r="M21" s="14" t="s">
        <v>86</v>
      </c>
    </row>
    <row r="22" spans="1:13" x14ac:dyDescent="0.25">
      <c r="A22" s="14" t="s">
        <v>45</v>
      </c>
      <c r="B22" s="14" t="s">
        <v>1514</v>
      </c>
      <c r="C22" s="14" t="s">
        <v>1515</v>
      </c>
      <c r="D22" s="14" t="s">
        <v>46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0</v>
      </c>
      <c r="K22" s="14">
        <v>1</v>
      </c>
      <c r="L22" s="18">
        <v>63.02</v>
      </c>
      <c r="M22" s="14" t="s">
        <v>86</v>
      </c>
    </row>
    <row r="23" spans="1:13" x14ac:dyDescent="0.25">
      <c r="A23" s="14" t="s">
        <v>61</v>
      </c>
      <c r="B23" s="14" t="s">
        <v>1516</v>
      </c>
      <c r="C23" s="14" t="s">
        <v>1517</v>
      </c>
      <c r="D23" s="14" t="s">
        <v>56</v>
      </c>
      <c r="E23" s="14">
        <v>1</v>
      </c>
      <c r="F23" s="14">
        <v>0</v>
      </c>
      <c r="G23" s="14">
        <v>0</v>
      </c>
      <c r="H23" s="14">
        <v>0</v>
      </c>
      <c r="I23" s="14">
        <v>0</v>
      </c>
      <c r="J23" s="18">
        <v>33</v>
      </c>
      <c r="K23" s="14">
        <v>1</v>
      </c>
      <c r="L23" s="18">
        <v>153.80000000000001</v>
      </c>
      <c r="M23" s="14" t="s">
        <v>86</v>
      </c>
    </row>
    <row r="24" spans="1:13" x14ac:dyDescent="0.25">
      <c r="A24" s="14" t="s">
        <v>57</v>
      </c>
      <c r="B24" s="14" t="s">
        <v>1518</v>
      </c>
      <c r="C24" s="14" t="s">
        <v>1519</v>
      </c>
      <c r="D24" s="14" t="s">
        <v>66</v>
      </c>
      <c r="E24" s="14">
        <v>1</v>
      </c>
      <c r="F24" s="14">
        <v>0</v>
      </c>
      <c r="G24" s="14">
        <v>0</v>
      </c>
      <c r="H24" s="14">
        <v>0</v>
      </c>
      <c r="I24" s="14">
        <v>0</v>
      </c>
      <c r="J24" s="18">
        <v>0</v>
      </c>
      <c r="K24" s="14">
        <v>1</v>
      </c>
      <c r="L24" s="18">
        <v>38.6</v>
      </c>
      <c r="M24" s="14" t="s">
        <v>86</v>
      </c>
    </row>
    <row r="25" spans="1:13" x14ac:dyDescent="0.25">
      <c r="A25" s="14" t="s">
        <v>47</v>
      </c>
      <c r="B25" s="14" t="s">
        <v>1520</v>
      </c>
      <c r="C25" s="14" t="s">
        <v>1521</v>
      </c>
      <c r="D25" s="14" t="s">
        <v>60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0</v>
      </c>
      <c r="K25" s="14">
        <v>1</v>
      </c>
      <c r="L25" s="18">
        <v>0</v>
      </c>
      <c r="M25" s="14" t="s">
        <v>86</v>
      </c>
    </row>
    <row r="26" spans="1:13" x14ac:dyDescent="0.25">
      <c r="A26" s="14" t="s">
        <v>49</v>
      </c>
      <c r="B26" s="14" t="s">
        <v>1522</v>
      </c>
      <c r="C26" s="14" t="s">
        <v>1523</v>
      </c>
      <c r="D26" s="14" t="s">
        <v>50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22.19</v>
      </c>
      <c r="M26" s="14" t="s">
        <v>86</v>
      </c>
    </row>
    <row r="27" spans="1:13" x14ac:dyDescent="0.25">
      <c r="A27" s="14" t="s">
        <v>45</v>
      </c>
      <c r="B27" s="14" t="s">
        <v>1524</v>
      </c>
      <c r="C27" s="14" t="s">
        <v>1525</v>
      </c>
      <c r="D27" s="14" t="s">
        <v>75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8">
        <v>24</v>
      </c>
      <c r="K27" s="14">
        <v>0</v>
      </c>
      <c r="L27" s="18">
        <v>155.44999999999999</v>
      </c>
      <c r="M27" s="14" t="s">
        <v>86</v>
      </c>
    </row>
    <row r="28" spans="1:13" x14ac:dyDescent="0.25">
      <c r="A28" s="14" t="s">
        <v>43</v>
      </c>
      <c r="B28" s="14" t="s">
        <v>1526</v>
      </c>
      <c r="C28" s="14" t="s">
        <v>1527</v>
      </c>
      <c r="D28" s="14" t="s">
        <v>70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8">
        <v>0</v>
      </c>
      <c r="K28" s="14">
        <v>1</v>
      </c>
      <c r="L28" s="18">
        <v>150.81</v>
      </c>
      <c r="M28" s="14" t="s">
        <v>86</v>
      </c>
    </row>
    <row r="29" spans="1:13" x14ac:dyDescent="0.25">
      <c r="A29" s="14" t="s">
        <v>61</v>
      </c>
      <c r="B29" s="14" t="s">
        <v>1528</v>
      </c>
      <c r="C29" s="14" t="s">
        <v>1529</v>
      </c>
      <c r="D29" s="14" t="s">
        <v>48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8">
        <v>18</v>
      </c>
      <c r="K29" s="14">
        <v>1</v>
      </c>
      <c r="L29" s="18">
        <v>76.94</v>
      </c>
      <c r="M29" s="14" t="s">
        <v>86</v>
      </c>
    </row>
    <row r="30" spans="1:13" x14ac:dyDescent="0.25">
      <c r="A30" s="14" t="s">
        <v>53</v>
      </c>
      <c r="B30" s="14" t="s">
        <v>1530</v>
      </c>
      <c r="C30" s="14" t="s">
        <v>1531</v>
      </c>
      <c r="D30" s="14" t="s">
        <v>48</v>
      </c>
      <c r="E30" s="14">
        <v>1</v>
      </c>
      <c r="F30" s="14">
        <v>0</v>
      </c>
      <c r="G30" s="14">
        <v>0</v>
      </c>
      <c r="H30" s="14">
        <v>0</v>
      </c>
      <c r="I30" s="14">
        <v>0</v>
      </c>
      <c r="J30" s="18">
        <v>24</v>
      </c>
      <c r="K30" s="14">
        <v>1</v>
      </c>
      <c r="L30" s="18">
        <v>0</v>
      </c>
      <c r="M30" s="14" t="s">
        <v>86</v>
      </c>
    </row>
    <row r="31" spans="1:13" x14ac:dyDescent="0.25">
      <c r="A31" s="14" t="s">
        <v>43</v>
      </c>
      <c r="B31" s="14" t="s">
        <v>1532</v>
      </c>
      <c r="C31" s="14" t="s">
        <v>1533</v>
      </c>
      <c r="D31" s="14" t="s">
        <v>76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8">
        <v>0</v>
      </c>
      <c r="K31" s="14">
        <v>0</v>
      </c>
      <c r="L31" s="18">
        <v>0</v>
      </c>
      <c r="M31" s="14" t="s">
        <v>86</v>
      </c>
    </row>
    <row r="32" spans="1:13" x14ac:dyDescent="0.25">
      <c r="A32" s="14" t="s">
        <v>53</v>
      </c>
      <c r="B32" s="14" t="s">
        <v>1534</v>
      </c>
      <c r="C32" s="14" t="s">
        <v>1535</v>
      </c>
      <c r="D32" s="14" t="s">
        <v>76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8">
        <v>0</v>
      </c>
      <c r="K32" s="14">
        <v>0</v>
      </c>
      <c r="L32" s="18">
        <v>0</v>
      </c>
      <c r="M32" s="14" t="s">
        <v>86</v>
      </c>
    </row>
    <row r="33" spans="1:13" x14ac:dyDescent="0.25">
      <c r="A33" s="14" t="s">
        <v>57</v>
      </c>
      <c r="B33" s="14" t="s">
        <v>1536</v>
      </c>
      <c r="C33" s="14" t="s">
        <v>1537</v>
      </c>
      <c r="D33" s="14" t="s">
        <v>76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8">
        <v>18</v>
      </c>
      <c r="K33" s="14">
        <v>0</v>
      </c>
      <c r="L33" s="18">
        <v>0</v>
      </c>
      <c r="M33" s="14" t="s">
        <v>86</v>
      </c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20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20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20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1538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49</v>
      </c>
      <c r="B4" s="14" t="s">
        <v>1539</v>
      </c>
      <c r="C4" s="14" t="s">
        <v>1540</v>
      </c>
      <c r="D4" s="14" t="s">
        <v>46</v>
      </c>
      <c r="E4" s="14">
        <v>1</v>
      </c>
      <c r="F4" s="14">
        <v>0</v>
      </c>
      <c r="G4" s="14">
        <v>0</v>
      </c>
      <c r="H4" s="14">
        <v>0</v>
      </c>
      <c r="I4" s="14">
        <v>0</v>
      </c>
      <c r="J4" s="18">
        <v>16</v>
      </c>
      <c r="K4" s="14">
        <v>1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1</v>
      </c>
      <c r="R4" s="14">
        <f t="shared" ref="R4:R15" si="1">SUMIF($A$4:$A$43,$P4,F$4:F$43)</f>
        <v>0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2</v>
      </c>
      <c r="X4" s="18">
        <f t="shared" ref="X4:X15" si="7">SUMIF($A$4:$A$43,$P4,L$4:L$43)</f>
        <v>67.260000000000005</v>
      </c>
    </row>
    <row r="5" spans="1:24" x14ac:dyDescent="0.25">
      <c r="A5" s="14" t="s">
        <v>57</v>
      </c>
      <c r="B5" s="14" t="s">
        <v>1541</v>
      </c>
      <c r="C5" s="14" t="s">
        <v>1542</v>
      </c>
      <c r="D5" s="14" t="s">
        <v>42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24</v>
      </c>
      <c r="K5" s="14">
        <v>1</v>
      </c>
      <c r="L5" s="18">
        <v>47.7</v>
      </c>
      <c r="M5" s="14" t="s">
        <v>86</v>
      </c>
      <c r="P5" s="14" t="str">
        <f>Setup!$A$5</f>
        <v>Expert 02</v>
      </c>
      <c r="Q5" s="14">
        <f t="shared" si="0"/>
        <v>0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0</v>
      </c>
      <c r="W5" s="14">
        <f t="shared" si="6"/>
        <v>0</v>
      </c>
      <c r="X5" s="18">
        <f t="shared" si="7"/>
        <v>0</v>
      </c>
    </row>
    <row r="6" spans="1:24" x14ac:dyDescent="0.25">
      <c r="A6" s="14" t="s">
        <v>57</v>
      </c>
      <c r="B6" s="14" t="s">
        <v>1543</v>
      </c>
      <c r="C6" s="14" t="s">
        <v>1544</v>
      </c>
      <c r="D6" s="14" t="s">
        <v>73</v>
      </c>
      <c r="E6" s="14">
        <v>0</v>
      </c>
      <c r="F6" s="14">
        <v>0</v>
      </c>
      <c r="G6" s="14">
        <v>0</v>
      </c>
      <c r="H6" s="14">
        <v>0</v>
      </c>
      <c r="I6" s="14">
        <v>1</v>
      </c>
      <c r="J6" s="18">
        <v>24</v>
      </c>
      <c r="K6" s="14">
        <v>0</v>
      </c>
      <c r="L6" s="18">
        <v>146.74</v>
      </c>
      <c r="M6" s="14" t="s">
        <v>86</v>
      </c>
      <c r="P6" s="14" t="str">
        <f>Setup!$A$6</f>
        <v>Expert 03</v>
      </c>
      <c r="Q6" s="14">
        <f t="shared" si="0"/>
        <v>2</v>
      </c>
      <c r="R6" s="14">
        <f t="shared" si="1"/>
        <v>3</v>
      </c>
      <c r="S6" s="14">
        <f t="shared" si="2"/>
        <v>0</v>
      </c>
      <c r="T6" s="14">
        <f t="shared" si="3"/>
        <v>0</v>
      </c>
      <c r="U6" s="14">
        <f t="shared" si="4"/>
        <v>1</v>
      </c>
      <c r="V6" s="18">
        <f t="shared" si="5"/>
        <v>76</v>
      </c>
      <c r="W6" s="14">
        <f t="shared" si="6"/>
        <v>4</v>
      </c>
      <c r="X6" s="18">
        <f t="shared" si="7"/>
        <v>178.78</v>
      </c>
    </row>
    <row r="7" spans="1:24" x14ac:dyDescent="0.25">
      <c r="A7" s="14" t="s">
        <v>59</v>
      </c>
      <c r="B7" s="14" t="s">
        <v>870</v>
      </c>
      <c r="C7" s="14" t="s">
        <v>1545</v>
      </c>
      <c r="D7" s="14" t="s">
        <v>72</v>
      </c>
      <c r="E7" s="14">
        <v>1</v>
      </c>
      <c r="F7" s="14">
        <v>0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111.93</v>
      </c>
      <c r="M7" s="14" t="s">
        <v>86</v>
      </c>
      <c r="P7" s="14" t="str">
        <f>Setup!$A$7</f>
        <v>Expert 04</v>
      </c>
      <c r="Q7" s="14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0</v>
      </c>
      <c r="X7" s="18">
        <f t="shared" si="7"/>
        <v>0</v>
      </c>
    </row>
    <row r="8" spans="1:24" x14ac:dyDescent="0.25">
      <c r="A8" s="14" t="s">
        <v>39</v>
      </c>
      <c r="B8" s="14" t="s">
        <v>1546</v>
      </c>
      <c r="C8" s="14" t="s">
        <v>1547</v>
      </c>
      <c r="D8" s="14" t="s">
        <v>42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1</v>
      </c>
      <c r="L8" s="18">
        <v>67.260000000000005</v>
      </c>
      <c r="M8" s="14" t="s">
        <v>86</v>
      </c>
      <c r="P8" s="14" t="str">
        <f>Setup!$A$8</f>
        <v>Expert 05</v>
      </c>
      <c r="Q8" s="14">
        <f t="shared" si="0"/>
        <v>1</v>
      </c>
      <c r="R8" s="14">
        <f t="shared" si="1"/>
        <v>1</v>
      </c>
      <c r="S8" s="14">
        <f t="shared" si="2"/>
        <v>0</v>
      </c>
      <c r="T8" s="14">
        <f t="shared" si="3"/>
        <v>0</v>
      </c>
      <c r="U8" s="14">
        <f t="shared" si="4"/>
        <v>1</v>
      </c>
      <c r="V8" s="18">
        <f t="shared" si="5"/>
        <v>52</v>
      </c>
      <c r="W8" s="14">
        <f t="shared" si="6"/>
        <v>2</v>
      </c>
      <c r="X8" s="18">
        <f t="shared" si="7"/>
        <v>135.68</v>
      </c>
    </row>
    <row r="9" spans="1:24" x14ac:dyDescent="0.25">
      <c r="A9" s="14" t="s">
        <v>57</v>
      </c>
      <c r="B9" s="14" t="s">
        <v>1548</v>
      </c>
      <c r="C9" s="14" t="s">
        <v>1549</v>
      </c>
      <c r="D9" s="14" t="s">
        <v>67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8">
        <v>0</v>
      </c>
      <c r="K9" s="14">
        <v>1</v>
      </c>
      <c r="L9" s="18">
        <v>133.30000000000001</v>
      </c>
      <c r="M9" s="14" t="s">
        <v>86</v>
      </c>
      <c r="P9" s="14" t="str">
        <f>Setup!$A$9</f>
        <v>Expert 06</v>
      </c>
      <c r="Q9" s="14">
        <f t="shared" si="0"/>
        <v>2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31</v>
      </c>
      <c r="W9" s="14">
        <f t="shared" si="6"/>
        <v>2</v>
      </c>
      <c r="X9" s="18">
        <f t="shared" si="7"/>
        <v>0</v>
      </c>
    </row>
    <row r="10" spans="1:24" x14ac:dyDescent="0.25">
      <c r="A10" s="14" t="s">
        <v>61</v>
      </c>
      <c r="B10" s="14" t="s">
        <v>1550</v>
      </c>
      <c r="C10" s="14" t="s">
        <v>1551</v>
      </c>
      <c r="D10" s="14" t="s">
        <v>71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24</v>
      </c>
      <c r="K10" s="14">
        <v>1</v>
      </c>
      <c r="L10" s="18">
        <v>108.04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0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0</v>
      </c>
      <c r="W10" s="14">
        <f t="shared" si="6"/>
        <v>0</v>
      </c>
      <c r="X10" s="18">
        <f t="shared" si="7"/>
        <v>0</v>
      </c>
    </row>
    <row r="11" spans="1:24" x14ac:dyDescent="0.25">
      <c r="A11" s="14" t="s">
        <v>43</v>
      </c>
      <c r="B11" s="14" t="s">
        <v>1552</v>
      </c>
      <c r="C11" s="14" t="s">
        <v>1553</v>
      </c>
      <c r="D11" s="14" t="s">
        <v>63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18</v>
      </c>
      <c r="K11" s="14">
        <v>1</v>
      </c>
      <c r="L11" s="18">
        <v>76.14</v>
      </c>
      <c r="M11" s="14" t="s">
        <v>86</v>
      </c>
      <c r="P11" s="14" t="str">
        <f>Setup!$A$11</f>
        <v>Expert 08</v>
      </c>
      <c r="Q11" s="14">
        <f t="shared" si="0"/>
        <v>1</v>
      </c>
      <c r="R11" s="14">
        <f t="shared" si="1"/>
        <v>1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18</v>
      </c>
      <c r="W11" s="14">
        <f t="shared" si="6"/>
        <v>3</v>
      </c>
      <c r="X11" s="18">
        <f t="shared" si="7"/>
        <v>186.36</v>
      </c>
    </row>
    <row r="12" spans="1:24" x14ac:dyDescent="0.25">
      <c r="A12" s="14" t="s">
        <v>43</v>
      </c>
      <c r="B12" s="14" t="s">
        <v>1554</v>
      </c>
      <c r="C12" s="14" t="s">
        <v>1555</v>
      </c>
      <c r="D12" s="14" t="s">
        <v>76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0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0</v>
      </c>
      <c r="W12" s="14">
        <f t="shared" si="6"/>
        <v>0</v>
      </c>
      <c r="X12" s="18">
        <f t="shared" si="7"/>
        <v>0</v>
      </c>
    </row>
    <row r="13" spans="1:24" x14ac:dyDescent="0.25">
      <c r="A13" s="14" t="s">
        <v>47</v>
      </c>
      <c r="B13" s="14" t="s">
        <v>1556</v>
      </c>
      <c r="C13" s="14" t="s">
        <v>1557</v>
      </c>
      <c r="D13" s="14" t="s">
        <v>68</v>
      </c>
      <c r="E13" s="14">
        <v>1</v>
      </c>
      <c r="F13" s="14">
        <v>0</v>
      </c>
      <c r="G13" s="14">
        <v>0</v>
      </c>
      <c r="H13" s="14">
        <v>0</v>
      </c>
      <c r="I13" s="14">
        <v>0</v>
      </c>
      <c r="J13" s="18">
        <v>18</v>
      </c>
      <c r="K13" s="14">
        <v>1</v>
      </c>
      <c r="L13" s="18">
        <v>135.68</v>
      </c>
      <c r="M13" s="14" t="s">
        <v>86</v>
      </c>
      <c r="P13" s="14" t="str">
        <f>Setup!$A$13</f>
        <v>Expert 10</v>
      </c>
      <c r="Q13" s="14">
        <f t="shared" si="0"/>
        <v>1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1</v>
      </c>
      <c r="V13" s="18">
        <f t="shared" si="5"/>
        <v>48</v>
      </c>
      <c r="W13" s="14">
        <f t="shared" si="6"/>
        <v>2</v>
      </c>
      <c r="X13" s="18">
        <f t="shared" si="7"/>
        <v>327.74</v>
      </c>
    </row>
    <row r="14" spans="1:24" x14ac:dyDescent="0.25">
      <c r="A14" s="14" t="s">
        <v>59</v>
      </c>
      <c r="B14" s="14" t="s">
        <v>1558</v>
      </c>
      <c r="C14" s="14" t="s">
        <v>1559</v>
      </c>
      <c r="D14" s="14" t="s">
        <v>60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0</v>
      </c>
      <c r="K14" s="14">
        <v>1</v>
      </c>
      <c r="L14" s="18">
        <v>60.38</v>
      </c>
      <c r="M14" s="14" t="s">
        <v>111</v>
      </c>
      <c r="P14" s="14" t="str">
        <f>Setup!$A$14</f>
        <v>Expert 11</v>
      </c>
      <c r="Q14" s="14">
        <f t="shared" si="0"/>
        <v>3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15</v>
      </c>
      <c r="W14" s="14">
        <f t="shared" si="6"/>
        <v>3</v>
      </c>
      <c r="X14" s="18">
        <f t="shared" si="7"/>
        <v>172.31</v>
      </c>
    </row>
    <row r="15" spans="1:24" x14ac:dyDescent="0.25">
      <c r="A15" s="14" t="s">
        <v>59</v>
      </c>
      <c r="B15" s="14" t="s">
        <v>1560</v>
      </c>
      <c r="C15" s="14" t="s">
        <v>1561</v>
      </c>
      <c r="D15" s="14" t="s">
        <v>70</v>
      </c>
      <c r="E15" s="14">
        <v>1</v>
      </c>
      <c r="F15" s="14">
        <v>0</v>
      </c>
      <c r="G15" s="14">
        <v>0</v>
      </c>
      <c r="H15" s="14">
        <v>0</v>
      </c>
      <c r="I15" s="14">
        <v>0</v>
      </c>
      <c r="J15" s="18">
        <v>15</v>
      </c>
      <c r="K15" s="14">
        <v>1</v>
      </c>
      <c r="L15" s="18">
        <v>0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24</v>
      </c>
      <c r="W15" s="14">
        <f t="shared" si="6"/>
        <v>1</v>
      </c>
      <c r="X15" s="18">
        <f t="shared" si="7"/>
        <v>108.04</v>
      </c>
    </row>
    <row r="16" spans="1:24" x14ac:dyDescent="0.25">
      <c r="A16" s="14" t="s">
        <v>53</v>
      </c>
      <c r="B16" s="14" t="s">
        <v>1562</v>
      </c>
      <c r="C16" s="14" t="s">
        <v>1563</v>
      </c>
      <c r="D16" s="14" t="s">
        <v>71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18</v>
      </c>
      <c r="K16" s="14">
        <v>1</v>
      </c>
      <c r="L16" s="18">
        <v>79.099999999999994</v>
      </c>
      <c r="M16" s="14" t="s">
        <v>86</v>
      </c>
      <c r="P16" s="19" t="s">
        <v>112</v>
      </c>
      <c r="Q16" s="20">
        <f t="shared" ref="Q16:X16" si="8">SUM(Q4:Q15)</f>
        <v>12</v>
      </c>
      <c r="R16" s="20">
        <f t="shared" si="8"/>
        <v>5</v>
      </c>
      <c r="S16" s="20">
        <f t="shared" si="8"/>
        <v>0</v>
      </c>
      <c r="T16" s="20">
        <f t="shared" si="8"/>
        <v>0</v>
      </c>
      <c r="U16" s="20">
        <f t="shared" si="8"/>
        <v>3</v>
      </c>
      <c r="V16" s="21">
        <f t="shared" si="8"/>
        <v>264</v>
      </c>
      <c r="W16" s="20">
        <f t="shared" si="8"/>
        <v>19</v>
      </c>
      <c r="X16" s="21">
        <f t="shared" si="8"/>
        <v>1176.17</v>
      </c>
    </row>
    <row r="17" spans="1:13" x14ac:dyDescent="0.25">
      <c r="A17" s="14" t="s">
        <v>39</v>
      </c>
      <c r="B17" s="14" t="s">
        <v>1564</v>
      </c>
      <c r="C17" s="14" t="s">
        <v>1565</v>
      </c>
      <c r="D17" s="14" t="s">
        <v>69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0</v>
      </c>
      <c r="K17" s="14">
        <v>1</v>
      </c>
      <c r="L17" s="18">
        <v>0</v>
      </c>
      <c r="M17" s="14" t="s">
        <v>111</v>
      </c>
    </row>
    <row r="18" spans="1:13" x14ac:dyDescent="0.25">
      <c r="A18" s="14" t="s">
        <v>43</v>
      </c>
      <c r="B18" s="14" t="s">
        <v>1566</v>
      </c>
      <c r="C18" s="14" t="s">
        <v>1567</v>
      </c>
      <c r="D18" s="14" t="s">
        <v>73</v>
      </c>
      <c r="E18" s="14">
        <v>0</v>
      </c>
      <c r="F18" s="14">
        <v>1</v>
      </c>
      <c r="G18" s="14">
        <v>0</v>
      </c>
      <c r="H18" s="14">
        <v>0</v>
      </c>
      <c r="I18" s="14">
        <v>1</v>
      </c>
      <c r="J18" s="18">
        <v>16</v>
      </c>
      <c r="K18" s="14">
        <v>0</v>
      </c>
      <c r="L18" s="18">
        <v>4.0199999999999996</v>
      </c>
      <c r="M18" s="14" t="s">
        <v>86</v>
      </c>
    </row>
    <row r="19" spans="1:13" x14ac:dyDescent="0.25">
      <c r="A19" s="14" t="s">
        <v>43</v>
      </c>
      <c r="B19" s="14" t="s">
        <v>1568</v>
      </c>
      <c r="C19" s="14" t="s">
        <v>1569</v>
      </c>
      <c r="D19" s="14" t="s">
        <v>69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24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47</v>
      </c>
      <c r="B20" s="14" t="s">
        <v>1570</v>
      </c>
      <c r="C20" s="14" t="s">
        <v>1571</v>
      </c>
      <c r="D20" s="14" t="s">
        <v>74</v>
      </c>
      <c r="E20" s="14">
        <v>0</v>
      </c>
      <c r="F20" s="14">
        <v>0</v>
      </c>
      <c r="G20" s="14">
        <v>0</v>
      </c>
      <c r="H20" s="14">
        <v>0</v>
      </c>
      <c r="I20" s="14">
        <v>1</v>
      </c>
      <c r="J20" s="18">
        <v>18</v>
      </c>
      <c r="K20" s="14">
        <v>0</v>
      </c>
      <c r="L20" s="18">
        <v>0</v>
      </c>
      <c r="M20" s="14" t="s">
        <v>86</v>
      </c>
    </row>
    <row r="21" spans="1:13" x14ac:dyDescent="0.25">
      <c r="A21" s="14" t="s">
        <v>47</v>
      </c>
      <c r="B21" s="14" t="s">
        <v>1572</v>
      </c>
      <c r="C21" s="14" t="s">
        <v>1573</v>
      </c>
      <c r="D21" s="14" t="s">
        <v>50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8">
        <v>16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49</v>
      </c>
      <c r="B22" s="14" t="s">
        <v>1574</v>
      </c>
      <c r="C22" s="14" t="s">
        <v>1575</v>
      </c>
      <c r="D22" s="14" t="s">
        <v>42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15</v>
      </c>
      <c r="K22" s="14">
        <v>1</v>
      </c>
      <c r="L22" s="18">
        <v>0</v>
      </c>
      <c r="M22" s="14" t="s">
        <v>86</v>
      </c>
    </row>
    <row r="23" spans="1:13" x14ac:dyDescent="0.25">
      <c r="A23" s="14" t="s">
        <v>43</v>
      </c>
      <c r="B23" s="14" t="s">
        <v>1516</v>
      </c>
      <c r="C23" s="14" t="s">
        <v>1576</v>
      </c>
      <c r="D23" s="14" t="s">
        <v>69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0</v>
      </c>
      <c r="M23" s="14" t="s">
        <v>86</v>
      </c>
    </row>
    <row r="24" spans="1:13" x14ac:dyDescent="0.25">
      <c r="A24" s="14" t="s">
        <v>53</v>
      </c>
      <c r="B24" s="14" t="s">
        <v>1577</v>
      </c>
      <c r="C24" s="14" t="s">
        <v>1578</v>
      </c>
      <c r="D24" s="14" t="s">
        <v>46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8">
        <v>0</v>
      </c>
      <c r="K24" s="14">
        <v>1</v>
      </c>
      <c r="L24" s="18">
        <v>0</v>
      </c>
      <c r="M24" s="14" t="s">
        <v>86</v>
      </c>
    </row>
    <row r="25" spans="1:13" x14ac:dyDescent="0.25">
      <c r="A25" s="14" t="s">
        <v>43</v>
      </c>
      <c r="B25" s="14" t="s">
        <v>1579</v>
      </c>
      <c r="C25" s="14" t="s">
        <v>1580</v>
      </c>
      <c r="D25" s="14" t="s">
        <v>66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8">
        <v>18</v>
      </c>
      <c r="K25" s="14">
        <v>1</v>
      </c>
      <c r="L25" s="18">
        <v>98.62</v>
      </c>
      <c r="M25" s="14" t="s">
        <v>86</v>
      </c>
    </row>
    <row r="26" spans="1:13" x14ac:dyDescent="0.25">
      <c r="A26" s="14" t="s">
        <v>53</v>
      </c>
      <c r="B26" s="14" t="s">
        <v>1581</v>
      </c>
      <c r="C26" s="14" t="s">
        <v>1582</v>
      </c>
      <c r="D26" s="14" t="s">
        <v>56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107.26</v>
      </c>
      <c r="M26" s="14" t="s">
        <v>86</v>
      </c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21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21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21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1583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41</v>
      </c>
      <c r="B4" s="14" t="s">
        <v>1584</v>
      </c>
      <c r="C4" s="14" t="s">
        <v>1585</v>
      </c>
      <c r="D4" s="14" t="s">
        <v>46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8">
        <v>0</v>
      </c>
      <c r="K4" s="14">
        <v>1</v>
      </c>
      <c r="L4" s="18">
        <v>160.02000000000001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0</v>
      </c>
      <c r="R4" s="14">
        <f t="shared" ref="R4:R15" si="1">SUMIF($A$4:$A$43,$P4,F$4:F$43)</f>
        <v>1</v>
      </c>
      <c r="S4" s="14">
        <f t="shared" ref="S4:S15" si="2">SUMIF($A$4:$A$43,$P4,G$4:G$43)</f>
        <v>0</v>
      </c>
      <c r="T4" s="14">
        <f t="shared" ref="T4:T15" si="3">SUMIF($A$4:$A$43,$P4,H$4:H$43)</f>
        <v>0</v>
      </c>
      <c r="U4" s="14">
        <f t="shared" ref="U4:U15" si="4">SUMIF($A$4:$A$43,$P4,I$4:I$43)</f>
        <v>0</v>
      </c>
      <c r="V4" s="18">
        <f t="shared" ref="V4:V15" si="5">SUMIF($A$4:$A$43,$P4,J$4:J$43)</f>
        <v>24</v>
      </c>
      <c r="W4" s="14">
        <f t="shared" ref="W4:W15" si="6">SUMIF($A$4:$A$43,$P4,K$4:K$43)</f>
        <v>2</v>
      </c>
      <c r="X4" s="18">
        <f t="shared" ref="X4:X15" si="7">SUMIF($A$4:$A$43,$P4,L$4:L$43)</f>
        <v>50.33</v>
      </c>
    </row>
    <row r="5" spans="1:24" x14ac:dyDescent="0.25">
      <c r="A5" s="14" t="s">
        <v>47</v>
      </c>
      <c r="B5" s="14" t="s">
        <v>1586</v>
      </c>
      <c r="C5" s="14" t="s">
        <v>1587</v>
      </c>
      <c r="D5" s="14" t="s">
        <v>77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8">
        <v>15</v>
      </c>
      <c r="K5" s="14">
        <v>0</v>
      </c>
      <c r="L5" s="18">
        <v>163.22999999999999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15</v>
      </c>
      <c r="W5" s="14">
        <f t="shared" si="6"/>
        <v>2</v>
      </c>
      <c r="X5" s="18">
        <f t="shared" si="7"/>
        <v>160.02000000000001</v>
      </c>
    </row>
    <row r="6" spans="1:24" x14ac:dyDescent="0.25">
      <c r="A6" s="14" t="s">
        <v>43</v>
      </c>
      <c r="B6" s="14" t="s">
        <v>1588</v>
      </c>
      <c r="C6" s="14" t="s">
        <v>1589</v>
      </c>
      <c r="D6" s="14" t="s">
        <v>40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52.05</v>
      </c>
      <c r="M6" s="14" t="s">
        <v>86</v>
      </c>
      <c r="P6" s="14" t="str">
        <f>Setup!$A$6</f>
        <v>Expert 03</v>
      </c>
      <c r="Q6" s="14">
        <f t="shared" si="0"/>
        <v>1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0</v>
      </c>
      <c r="W6" s="14">
        <f t="shared" si="6"/>
        <v>1</v>
      </c>
      <c r="X6" s="18">
        <f t="shared" si="7"/>
        <v>52.05</v>
      </c>
    </row>
    <row r="7" spans="1:24" x14ac:dyDescent="0.25">
      <c r="A7" s="14" t="s">
        <v>55</v>
      </c>
      <c r="B7" s="14" t="s">
        <v>1590</v>
      </c>
      <c r="C7" s="14" t="s">
        <v>1591</v>
      </c>
      <c r="D7" s="14" t="s">
        <v>71</v>
      </c>
      <c r="E7" s="14">
        <v>0</v>
      </c>
      <c r="F7" s="14">
        <v>0</v>
      </c>
      <c r="G7" s="14">
        <v>1</v>
      </c>
      <c r="H7" s="14">
        <v>0</v>
      </c>
      <c r="I7" s="14">
        <v>0</v>
      </c>
      <c r="J7" s="18">
        <v>24</v>
      </c>
      <c r="K7" s="14">
        <v>1</v>
      </c>
      <c r="L7" s="18">
        <v>166.2</v>
      </c>
      <c r="M7" s="14" t="s">
        <v>86</v>
      </c>
      <c r="P7" s="14" t="str">
        <f>Setup!$A$7</f>
        <v>Expert 04</v>
      </c>
      <c r="Q7" s="14">
        <f t="shared" si="0"/>
        <v>0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0</v>
      </c>
      <c r="X7" s="18">
        <f t="shared" si="7"/>
        <v>0</v>
      </c>
    </row>
    <row r="8" spans="1:24" x14ac:dyDescent="0.25">
      <c r="A8" s="14" t="s">
        <v>53</v>
      </c>
      <c r="B8" s="14" t="s">
        <v>1592</v>
      </c>
      <c r="C8" s="14" t="s">
        <v>1593</v>
      </c>
      <c r="D8" s="14" t="s">
        <v>77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8">
        <v>0</v>
      </c>
      <c r="K8" s="14">
        <v>0</v>
      </c>
      <c r="L8" s="18">
        <v>0</v>
      </c>
      <c r="M8" s="14" t="s">
        <v>86</v>
      </c>
      <c r="P8" s="14" t="str">
        <f>Setup!$A$8</f>
        <v>Expert 05</v>
      </c>
      <c r="Q8" s="14">
        <f t="shared" si="0"/>
        <v>0</v>
      </c>
      <c r="R8" s="14">
        <f t="shared" si="1"/>
        <v>0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30</v>
      </c>
      <c r="W8" s="14">
        <f t="shared" si="6"/>
        <v>1</v>
      </c>
      <c r="X8" s="18">
        <f t="shared" si="7"/>
        <v>163.22999999999999</v>
      </c>
    </row>
    <row r="9" spans="1:24" x14ac:dyDescent="0.25">
      <c r="A9" s="14" t="s">
        <v>59</v>
      </c>
      <c r="B9" s="14" t="s">
        <v>1594</v>
      </c>
      <c r="C9" s="14" t="s">
        <v>1595</v>
      </c>
      <c r="D9" s="14" t="s">
        <v>74</v>
      </c>
      <c r="E9" s="14">
        <v>0</v>
      </c>
      <c r="F9" s="14">
        <v>0</v>
      </c>
      <c r="G9" s="14">
        <v>0</v>
      </c>
      <c r="H9" s="14">
        <v>0</v>
      </c>
      <c r="I9" s="14">
        <v>1</v>
      </c>
      <c r="J9" s="18">
        <v>33</v>
      </c>
      <c r="K9" s="14">
        <v>0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3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75</v>
      </c>
      <c r="W9" s="14">
        <f t="shared" si="6"/>
        <v>4</v>
      </c>
      <c r="X9" s="18">
        <f t="shared" si="7"/>
        <v>351.36</v>
      </c>
    </row>
    <row r="10" spans="1:24" x14ac:dyDescent="0.25">
      <c r="A10" s="14" t="s">
        <v>51</v>
      </c>
      <c r="B10" s="14" t="s">
        <v>1596</v>
      </c>
      <c r="C10" s="14" t="s">
        <v>1597</v>
      </c>
      <c r="D10" s="14" t="s">
        <v>68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8">
        <v>24</v>
      </c>
      <c r="K10" s="14">
        <v>1</v>
      </c>
      <c r="L10" s="18">
        <v>53.77</v>
      </c>
      <c r="M10" s="14" t="s">
        <v>86</v>
      </c>
      <c r="P10" s="14" t="str">
        <f>Setup!$A$10</f>
        <v>Expert 07</v>
      </c>
      <c r="Q10" s="14">
        <f t="shared" si="0"/>
        <v>0</v>
      </c>
      <c r="R10" s="14">
        <f t="shared" si="1"/>
        <v>2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39</v>
      </c>
      <c r="W10" s="14">
        <f t="shared" si="6"/>
        <v>3</v>
      </c>
      <c r="X10" s="18">
        <f t="shared" si="7"/>
        <v>80.11</v>
      </c>
    </row>
    <row r="11" spans="1:24" x14ac:dyDescent="0.25">
      <c r="A11" s="14" t="s">
        <v>51</v>
      </c>
      <c r="B11" s="14" t="s">
        <v>1598</v>
      </c>
      <c r="C11" s="14" t="s">
        <v>1599</v>
      </c>
      <c r="D11" s="14" t="s">
        <v>70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8">
        <v>15</v>
      </c>
      <c r="K11" s="14">
        <v>1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0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0</v>
      </c>
      <c r="W11" s="14">
        <f t="shared" si="6"/>
        <v>0</v>
      </c>
      <c r="X11" s="18">
        <f t="shared" si="7"/>
        <v>0</v>
      </c>
    </row>
    <row r="12" spans="1:24" x14ac:dyDescent="0.25">
      <c r="A12" s="14" t="s">
        <v>59</v>
      </c>
      <c r="B12" s="14" t="s">
        <v>1600</v>
      </c>
      <c r="C12" s="14" t="s">
        <v>1601</v>
      </c>
      <c r="D12" s="14" t="s">
        <v>56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0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0</v>
      </c>
      <c r="S12" s="14">
        <f t="shared" si="2"/>
        <v>1</v>
      </c>
      <c r="T12" s="14">
        <f t="shared" si="3"/>
        <v>0</v>
      </c>
      <c r="U12" s="14">
        <f t="shared" si="4"/>
        <v>0</v>
      </c>
      <c r="V12" s="18">
        <f t="shared" si="5"/>
        <v>24</v>
      </c>
      <c r="W12" s="14">
        <f t="shared" si="6"/>
        <v>1</v>
      </c>
      <c r="X12" s="18">
        <f t="shared" si="7"/>
        <v>166.2</v>
      </c>
    </row>
    <row r="13" spans="1:24" x14ac:dyDescent="0.25">
      <c r="A13" s="14" t="s">
        <v>51</v>
      </c>
      <c r="B13" s="14" t="s">
        <v>1102</v>
      </c>
      <c r="C13" s="14" t="s">
        <v>1602</v>
      </c>
      <c r="D13" s="14" t="s">
        <v>46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8">
        <v>0</v>
      </c>
      <c r="K13" s="14">
        <v>1</v>
      </c>
      <c r="L13" s="18">
        <v>26.34</v>
      </c>
      <c r="M13" s="14" t="s">
        <v>86</v>
      </c>
      <c r="P13" s="14" t="str">
        <f>Setup!$A$13</f>
        <v>Expert 10</v>
      </c>
      <c r="Q13" s="14">
        <f t="shared" si="0"/>
        <v>2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40</v>
      </c>
      <c r="W13" s="14">
        <f t="shared" si="6"/>
        <v>3</v>
      </c>
      <c r="X13" s="18">
        <f t="shared" si="7"/>
        <v>153.77000000000001</v>
      </c>
    </row>
    <row r="14" spans="1:24" x14ac:dyDescent="0.25">
      <c r="A14" s="14" t="s">
        <v>39</v>
      </c>
      <c r="B14" s="14" t="s">
        <v>1603</v>
      </c>
      <c r="C14" s="14" t="s">
        <v>1604</v>
      </c>
      <c r="D14" s="14" t="s">
        <v>56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8">
        <v>24</v>
      </c>
      <c r="K14" s="14">
        <v>1</v>
      </c>
      <c r="L14" s="18">
        <v>50.33</v>
      </c>
      <c r="M14" s="14" t="s">
        <v>86</v>
      </c>
      <c r="P14" s="14" t="str">
        <f>Setup!$A$14</f>
        <v>Expert 11</v>
      </c>
      <c r="Q14" s="14">
        <f t="shared" si="0"/>
        <v>1</v>
      </c>
      <c r="R14" s="14">
        <f t="shared" si="1"/>
        <v>1</v>
      </c>
      <c r="S14" s="14">
        <f t="shared" si="2"/>
        <v>0</v>
      </c>
      <c r="T14" s="14">
        <f t="shared" si="3"/>
        <v>0</v>
      </c>
      <c r="U14" s="14">
        <f t="shared" si="4"/>
        <v>1</v>
      </c>
      <c r="V14" s="18">
        <f t="shared" si="5"/>
        <v>33</v>
      </c>
      <c r="W14" s="14">
        <f t="shared" si="6"/>
        <v>2</v>
      </c>
      <c r="X14" s="18">
        <f t="shared" si="7"/>
        <v>165.35</v>
      </c>
    </row>
    <row r="15" spans="1:24" x14ac:dyDescent="0.25">
      <c r="A15" s="14" t="s">
        <v>47</v>
      </c>
      <c r="B15" s="14" t="s">
        <v>1605</v>
      </c>
      <c r="C15" s="14" t="s">
        <v>1606</v>
      </c>
      <c r="D15" s="14" t="s">
        <v>71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8">
        <v>15</v>
      </c>
      <c r="K15" s="14">
        <v>1</v>
      </c>
      <c r="L15" s="18">
        <v>0</v>
      </c>
      <c r="M15" s="14" t="s">
        <v>111</v>
      </c>
      <c r="P15" s="14" t="str">
        <f>Setup!$A$15</f>
        <v>Expert 12</v>
      </c>
      <c r="Q15" s="14">
        <f t="shared" si="0"/>
        <v>0</v>
      </c>
      <c r="R15" s="14">
        <f t="shared" si="1"/>
        <v>1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0</v>
      </c>
      <c r="W15" s="14">
        <f t="shared" si="6"/>
        <v>1</v>
      </c>
      <c r="X15" s="18">
        <f t="shared" si="7"/>
        <v>163.95</v>
      </c>
    </row>
    <row r="16" spans="1:24" x14ac:dyDescent="0.25">
      <c r="A16" s="14" t="s">
        <v>49</v>
      </c>
      <c r="B16" s="14" t="s">
        <v>1607</v>
      </c>
      <c r="C16" s="14" t="s">
        <v>1608</v>
      </c>
      <c r="D16" s="14" t="s">
        <v>46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1</v>
      </c>
      <c r="L16" s="18">
        <v>120.53</v>
      </c>
      <c r="M16" s="14" t="s">
        <v>86</v>
      </c>
      <c r="P16" s="19" t="s">
        <v>112</v>
      </c>
      <c r="Q16" s="20">
        <f t="shared" ref="Q16:X16" si="8">SUM(Q4:Q15)</f>
        <v>8</v>
      </c>
      <c r="R16" s="20">
        <f t="shared" si="8"/>
        <v>5</v>
      </c>
      <c r="S16" s="20">
        <f t="shared" si="8"/>
        <v>1</v>
      </c>
      <c r="T16" s="20">
        <f t="shared" si="8"/>
        <v>0</v>
      </c>
      <c r="U16" s="20">
        <f t="shared" si="8"/>
        <v>1</v>
      </c>
      <c r="V16" s="21">
        <f t="shared" si="8"/>
        <v>280</v>
      </c>
      <c r="W16" s="20">
        <f t="shared" si="8"/>
        <v>20</v>
      </c>
      <c r="X16" s="21">
        <f t="shared" si="8"/>
        <v>1506.37</v>
      </c>
    </row>
    <row r="17" spans="1:13" x14ac:dyDescent="0.25">
      <c r="A17" s="14" t="s">
        <v>41</v>
      </c>
      <c r="B17" s="14" t="s">
        <v>1609</v>
      </c>
      <c r="C17" s="14" t="s">
        <v>1610</v>
      </c>
      <c r="D17" s="14" t="s">
        <v>54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15</v>
      </c>
      <c r="K17" s="14">
        <v>1</v>
      </c>
      <c r="L17" s="18">
        <v>0</v>
      </c>
      <c r="M17" s="14" t="s">
        <v>86</v>
      </c>
    </row>
    <row r="18" spans="1:13" x14ac:dyDescent="0.25">
      <c r="A18" s="14" t="s">
        <v>57</v>
      </c>
      <c r="B18" s="14" t="s">
        <v>1611</v>
      </c>
      <c r="C18" s="14" t="s">
        <v>1612</v>
      </c>
      <c r="D18" s="14" t="s">
        <v>70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8">
        <v>16</v>
      </c>
      <c r="K18" s="14">
        <v>1</v>
      </c>
      <c r="L18" s="18">
        <v>153.77000000000001</v>
      </c>
      <c r="M18" s="14" t="s">
        <v>86</v>
      </c>
    </row>
    <row r="19" spans="1:13" x14ac:dyDescent="0.25">
      <c r="A19" s="14" t="s">
        <v>57</v>
      </c>
      <c r="B19" s="14" t="s">
        <v>1613</v>
      </c>
      <c r="C19" s="14" t="s">
        <v>1614</v>
      </c>
      <c r="D19" s="14" t="s">
        <v>71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24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39</v>
      </c>
      <c r="B20" s="14" t="s">
        <v>1615</v>
      </c>
      <c r="C20" s="14" t="s">
        <v>1616</v>
      </c>
      <c r="D20" s="14" t="s">
        <v>72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0</v>
      </c>
      <c r="M20" s="14" t="s">
        <v>86</v>
      </c>
    </row>
    <row r="21" spans="1:13" x14ac:dyDescent="0.25">
      <c r="A21" s="14" t="s">
        <v>49</v>
      </c>
      <c r="B21" s="14" t="s">
        <v>1617</v>
      </c>
      <c r="C21" s="14" t="s">
        <v>1618</v>
      </c>
      <c r="D21" s="14" t="s">
        <v>56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24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49</v>
      </c>
      <c r="B22" s="14" t="s">
        <v>1619</v>
      </c>
      <c r="C22" s="14" t="s">
        <v>1620</v>
      </c>
      <c r="D22" s="14" t="s">
        <v>50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18</v>
      </c>
      <c r="K22" s="14">
        <v>1</v>
      </c>
      <c r="L22" s="18">
        <v>57.31</v>
      </c>
      <c r="M22" s="14" t="s">
        <v>86</v>
      </c>
    </row>
    <row r="23" spans="1:13" x14ac:dyDescent="0.25">
      <c r="A23" s="14" t="s">
        <v>61</v>
      </c>
      <c r="B23" s="14" t="s">
        <v>1621</v>
      </c>
      <c r="C23" s="14" t="s">
        <v>1622</v>
      </c>
      <c r="D23" s="14" t="s">
        <v>68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163.95</v>
      </c>
      <c r="M23" s="14" t="s">
        <v>86</v>
      </c>
    </row>
    <row r="24" spans="1:13" x14ac:dyDescent="0.25">
      <c r="A24" s="14" t="s">
        <v>49</v>
      </c>
      <c r="B24" s="14" t="s">
        <v>1623</v>
      </c>
      <c r="C24" s="14" t="s">
        <v>1624</v>
      </c>
      <c r="D24" s="14" t="s">
        <v>66</v>
      </c>
      <c r="E24" s="14">
        <v>1</v>
      </c>
      <c r="F24" s="14">
        <v>0</v>
      </c>
      <c r="G24" s="14">
        <v>0</v>
      </c>
      <c r="H24" s="14">
        <v>0</v>
      </c>
      <c r="I24" s="14">
        <v>0</v>
      </c>
      <c r="J24" s="18">
        <v>33</v>
      </c>
      <c r="K24" s="14">
        <v>1</v>
      </c>
      <c r="L24" s="18">
        <v>173.52</v>
      </c>
      <c r="M24" s="14" t="s">
        <v>86</v>
      </c>
    </row>
    <row r="25" spans="1:13" x14ac:dyDescent="0.25">
      <c r="A25" s="14" t="s">
        <v>57</v>
      </c>
      <c r="B25" s="14" t="s">
        <v>1625</v>
      </c>
      <c r="C25" s="14" t="s">
        <v>1626</v>
      </c>
      <c r="D25" s="14" t="s">
        <v>70</v>
      </c>
      <c r="E25" s="14">
        <v>1</v>
      </c>
      <c r="F25" s="14">
        <v>0</v>
      </c>
      <c r="G25" s="14">
        <v>0</v>
      </c>
      <c r="H25" s="14">
        <v>0</v>
      </c>
      <c r="I25" s="14">
        <v>0</v>
      </c>
      <c r="J25" s="18">
        <v>0</v>
      </c>
      <c r="K25" s="14">
        <v>1</v>
      </c>
      <c r="L25" s="18">
        <v>0</v>
      </c>
      <c r="M25" s="14" t="s">
        <v>86</v>
      </c>
    </row>
    <row r="26" spans="1:13" x14ac:dyDescent="0.25">
      <c r="A26" s="14" t="s">
        <v>59</v>
      </c>
      <c r="B26" s="14" t="s">
        <v>1627</v>
      </c>
      <c r="C26" s="14" t="s">
        <v>1628</v>
      </c>
      <c r="D26" s="14" t="s">
        <v>66</v>
      </c>
      <c r="E26" s="14">
        <v>1</v>
      </c>
      <c r="F26" s="14">
        <v>0</v>
      </c>
      <c r="G26" s="14">
        <v>0</v>
      </c>
      <c r="H26" s="14">
        <v>0</v>
      </c>
      <c r="I26" s="14">
        <v>0</v>
      </c>
      <c r="J26" s="18">
        <v>0</v>
      </c>
      <c r="K26" s="14">
        <v>1</v>
      </c>
      <c r="L26" s="18">
        <v>165.35</v>
      </c>
      <c r="M26" s="14" t="s">
        <v>86</v>
      </c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22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22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2200-000001000000}">
          <x14:formula1>
            <xm:f>Setup!$C$4:$C$29</xm:f>
          </x14:formula1>
          <xm:sqref>D4:D43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21" customWidth="1"/>
    <col min="5" max="13" width="9" customWidth="1"/>
    <col min="16" max="16" width="14" customWidth="1"/>
    <col min="17" max="24" width="10" customWidth="1"/>
  </cols>
  <sheetData>
    <row r="1" spans="1:24" ht="24" customHeight="1" x14ac:dyDescent="0.25">
      <c r="A1" s="45" t="s">
        <v>1629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24" ht="14.1" customHeight="1" x14ac:dyDescent="0.25">
      <c r="A2" s="44" t="s">
        <v>19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24" x14ac:dyDescent="0.25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22</v>
      </c>
      <c r="F3" s="12" t="s">
        <v>23</v>
      </c>
      <c r="G3" s="12" t="s">
        <v>15</v>
      </c>
      <c r="H3" s="12" t="s">
        <v>13</v>
      </c>
      <c r="I3" s="12" t="s">
        <v>27</v>
      </c>
      <c r="J3" s="12" t="s">
        <v>28</v>
      </c>
      <c r="K3" s="12" t="s">
        <v>29</v>
      </c>
      <c r="L3" s="12" t="s">
        <v>25</v>
      </c>
      <c r="M3" s="12" t="s">
        <v>83</v>
      </c>
      <c r="P3" s="12" t="s">
        <v>21</v>
      </c>
      <c r="Q3" s="12" t="s">
        <v>22</v>
      </c>
      <c r="R3" s="12" t="s">
        <v>23</v>
      </c>
      <c r="S3" s="12" t="s">
        <v>15</v>
      </c>
      <c r="T3" s="12" t="s">
        <v>13</v>
      </c>
      <c r="U3" s="12" t="s">
        <v>27</v>
      </c>
      <c r="V3" s="12" t="s">
        <v>28</v>
      </c>
      <c r="W3" s="12" t="s">
        <v>29</v>
      </c>
      <c r="X3" s="12" t="s">
        <v>25</v>
      </c>
    </row>
    <row r="4" spans="1:24" x14ac:dyDescent="0.25">
      <c r="A4" s="14" t="s">
        <v>55</v>
      </c>
      <c r="B4" s="14" t="s">
        <v>1630</v>
      </c>
      <c r="C4" s="14" t="s">
        <v>1631</v>
      </c>
      <c r="D4" s="14" t="s">
        <v>70</v>
      </c>
      <c r="E4" s="14">
        <v>0</v>
      </c>
      <c r="F4" s="14">
        <v>1</v>
      </c>
      <c r="G4" s="14">
        <v>0</v>
      </c>
      <c r="H4" s="14">
        <v>0</v>
      </c>
      <c r="I4" s="14">
        <v>0</v>
      </c>
      <c r="J4" s="18">
        <v>18</v>
      </c>
      <c r="K4" s="14">
        <v>1</v>
      </c>
      <c r="L4" s="18">
        <v>0</v>
      </c>
      <c r="M4" s="14" t="s">
        <v>86</v>
      </c>
      <c r="P4" s="14" t="str">
        <f>Setup!$A$4</f>
        <v>Expert 01</v>
      </c>
      <c r="Q4" s="14">
        <f t="shared" ref="Q4:Q15" si="0">SUMIF($A$4:$A$43,$P4,E$4:E$43)</f>
        <v>2</v>
      </c>
      <c r="R4" s="14">
        <f t="shared" ref="R4:R15" si="1">SUMIF($A$4:$A$43,$P4,F$4:F$43)</f>
        <v>1</v>
      </c>
      <c r="S4" s="14">
        <f t="shared" ref="S4:S15" si="2">SUMIF($A$4:$A$43,$P4,G$4:G$43)</f>
        <v>1</v>
      </c>
      <c r="T4" s="14">
        <f t="shared" ref="T4:T15" si="3">SUMIF($A$4:$A$43,$P4,H$4:H$43)</f>
        <v>1</v>
      </c>
      <c r="U4" s="14">
        <f t="shared" ref="U4:U15" si="4">SUMIF($A$4:$A$43,$P4,I$4:I$43)</f>
        <v>0</v>
      </c>
      <c r="V4" s="18">
        <f t="shared" ref="V4:V15" si="5">SUMIF($A$4:$A$43,$P4,J$4:J$43)</f>
        <v>0</v>
      </c>
      <c r="W4" s="14">
        <f t="shared" ref="W4:W15" si="6">SUMIF($A$4:$A$43,$P4,K$4:K$43)</f>
        <v>3</v>
      </c>
      <c r="X4" s="18">
        <f t="shared" ref="X4:X15" si="7">SUMIF($A$4:$A$43,$P4,L$4:L$43)</f>
        <v>262.43</v>
      </c>
    </row>
    <row r="5" spans="1:24" x14ac:dyDescent="0.25">
      <c r="A5" s="14" t="s">
        <v>57</v>
      </c>
      <c r="B5" s="14" t="s">
        <v>1632</v>
      </c>
      <c r="C5" s="14" t="s">
        <v>1633</v>
      </c>
      <c r="D5" s="14" t="s">
        <v>48</v>
      </c>
      <c r="E5" s="14">
        <v>1</v>
      </c>
      <c r="F5" s="14">
        <v>0</v>
      </c>
      <c r="G5" s="14">
        <v>0</v>
      </c>
      <c r="H5" s="14">
        <v>0</v>
      </c>
      <c r="I5" s="14">
        <v>0</v>
      </c>
      <c r="J5" s="18">
        <v>0</v>
      </c>
      <c r="K5" s="14">
        <v>1</v>
      </c>
      <c r="L5" s="18">
        <v>0</v>
      </c>
      <c r="M5" s="14" t="s">
        <v>86</v>
      </c>
      <c r="P5" s="14" t="str">
        <f>Setup!$A$5</f>
        <v>Expert 02</v>
      </c>
      <c r="Q5" s="14">
        <f t="shared" si="0"/>
        <v>1</v>
      </c>
      <c r="R5" s="14">
        <f t="shared" si="1"/>
        <v>0</v>
      </c>
      <c r="S5" s="14">
        <f t="shared" si="2"/>
        <v>0</v>
      </c>
      <c r="T5" s="14">
        <f t="shared" si="3"/>
        <v>0</v>
      </c>
      <c r="U5" s="14">
        <f t="shared" si="4"/>
        <v>0</v>
      </c>
      <c r="V5" s="18">
        <f t="shared" si="5"/>
        <v>51</v>
      </c>
      <c r="W5" s="14">
        <f t="shared" si="6"/>
        <v>1</v>
      </c>
      <c r="X5" s="18">
        <f t="shared" si="7"/>
        <v>0</v>
      </c>
    </row>
    <row r="6" spans="1:24" x14ac:dyDescent="0.25">
      <c r="A6" s="14" t="s">
        <v>45</v>
      </c>
      <c r="B6" s="14" t="s">
        <v>967</v>
      </c>
      <c r="C6" s="14" t="s">
        <v>1634</v>
      </c>
      <c r="D6" s="14" t="s">
        <v>72</v>
      </c>
      <c r="E6" s="14">
        <v>1</v>
      </c>
      <c r="F6" s="14">
        <v>0</v>
      </c>
      <c r="G6" s="14">
        <v>0</v>
      </c>
      <c r="H6" s="14">
        <v>0</v>
      </c>
      <c r="I6" s="14">
        <v>0</v>
      </c>
      <c r="J6" s="18">
        <v>0</v>
      </c>
      <c r="K6" s="14">
        <v>1</v>
      </c>
      <c r="L6" s="18">
        <v>116.41</v>
      </c>
      <c r="M6" s="14" t="s">
        <v>86</v>
      </c>
      <c r="P6" s="14" t="str">
        <f>Setup!$A$6</f>
        <v>Expert 03</v>
      </c>
      <c r="Q6" s="14">
        <f t="shared" si="0"/>
        <v>2</v>
      </c>
      <c r="R6" s="14">
        <f t="shared" si="1"/>
        <v>0</v>
      </c>
      <c r="S6" s="14">
        <f t="shared" si="2"/>
        <v>0</v>
      </c>
      <c r="T6" s="14">
        <f t="shared" si="3"/>
        <v>0</v>
      </c>
      <c r="U6" s="14">
        <f t="shared" si="4"/>
        <v>0</v>
      </c>
      <c r="V6" s="18">
        <f t="shared" si="5"/>
        <v>57</v>
      </c>
      <c r="W6" s="14">
        <f t="shared" si="6"/>
        <v>1</v>
      </c>
      <c r="X6" s="18">
        <f t="shared" si="7"/>
        <v>0</v>
      </c>
    </row>
    <row r="7" spans="1:24" x14ac:dyDescent="0.25">
      <c r="A7" s="14" t="s">
        <v>39</v>
      </c>
      <c r="B7" s="14" t="s">
        <v>1635</v>
      </c>
      <c r="C7" s="14" t="s">
        <v>1636</v>
      </c>
      <c r="D7" s="14" t="s">
        <v>54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8">
        <v>0</v>
      </c>
      <c r="K7" s="14">
        <v>1</v>
      </c>
      <c r="L7" s="18">
        <v>153.49</v>
      </c>
      <c r="M7" s="14" t="s">
        <v>86</v>
      </c>
      <c r="P7" s="14" t="str">
        <f>Setup!$A$7</f>
        <v>Expert 04</v>
      </c>
      <c r="Q7" s="14">
        <f t="shared" si="0"/>
        <v>2</v>
      </c>
      <c r="R7" s="14">
        <f t="shared" si="1"/>
        <v>0</v>
      </c>
      <c r="S7" s="14">
        <f t="shared" si="2"/>
        <v>0</v>
      </c>
      <c r="T7" s="14">
        <f t="shared" si="3"/>
        <v>0</v>
      </c>
      <c r="U7" s="14">
        <f t="shared" si="4"/>
        <v>0</v>
      </c>
      <c r="V7" s="18">
        <f t="shared" si="5"/>
        <v>0</v>
      </c>
      <c r="W7" s="14">
        <f t="shared" si="6"/>
        <v>2</v>
      </c>
      <c r="X7" s="18">
        <f t="shared" si="7"/>
        <v>116.41</v>
      </c>
    </row>
    <row r="8" spans="1:24" x14ac:dyDescent="0.25">
      <c r="A8" s="14" t="s">
        <v>53</v>
      </c>
      <c r="B8" s="14" t="s">
        <v>1637</v>
      </c>
      <c r="C8" s="14" t="s">
        <v>1638</v>
      </c>
      <c r="D8" s="14" t="s">
        <v>69</v>
      </c>
      <c r="E8" s="14">
        <v>1</v>
      </c>
      <c r="F8" s="14">
        <v>0</v>
      </c>
      <c r="G8" s="14">
        <v>0</v>
      </c>
      <c r="H8" s="14">
        <v>0</v>
      </c>
      <c r="I8" s="14">
        <v>0</v>
      </c>
      <c r="J8" s="18">
        <v>24</v>
      </c>
      <c r="K8" s="14">
        <v>1</v>
      </c>
      <c r="L8" s="18">
        <v>37.9</v>
      </c>
      <c r="M8" s="14" t="s">
        <v>86</v>
      </c>
      <c r="P8" s="14" t="str">
        <f>Setup!$A$8</f>
        <v>Expert 05</v>
      </c>
      <c r="Q8" s="14">
        <f t="shared" si="0"/>
        <v>1</v>
      </c>
      <c r="R8" s="14">
        <f t="shared" si="1"/>
        <v>1</v>
      </c>
      <c r="S8" s="14">
        <f t="shared" si="2"/>
        <v>0</v>
      </c>
      <c r="T8" s="14">
        <f t="shared" si="3"/>
        <v>0</v>
      </c>
      <c r="U8" s="14">
        <f t="shared" si="4"/>
        <v>0</v>
      </c>
      <c r="V8" s="18">
        <f t="shared" si="5"/>
        <v>33</v>
      </c>
      <c r="W8" s="14">
        <f t="shared" si="6"/>
        <v>2</v>
      </c>
      <c r="X8" s="18">
        <f t="shared" si="7"/>
        <v>279.85000000000002</v>
      </c>
    </row>
    <row r="9" spans="1:24" x14ac:dyDescent="0.25">
      <c r="A9" s="14" t="s">
        <v>39</v>
      </c>
      <c r="B9" s="14" t="s">
        <v>1548</v>
      </c>
      <c r="C9" s="14" t="s">
        <v>1639</v>
      </c>
      <c r="D9" s="14" t="s">
        <v>46</v>
      </c>
      <c r="E9" s="14">
        <v>1</v>
      </c>
      <c r="F9" s="14">
        <v>0</v>
      </c>
      <c r="G9" s="14">
        <v>1</v>
      </c>
      <c r="H9" s="14">
        <v>0</v>
      </c>
      <c r="I9" s="14">
        <v>0</v>
      </c>
      <c r="J9" s="18">
        <v>0</v>
      </c>
      <c r="K9" s="14">
        <v>1</v>
      </c>
      <c r="L9" s="18">
        <v>0</v>
      </c>
      <c r="M9" s="14" t="s">
        <v>86</v>
      </c>
      <c r="P9" s="14" t="str">
        <f>Setup!$A$9</f>
        <v>Expert 06</v>
      </c>
      <c r="Q9" s="14">
        <f t="shared" si="0"/>
        <v>0</v>
      </c>
      <c r="R9" s="14">
        <f t="shared" si="1"/>
        <v>0</v>
      </c>
      <c r="S9" s="14">
        <f t="shared" si="2"/>
        <v>0</v>
      </c>
      <c r="T9" s="14">
        <f t="shared" si="3"/>
        <v>0</v>
      </c>
      <c r="U9" s="14">
        <f t="shared" si="4"/>
        <v>0</v>
      </c>
      <c r="V9" s="18">
        <f t="shared" si="5"/>
        <v>0</v>
      </c>
      <c r="W9" s="14">
        <f t="shared" si="6"/>
        <v>0</v>
      </c>
      <c r="X9" s="18">
        <f t="shared" si="7"/>
        <v>0</v>
      </c>
    </row>
    <row r="10" spans="1:24" x14ac:dyDescent="0.25">
      <c r="A10" s="14" t="s">
        <v>43</v>
      </c>
      <c r="B10" s="14" t="s">
        <v>1640</v>
      </c>
      <c r="C10" s="14" t="s">
        <v>1641</v>
      </c>
      <c r="D10" s="14" t="s">
        <v>40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8">
        <v>24</v>
      </c>
      <c r="K10" s="14">
        <v>1</v>
      </c>
      <c r="L10" s="18">
        <v>0</v>
      </c>
      <c r="M10" s="14" t="s">
        <v>86</v>
      </c>
      <c r="P10" s="14" t="str">
        <f>Setup!$A$10</f>
        <v>Expert 07</v>
      </c>
      <c r="Q10" s="14">
        <f t="shared" si="0"/>
        <v>2</v>
      </c>
      <c r="R10" s="14">
        <f t="shared" si="1"/>
        <v>1</v>
      </c>
      <c r="S10" s="14">
        <f t="shared" si="2"/>
        <v>0</v>
      </c>
      <c r="T10" s="14">
        <f t="shared" si="3"/>
        <v>0</v>
      </c>
      <c r="U10" s="14">
        <f t="shared" si="4"/>
        <v>0</v>
      </c>
      <c r="V10" s="18">
        <f t="shared" si="5"/>
        <v>16</v>
      </c>
      <c r="W10" s="14">
        <f t="shared" si="6"/>
        <v>2</v>
      </c>
      <c r="X10" s="18">
        <f t="shared" si="7"/>
        <v>9.2799999999999994</v>
      </c>
    </row>
    <row r="11" spans="1:24" x14ac:dyDescent="0.25">
      <c r="A11" s="14" t="s">
        <v>43</v>
      </c>
      <c r="B11" s="14" t="s">
        <v>1566</v>
      </c>
      <c r="C11" s="14" t="s">
        <v>1642</v>
      </c>
      <c r="D11" s="14" t="s">
        <v>75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8">
        <v>33</v>
      </c>
      <c r="K11" s="14">
        <v>0</v>
      </c>
      <c r="L11" s="18">
        <v>0</v>
      </c>
      <c r="M11" s="14" t="s">
        <v>86</v>
      </c>
      <c r="P11" s="14" t="str">
        <f>Setup!$A$11</f>
        <v>Expert 08</v>
      </c>
      <c r="Q11" s="14">
        <f t="shared" si="0"/>
        <v>1</v>
      </c>
      <c r="R11" s="14">
        <f t="shared" si="1"/>
        <v>0</v>
      </c>
      <c r="S11" s="14">
        <f t="shared" si="2"/>
        <v>0</v>
      </c>
      <c r="T11" s="14">
        <f t="shared" si="3"/>
        <v>0</v>
      </c>
      <c r="U11" s="14">
        <f t="shared" si="4"/>
        <v>0</v>
      </c>
      <c r="V11" s="18">
        <f t="shared" si="5"/>
        <v>24</v>
      </c>
      <c r="W11" s="14">
        <f t="shared" si="6"/>
        <v>1</v>
      </c>
      <c r="X11" s="18">
        <f t="shared" si="7"/>
        <v>37.9</v>
      </c>
    </row>
    <row r="12" spans="1:24" x14ac:dyDescent="0.25">
      <c r="A12" s="14" t="s">
        <v>57</v>
      </c>
      <c r="B12" s="14" t="s">
        <v>1643</v>
      </c>
      <c r="C12" s="14" t="s">
        <v>1644</v>
      </c>
      <c r="D12" s="14" t="s">
        <v>66</v>
      </c>
      <c r="E12" s="14">
        <v>1</v>
      </c>
      <c r="F12" s="14">
        <v>0</v>
      </c>
      <c r="G12" s="14">
        <v>0</v>
      </c>
      <c r="H12" s="14">
        <v>0</v>
      </c>
      <c r="I12" s="14">
        <v>0</v>
      </c>
      <c r="J12" s="18">
        <v>0</v>
      </c>
      <c r="K12" s="14">
        <v>1</v>
      </c>
      <c r="L12" s="18">
        <v>25.82</v>
      </c>
      <c r="M12" s="14" t="s">
        <v>86</v>
      </c>
      <c r="P12" s="14" t="str">
        <f>Setup!$A$12</f>
        <v>Expert 09</v>
      </c>
      <c r="Q12" s="14">
        <f t="shared" si="0"/>
        <v>0</v>
      </c>
      <c r="R12" s="14">
        <f t="shared" si="1"/>
        <v>1</v>
      </c>
      <c r="S12" s="14">
        <f t="shared" si="2"/>
        <v>0</v>
      </c>
      <c r="T12" s="14">
        <f t="shared" si="3"/>
        <v>0</v>
      </c>
      <c r="U12" s="14">
        <f t="shared" si="4"/>
        <v>0</v>
      </c>
      <c r="V12" s="18">
        <f t="shared" si="5"/>
        <v>18</v>
      </c>
      <c r="W12" s="14">
        <f t="shared" si="6"/>
        <v>1</v>
      </c>
      <c r="X12" s="18">
        <f t="shared" si="7"/>
        <v>0</v>
      </c>
    </row>
    <row r="13" spans="1:24" x14ac:dyDescent="0.25">
      <c r="A13" s="14" t="s">
        <v>41</v>
      </c>
      <c r="B13" s="14" t="s">
        <v>1645</v>
      </c>
      <c r="C13" s="14" t="s">
        <v>1646</v>
      </c>
      <c r="D13" s="14" t="s">
        <v>76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8">
        <v>18</v>
      </c>
      <c r="K13" s="14">
        <v>0</v>
      </c>
      <c r="L13" s="18">
        <v>0</v>
      </c>
      <c r="M13" s="14" t="s">
        <v>86</v>
      </c>
      <c r="P13" s="14" t="str">
        <f>Setup!$A$13</f>
        <v>Expert 10</v>
      </c>
      <c r="Q13" s="14">
        <f t="shared" si="0"/>
        <v>3</v>
      </c>
      <c r="R13" s="14">
        <f t="shared" si="1"/>
        <v>0</v>
      </c>
      <c r="S13" s="14">
        <f t="shared" si="2"/>
        <v>0</v>
      </c>
      <c r="T13" s="14">
        <f t="shared" si="3"/>
        <v>0</v>
      </c>
      <c r="U13" s="14">
        <f t="shared" si="4"/>
        <v>0</v>
      </c>
      <c r="V13" s="18">
        <f t="shared" si="5"/>
        <v>15</v>
      </c>
      <c r="W13" s="14">
        <f t="shared" si="6"/>
        <v>3</v>
      </c>
      <c r="X13" s="18">
        <f t="shared" si="7"/>
        <v>25.82</v>
      </c>
    </row>
    <row r="14" spans="1:24" x14ac:dyDescent="0.25">
      <c r="A14" s="14" t="s">
        <v>57</v>
      </c>
      <c r="B14" s="14" t="s">
        <v>1647</v>
      </c>
      <c r="C14" s="14" t="s">
        <v>1648</v>
      </c>
      <c r="D14" s="14" t="s">
        <v>72</v>
      </c>
      <c r="E14" s="14">
        <v>1</v>
      </c>
      <c r="F14" s="14">
        <v>0</v>
      </c>
      <c r="G14" s="14">
        <v>0</v>
      </c>
      <c r="H14" s="14">
        <v>0</v>
      </c>
      <c r="I14" s="14">
        <v>0</v>
      </c>
      <c r="J14" s="18">
        <v>15</v>
      </c>
      <c r="K14" s="14">
        <v>1</v>
      </c>
      <c r="L14" s="18">
        <v>0</v>
      </c>
      <c r="M14" s="14" t="s">
        <v>86</v>
      </c>
      <c r="P14" s="14" t="str">
        <f>Setup!$A$14</f>
        <v>Expert 11</v>
      </c>
      <c r="Q14" s="14">
        <f t="shared" si="0"/>
        <v>0</v>
      </c>
      <c r="R14" s="14">
        <f t="shared" si="1"/>
        <v>0</v>
      </c>
      <c r="S14" s="14">
        <f t="shared" si="2"/>
        <v>0</v>
      </c>
      <c r="T14" s="14">
        <f t="shared" si="3"/>
        <v>0</v>
      </c>
      <c r="U14" s="14">
        <f t="shared" si="4"/>
        <v>0</v>
      </c>
      <c r="V14" s="18">
        <f t="shared" si="5"/>
        <v>0</v>
      </c>
      <c r="W14" s="14">
        <f t="shared" si="6"/>
        <v>0</v>
      </c>
      <c r="X14" s="18">
        <f t="shared" si="7"/>
        <v>0</v>
      </c>
    </row>
    <row r="15" spans="1:24" x14ac:dyDescent="0.25">
      <c r="A15" s="14" t="s">
        <v>47</v>
      </c>
      <c r="B15" s="14" t="s">
        <v>1649</v>
      </c>
      <c r="C15" s="14" t="s">
        <v>1650</v>
      </c>
      <c r="D15" s="14" t="s">
        <v>63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8">
        <v>33</v>
      </c>
      <c r="K15" s="14">
        <v>1</v>
      </c>
      <c r="L15" s="18">
        <v>108.62</v>
      </c>
      <c r="M15" s="14" t="s">
        <v>86</v>
      </c>
      <c r="P15" s="14" t="str">
        <f>Setup!$A$15</f>
        <v>Expert 12</v>
      </c>
      <c r="Q15" s="14">
        <f t="shared" si="0"/>
        <v>1</v>
      </c>
      <c r="R15" s="14">
        <f t="shared" si="1"/>
        <v>0</v>
      </c>
      <c r="S15" s="14">
        <f t="shared" si="2"/>
        <v>0</v>
      </c>
      <c r="T15" s="14">
        <f t="shared" si="3"/>
        <v>0</v>
      </c>
      <c r="U15" s="14">
        <f t="shared" si="4"/>
        <v>0</v>
      </c>
      <c r="V15" s="18">
        <f t="shared" si="5"/>
        <v>0</v>
      </c>
      <c r="W15" s="14">
        <f t="shared" si="6"/>
        <v>1</v>
      </c>
      <c r="X15" s="18">
        <f t="shared" si="7"/>
        <v>0</v>
      </c>
    </row>
    <row r="16" spans="1:24" x14ac:dyDescent="0.25">
      <c r="A16" s="14" t="s">
        <v>51</v>
      </c>
      <c r="B16" s="14" t="s">
        <v>1651</v>
      </c>
      <c r="C16" s="14" t="s">
        <v>1652</v>
      </c>
      <c r="D16" s="14" t="s">
        <v>75</v>
      </c>
      <c r="E16" s="14">
        <v>1</v>
      </c>
      <c r="F16" s="14">
        <v>0</v>
      </c>
      <c r="G16" s="14">
        <v>0</v>
      </c>
      <c r="H16" s="14">
        <v>0</v>
      </c>
      <c r="I16" s="14">
        <v>0</v>
      </c>
      <c r="J16" s="18">
        <v>0</v>
      </c>
      <c r="K16" s="14">
        <v>0</v>
      </c>
      <c r="L16" s="18">
        <v>0</v>
      </c>
      <c r="M16" s="14" t="s">
        <v>86</v>
      </c>
      <c r="P16" s="19" t="s">
        <v>112</v>
      </c>
      <c r="Q16" s="20">
        <f t="shared" ref="Q16:X16" si="8">SUM(Q4:Q15)</f>
        <v>15</v>
      </c>
      <c r="R16" s="20">
        <f t="shared" si="8"/>
        <v>4</v>
      </c>
      <c r="S16" s="20">
        <f t="shared" si="8"/>
        <v>1</v>
      </c>
      <c r="T16" s="20">
        <f t="shared" si="8"/>
        <v>1</v>
      </c>
      <c r="U16" s="20">
        <f t="shared" si="8"/>
        <v>0</v>
      </c>
      <c r="V16" s="21">
        <f t="shared" si="8"/>
        <v>214</v>
      </c>
      <c r="W16" s="20">
        <f t="shared" si="8"/>
        <v>17</v>
      </c>
      <c r="X16" s="21">
        <f t="shared" si="8"/>
        <v>731.69</v>
      </c>
    </row>
    <row r="17" spans="1:13" x14ac:dyDescent="0.25">
      <c r="A17" s="14" t="s">
        <v>51</v>
      </c>
      <c r="B17" s="14" t="s">
        <v>1653</v>
      </c>
      <c r="C17" s="14" t="s">
        <v>1654</v>
      </c>
      <c r="D17" s="14" t="s">
        <v>40</v>
      </c>
      <c r="E17" s="14">
        <v>1</v>
      </c>
      <c r="F17" s="14">
        <v>0</v>
      </c>
      <c r="G17" s="14">
        <v>0</v>
      </c>
      <c r="H17" s="14">
        <v>0</v>
      </c>
      <c r="I17" s="14">
        <v>0</v>
      </c>
      <c r="J17" s="18">
        <v>16</v>
      </c>
      <c r="K17" s="14">
        <v>1</v>
      </c>
      <c r="L17" s="18">
        <v>9.2799999999999994</v>
      </c>
      <c r="M17" s="14" t="s">
        <v>86</v>
      </c>
    </row>
    <row r="18" spans="1:13" x14ac:dyDescent="0.25">
      <c r="A18" s="14" t="s">
        <v>39</v>
      </c>
      <c r="B18" s="14" t="s">
        <v>1655</v>
      </c>
      <c r="C18" s="14" t="s">
        <v>1656</v>
      </c>
      <c r="D18" s="14" t="s">
        <v>48</v>
      </c>
      <c r="E18" s="14">
        <v>1</v>
      </c>
      <c r="F18" s="14">
        <v>0</v>
      </c>
      <c r="G18" s="14">
        <v>0</v>
      </c>
      <c r="H18" s="14">
        <v>1</v>
      </c>
      <c r="I18" s="14">
        <v>0</v>
      </c>
      <c r="J18" s="18">
        <v>0</v>
      </c>
      <c r="K18" s="14">
        <v>1</v>
      </c>
      <c r="L18" s="18">
        <v>108.94</v>
      </c>
      <c r="M18" s="14" t="s">
        <v>86</v>
      </c>
    </row>
    <row r="19" spans="1:13" x14ac:dyDescent="0.25">
      <c r="A19" s="14" t="s">
        <v>61</v>
      </c>
      <c r="B19" s="14" t="s">
        <v>1657</v>
      </c>
      <c r="C19" s="14" t="s">
        <v>1658</v>
      </c>
      <c r="D19" s="14" t="s">
        <v>42</v>
      </c>
      <c r="E19" s="14">
        <v>1</v>
      </c>
      <c r="F19" s="14">
        <v>0</v>
      </c>
      <c r="G19" s="14">
        <v>0</v>
      </c>
      <c r="H19" s="14">
        <v>0</v>
      </c>
      <c r="I19" s="14">
        <v>0</v>
      </c>
      <c r="J19" s="18">
        <v>0</v>
      </c>
      <c r="K19" s="14">
        <v>1</v>
      </c>
      <c r="L19" s="18">
        <v>0</v>
      </c>
      <c r="M19" s="14" t="s">
        <v>86</v>
      </c>
    </row>
    <row r="20" spans="1:13" x14ac:dyDescent="0.25">
      <c r="A20" s="14" t="s">
        <v>47</v>
      </c>
      <c r="B20" s="14" t="s">
        <v>1659</v>
      </c>
      <c r="C20" s="14" t="s">
        <v>1660</v>
      </c>
      <c r="D20" s="14" t="s">
        <v>52</v>
      </c>
      <c r="E20" s="14">
        <v>1</v>
      </c>
      <c r="F20" s="14">
        <v>0</v>
      </c>
      <c r="G20" s="14">
        <v>0</v>
      </c>
      <c r="H20" s="14">
        <v>0</v>
      </c>
      <c r="I20" s="14">
        <v>0</v>
      </c>
      <c r="J20" s="18">
        <v>0</v>
      </c>
      <c r="K20" s="14">
        <v>1</v>
      </c>
      <c r="L20" s="18">
        <v>171.23</v>
      </c>
      <c r="M20" s="14" t="s">
        <v>86</v>
      </c>
    </row>
    <row r="21" spans="1:13" x14ac:dyDescent="0.25">
      <c r="A21" s="14" t="s">
        <v>45</v>
      </c>
      <c r="B21" s="14" t="s">
        <v>1661</v>
      </c>
      <c r="C21" s="14" t="s">
        <v>1662</v>
      </c>
      <c r="D21" s="14" t="s">
        <v>44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8">
        <v>0</v>
      </c>
      <c r="K21" s="14">
        <v>1</v>
      </c>
      <c r="L21" s="18">
        <v>0</v>
      </c>
      <c r="M21" s="14" t="s">
        <v>86</v>
      </c>
    </row>
    <row r="22" spans="1:13" x14ac:dyDescent="0.25">
      <c r="A22" s="14" t="s">
        <v>41</v>
      </c>
      <c r="B22" s="14" t="s">
        <v>1663</v>
      </c>
      <c r="C22" s="14" t="s">
        <v>1664</v>
      </c>
      <c r="D22" s="14" t="s">
        <v>71</v>
      </c>
      <c r="E22" s="14">
        <v>1</v>
      </c>
      <c r="F22" s="14">
        <v>0</v>
      </c>
      <c r="G22" s="14">
        <v>0</v>
      </c>
      <c r="H22" s="14">
        <v>0</v>
      </c>
      <c r="I22" s="14">
        <v>0</v>
      </c>
      <c r="J22" s="18">
        <v>33</v>
      </c>
      <c r="K22" s="14">
        <v>1</v>
      </c>
      <c r="L22" s="18">
        <v>0</v>
      </c>
      <c r="M22" s="14" t="s">
        <v>86</v>
      </c>
    </row>
    <row r="23" spans="1:13" x14ac:dyDescent="0.25">
      <c r="A23" s="14" t="s">
        <v>51</v>
      </c>
      <c r="B23" s="14" t="s">
        <v>1665</v>
      </c>
      <c r="C23" s="14" t="s">
        <v>1666</v>
      </c>
      <c r="D23" s="14" t="s">
        <v>60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8">
        <v>0</v>
      </c>
      <c r="K23" s="14">
        <v>1</v>
      </c>
      <c r="L23" s="18">
        <v>0</v>
      </c>
      <c r="M23" s="14" t="s">
        <v>86</v>
      </c>
    </row>
    <row r="24" spans="1:13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8"/>
      <c r="K24" s="14"/>
      <c r="L24" s="18"/>
      <c r="M24" s="14"/>
    </row>
    <row r="25" spans="1:13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8"/>
      <c r="K25" s="14"/>
      <c r="L25" s="18"/>
      <c r="M25" s="14"/>
    </row>
    <row r="26" spans="1:13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8"/>
      <c r="K26" s="14"/>
      <c r="L26" s="18"/>
      <c r="M26" s="14"/>
    </row>
    <row r="27" spans="1:13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8"/>
      <c r="K27" s="14"/>
      <c r="L27" s="18"/>
      <c r="M27" s="14"/>
    </row>
    <row r="28" spans="1:13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8"/>
      <c r="K28" s="14"/>
      <c r="L28" s="18"/>
      <c r="M28" s="14"/>
    </row>
    <row r="29" spans="1:13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8"/>
      <c r="K29" s="14"/>
      <c r="L29" s="18"/>
      <c r="M29" s="14"/>
    </row>
    <row r="30" spans="1:13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8"/>
      <c r="K30" s="14"/>
      <c r="L30" s="18"/>
      <c r="M30" s="14"/>
    </row>
    <row r="31" spans="1:13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8"/>
      <c r="K31" s="14"/>
      <c r="L31" s="18"/>
      <c r="M31" s="14"/>
    </row>
    <row r="32" spans="1:13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8"/>
      <c r="K32" s="14"/>
      <c r="L32" s="18"/>
      <c r="M32" s="14"/>
    </row>
    <row r="33" spans="1:1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8"/>
      <c r="K33" s="14"/>
      <c r="L33" s="18"/>
      <c r="M33" s="14"/>
    </row>
    <row r="34" spans="1:13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8"/>
      <c r="K34" s="14"/>
      <c r="L34" s="18"/>
      <c r="M34" s="14"/>
    </row>
    <row r="35" spans="1:13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8"/>
      <c r="K35" s="14"/>
      <c r="L35" s="18"/>
      <c r="M35" s="14"/>
    </row>
    <row r="36" spans="1:13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8"/>
      <c r="K36" s="14"/>
      <c r="L36" s="18"/>
      <c r="M36" s="14"/>
    </row>
    <row r="37" spans="1:13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8"/>
      <c r="K37" s="14"/>
      <c r="L37" s="18"/>
      <c r="M37" s="14"/>
    </row>
    <row r="38" spans="1:13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8"/>
      <c r="K38" s="14"/>
      <c r="L38" s="18"/>
      <c r="M38" s="14"/>
    </row>
    <row r="39" spans="1:13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8"/>
      <c r="K39" s="14"/>
      <c r="L39" s="18"/>
      <c r="M39" s="14"/>
    </row>
    <row r="40" spans="1:13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8"/>
      <c r="K40" s="14"/>
      <c r="L40" s="18"/>
      <c r="M40" s="14"/>
    </row>
    <row r="41" spans="1:13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8"/>
      <c r="K41" s="14"/>
      <c r="L41" s="18"/>
      <c r="M41" s="14"/>
    </row>
    <row r="42" spans="1:13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8"/>
      <c r="K42" s="14"/>
      <c r="L42" s="18"/>
      <c r="M42" s="14"/>
    </row>
    <row r="43" spans="1:13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8"/>
      <c r="K43" s="14"/>
      <c r="L43" s="18"/>
      <c r="M43" s="14"/>
    </row>
  </sheetData>
  <mergeCells count="2">
    <mergeCell ref="A2:M2"/>
    <mergeCell ref="A1:M1"/>
  </mergeCells>
  <dataValidations count="1">
    <dataValidation type="list" allowBlank="1" sqref="M4:M43" xr:uid="{00000000-0002-0000-2300-000002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Pick from the roster" error="Choose a Mobile Expert from the Setup tab." xr:uid="{00000000-0002-0000-2300-000000000000}">
          <x14:formula1>
            <xm:f>Setup!$A$4:$A$15</xm:f>
          </x14:formula1>
          <xm:sqref>A4:A43</xm:sqref>
        </x14:dataValidation>
        <x14:dataValidation type="list" allowBlank="1" showErrorMessage="1" errorTitle="Pick from the catalog" error="Choose a device from the Setup tab — do not type it." xr:uid="{00000000-0002-0000-2300-000001000000}">
          <x14:formula1>
            <xm:f>Setup!$C$4:$C$29</xm:f>
          </x14:formula1>
          <xm:sqref>D4:D43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Dashboard</vt:lpstr>
      <vt:lpstr>Team Leaderboard</vt:lpstr>
      <vt:lpstr>Daily Trend</vt:lpstr>
      <vt:lpstr>Store Total</vt:lpstr>
      <vt:lpstr>Setup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flores</cp:lastModifiedBy>
  <dcterms:created xsi:type="dcterms:W3CDTF">2026-08-17T04:43:34Z</dcterms:created>
  <dcterms:modified xsi:type="dcterms:W3CDTF">2026-08-17T04:44:55Z</dcterms:modified>
</cp:coreProperties>
</file>