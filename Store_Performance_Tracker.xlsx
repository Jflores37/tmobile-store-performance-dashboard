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B29989C7-B184-4A37-B347-0C14E50AF552}" xr6:coauthVersionLast="47" xr6:coauthVersionMax="47" xr10:uidLastSave="{00000000-0000-0000-0000-000000000000}"/>
  <bookViews>
    <workbookView minimized="1" xWindow="390" yWindow="390" windowWidth="21600" windowHeight="14835" activeTab="3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36" l="1"/>
  <c r="P14" i="36"/>
  <c r="P13" i="36"/>
  <c r="P12" i="36"/>
  <c r="P11" i="36"/>
  <c r="P10" i="36"/>
  <c r="P9" i="36"/>
  <c r="P8" i="36"/>
  <c r="P7" i="36"/>
  <c r="P6" i="36"/>
  <c r="P5" i="36"/>
  <c r="P4" i="36"/>
  <c r="P15" i="35"/>
  <c r="P14" i="35"/>
  <c r="P13" i="35"/>
  <c r="P12" i="35"/>
  <c r="P11" i="35"/>
  <c r="P10" i="35"/>
  <c r="P9" i="35"/>
  <c r="P8" i="35"/>
  <c r="P7" i="35"/>
  <c r="P6" i="35"/>
  <c r="P5" i="35"/>
  <c r="P4" i="35"/>
  <c r="P15" i="34"/>
  <c r="P14" i="34"/>
  <c r="P13" i="34"/>
  <c r="P12" i="34"/>
  <c r="P11" i="34"/>
  <c r="P10" i="34"/>
  <c r="P9" i="34"/>
  <c r="P8" i="34"/>
  <c r="P7" i="34"/>
  <c r="P6" i="34"/>
  <c r="P5" i="34"/>
  <c r="P4" i="34"/>
  <c r="P15" i="33"/>
  <c r="P14" i="33"/>
  <c r="P13" i="33"/>
  <c r="P12" i="33"/>
  <c r="P11" i="33"/>
  <c r="P10" i="33"/>
  <c r="P9" i="33"/>
  <c r="P8" i="33"/>
  <c r="P7" i="33"/>
  <c r="P6" i="33"/>
  <c r="P5" i="33"/>
  <c r="P4" i="33"/>
  <c r="P15" i="32"/>
  <c r="R15" i="32" s="1"/>
  <c r="P14" i="32"/>
  <c r="X13" i="32"/>
  <c r="W13" i="32"/>
  <c r="V13" i="32"/>
  <c r="P13" i="32"/>
  <c r="P12" i="32"/>
  <c r="P11" i="32"/>
  <c r="P10" i="32"/>
  <c r="P9" i="32"/>
  <c r="P8" i="32"/>
  <c r="P7" i="32"/>
  <c r="P6" i="32"/>
  <c r="P5" i="32"/>
  <c r="P4" i="32"/>
  <c r="P15" i="31"/>
  <c r="P14" i="31"/>
  <c r="P13" i="31"/>
  <c r="P12" i="31"/>
  <c r="P11" i="31"/>
  <c r="P10" i="31"/>
  <c r="P9" i="31"/>
  <c r="P8" i="31"/>
  <c r="P7" i="31"/>
  <c r="P6" i="31"/>
  <c r="P5" i="31"/>
  <c r="P4" i="31"/>
  <c r="P15" i="30"/>
  <c r="P14" i="30"/>
  <c r="P13" i="30"/>
  <c r="P12" i="30"/>
  <c r="P11" i="30"/>
  <c r="P10" i="30"/>
  <c r="P9" i="30"/>
  <c r="P8" i="30"/>
  <c r="P7" i="30"/>
  <c r="P6" i="30"/>
  <c r="P5" i="30"/>
  <c r="P4" i="30"/>
  <c r="P15" i="29"/>
  <c r="P14" i="29"/>
  <c r="P13" i="29"/>
  <c r="P12" i="29"/>
  <c r="P11" i="29"/>
  <c r="P10" i="29"/>
  <c r="P9" i="29"/>
  <c r="P8" i="29"/>
  <c r="P7" i="29"/>
  <c r="P6" i="29"/>
  <c r="P5" i="29"/>
  <c r="P4" i="29"/>
  <c r="P15" i="28"/>
  <c r="P14" i="28"/>
  <c r="P13" i="28"/>
  <c r="P12" i="28"/>
  <c r="P11" i="28"/>
  <c r="P10" i="28"/>
  <c r="P9" i="28"/>
  <c r="P8" i="28"/>
  <c r="P7" i="28"/>
  <c r="P6" i="28"/>
  <c r="P5" i="28"/>
  <c r="P4" i="28"/>
  <c r="P15" i="27"/>
  <c r="P14" i="27"/>
  <c r="P13" i="27"/>
  <c r="P12" i="27"/>
  <c r="P11" i="27"/>
  <c r="P10" i="27"/>
  <c r="P9" i="27"/>
  <c r="P8" i="27"/>
  <c r="P7" i="27"/>
  <c r="P6" i="27"/>
  <c r="P5" i="27"/>
  <c r="P4" i="27"/>
  <c r="P15" i="26"/>
  <c r="P14" i="26"/>
  <c r="P13" i="26"/>
  <c r="P12" i="26"/>
  <c r="P11" i="26"/>
  <c r="P10" i="26"/>
  <c r="P9" i="26"/>
  <c r="P8" i="26"/>
  <c r="P7" i="26"/>
  <c r="P6" i="26"/>
  <c r="P5" i="26"/>
  <c r="P4" i="26"/>
  <c r="P15" i="25"/>
  <c r="P14" i="25"/>
  <c r="P13" i="25"/>
  <c r="P12" i="25"/>
  <c r="P11" i="25"/>
  <c r="P10" i="25"/>
  <c r="P9" i="25"/>
  <c r="P8" i="25"/>
  <c r="P7" i="25"/>
  <c r="P6" i="25"/>
  <c r="P5" i="25"/>
  <c r="P4" i="25"/>
  <c r="P15" i="24"/>
  <c r="P14" i="24"/>
  <c r="P13" i="24"/>
  <c r="P12" i="24"/>
  <c r="P11" i="24"/>
  <c r="P10" i="24"/>
  <c r="P9" i="24"/>
  <c r="P8" i="24"/>
  <c r="P7" i="24"/>
  <c r="P6" i="24"/>
  <c r="P5" i="24"/>
  <c r="P4" i="24"/>
  <c r="P15" i="23"/>
  <c r="P14" i="23"/>
  <c r="P13" i="23"/>
  <c r="P12" i="23"/>
  <c r="P11" i="23"/>
  <c r="P10" i="23"/>
  <c r="P9" i="23"/>
  <c r="P8" i="23"/>
  <c r="P7" i="23"/>
  <c r="P6" i="23"/>
  <c r="P5" i="23"/>
  <c r="P4" i="23"/>
  <c r="P15" i="22"/>
  <c r="P14" i="22"/>
  <c r="P13" i="22"/>
  <c r="P12" i="22"/>
  <c r="P11" i="22"/>
  <c r="P10" i="22"/>
  <c r="P9" i="22"/>
  <c r="P8" i="22"/>
  <c r="Q8" i="22" s="1"/>
  <c r="P7" i="22"/>
  <c r="P6" i="22"/>
  <c r="P5" i="22"/>
  <c r="P4" i="22"/>
  <c r="P15" i="21"/>
  <c r="P14" i="21"/>
  <c r="P13" i="21"/>
  <c r="P12" i="21"/>
  <c r="P11" i="21"/>
  <c r="P10" i="21"/>
  <c r="P9" i="21"/>
  <c r="P8" i="21"/>
  <c r="P7" i="21"/>
  <c r="P6" i="21"/>
  <c r="P5" i="21"/>
  <c r="P4" i="21"/>
  <c r="P15" i="20"/>
  <c r="P14" i="20"/>
  <c r="P13" i="20"/>
  <c r="P12" i="20"/>
  <c r="P11" i="20"/>
  <c r="P10" i="20"/>
  <c r="P9" i="20"/>
  <c r="P8" i="20"/>
  <c r="P7" i="20"/>
  <c r="P6" i="20"/>
  <c r="P5" i="20"/>
  <c r="P4" i="20"/>
  <c r="P15" i="19"/>
  <c r="U14" i="19"/>
  <c r="P14" i="19"/>
  <c r="P13" i="19"/>
  <c r="P12" i="19"/>
  <c r="P11" i="19"/>
  <c r="P10" i="19"/>
  <c r="P9" i="19"/>
  <c r="P8" i="19"/>
  <c r="P7" i="19"/>
  <c r="P6" i="19"/>
  <c r="P5" i="19"/>
  <c r="P4" i="19"/>
  <c r="P15" i="18"/>
  <c r="P14" i="18"/>
  <c r="P13" i="18"/>
  <c r="P12" i="18"/>
  <c r="P11" i="18"/>
  <c r="P10" i="18"/>
  <c r="P9" i="18"/>
  <c r="P8" i="18"/>
  <c r="Q8" i="18" s="1"/>
  <c r="P7" i="18"/>
  <c r="P6" i="18"/>
  <c r="P5" i="18"/>
  <c r="P4" i="18"/>
  <c r="P15" i="17"/>
  <c r="P14" i="17"/>
  <c r="P13" i="17"/>
  <c r="P12" i="17"/>
  <c r="P11" i="17"/>
  <c r="P10" i="17"/>
  <c r="P9" i="17"/>
  <c r="P8" i="17"/>
  <c r="P7" i="17"/>
  <c r="P6" i="17"/>
  <c r="P5" i="17"/>
  <c r="P4" i="17"/>
  <c r="P15" i="16"/>
  <c r="P14" i="16"/>
  <c r="P13" i="16"/>
  <c r="P12" i="16"/>
  <c r="P11" i="16"/>
  <c r="P10" i="16"/>
  <c r="P9" i="16"/>
  <c r="P8" i="16"/>
  <c r="P7" i="16"/>
  <c r="P6" i="16"/>
  <c r="P5" i="16"/>
  <c r="P4" i="16"/>
  <c r="P15" i="15"/>
  <c r="P14" i="15"/>
  <c r="P13" i="15"/>
  <c r="P12" i="15"/>
  <c r="P11" i="15"/>
  <c r="P10" i="15"/>
  <c r="P9" i="15"/>
  <c r="P8" i="15"/>
  <c r="P7" i="15"/>
  <c r="P6" i="15"/>
  <c r="P5" i="15"/>
  <c r="P4" i="15"/>
  <c r="P15" i="14"/>
  <c r="P14" i="14"/>
  <c r="P13" i="14"/>
  <c r="P12" i="14"/>
  <c r="P11" i="14"/>
  <c r="P10" i="14"/>
  <c r="P9" i="14"/>
  <c r="P8" i="14"/>
  <c r="P7" i="14"/>
  <c r="P6" i="14"/>
  <c r="P5" i="14"/>
  <c r="P4" i="14"/>
  <c r="P15" i="13"/>
  <c r="P14" i="13"/>
  <c r="P13" i="13"/>
  <c r="P12" i="13"/>
  <c r="P11" i="13"/>
  <c r="P10" i="13"/>
  <c r="P9" i="13"/>
  <c r="X8" i="13"/>
  <c r="W8" i="13"/>
  <c r="P8" i="13"/>
  <c r="P7" i="13"/>
  <c r="P6" i="13"/>
  <c r="P5" i="13"/>
  <c r="P4" i="13"/>
  <c r="P15" i="12"/>
  <c r="P14" i="12"/>
  <c r="P13" i="12"/>
  <c r="P12" i="12"/>
  <c r="P11" i="12"/>
  <c r="P10" i="12"/>
  <c r="P9" i="12"/>
  <c r="P8" i="12"/>
  <c r="P7" i="12"/>
  <c r="P6" i="12"/>
  <c r="P5" i="12"/>
  <c r="P4" i="12"/>
  <c r="P15" i="11"/>
  <c r="P14" i="11"/>
  <c r="P13" i="11"/>
  <c r="P12" i="11"/>
  <c r="P11" i="11"/>
  <c r="P10" i="11"/>
  <c r="P9" i="11"/>
  <c r="P8" i="11"/>
  <c r="P7" i="11"/>
  <c r="P6" i="11"/>
  <c r="X6" i="11" s="1"/>
  <c r="P5" i="11"/>
  <c r="P4" i="11"/>
  <c r="P15" i="10"/>
  <c r="P14" i="10"/>
  <c r="P13" i="10"/>
  <c r="P12" i="10"/>
  <c r="P11" i="10"/>
  <c r="P10" i="10"/>
  <c r="P9" i="10"/>
  <c r="P8" i="10"/>
  <c r="P7" i="10"/>
  <c r="P6" i="10"/>
  <c r="P5" i="10"/>
  <c r="P4" i="10"/>
  <c r="P15" i="9"/>
  <c r="P14" i="9"/>
  <c r="P13" i="9"/>
  <c r="P12" i="9"/>
  <c r="P11" i="9"/>
  <c r="P10" i="9"/>
  <c r="P9" i="9"/>
  <c r="P8" i="9"/>
  <c r="P7" i="9"/>
  <c r="P6" i="9"/>
  <c r="P5" i="9"/>
  <c r="P4" i="9"/>
  <c r="P15" i="8"/>
  <c r="P14" i="8"/>
  <c r="P13" i="8"/>
  <c r="P12" i="8"/>
  <c r="P11" i="8"/>
  <c r="P10" i="8"/>
  <c r="P9" i="8"/>
  <c r="P8" i="8"/>
  <c r="P7" i="8"/>
  <c r="P6" i="8"/>
  <c r="P5" i="8"/>
  <c r="P4" i="8"/>
  <c r="P15" i="7"/>
  <c r="P14" i="7"/>
  <c r="P13" i="7"/>
  <c r="P12" i="7"/>
  <c r="P11" i="7"/>
  <c r="P10" i="7"/>
  <c r="P9" i="7"/>
  <c r="P8" i="7"/>
  <c r="P7" i="7"/>
  <c r="P6" i="7"/>
  <c r="P5" i="7"/>
  <c r="P4" i="7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B15" i="2"/>
  <c r="B14" i="2"/>
  <c r="B13" i="2"/>
  <c r="B12" i="2"/>
  <c r="B11" i="2"/>
  <c r="B10" i="2"/>
  <c r="B9" i="2"/>
  <c r="B8" i="2"/>
  <c r="B7" i="2"/>
  <c r="B6" i="2"/>
  <c r="B5" i="2"/>
  <c r="B4" i="2"/>
  <c r="U13" i="32" l="1"/>
  <c r="T13" i="32"/>
  <c r="S13" i="32"/>
  <c r="R13" i="32"/>
  <c r="Q13" i="32"/>
  <c r="Q11" i="30"/>
  <c r="X11" i="30"/>
  <c r="W11" i="30"/>
  <c r="V11" i="30"/>
  <c r="U11" i="30"/>
  <c r="T11" i="30"/>
  <c r="S11" i="30"/>
  <c r="R11" i="30"/>
  <c r="S9" i="28"/>
  <c r="X9" i="28"/>
  <c r="W9" i="28"/>
  <c r="V9" i="28"/>
  <c r="U9" i="28"/>
  <c r="T9" i="28"/>
  <c r="V7" i="26"/>
  <c r="W7" i="26"/>
  <c r="U7" i="26"/>
  <c r="T7" i="26"/>
  <c r="X7" i="26"/>
  <c r="X5" i="24"/>
  <c r="V5" i="24"/>
  <c r="U5" i="24"/>
  <c r="T5" i="24"/>
  <c r="W5" i="24"/>
  <c r="W14" i="19"/>
  <c r="V14" i="19"/>
  <c r="X14" i="19"/>
  <c r="V12" i="17"/>
  <c r="X12" i="17"/>
  <c r="W12" i="17"/>
  <c r="X10" i="15"/>
  <c r="W10" i="15"/>
  <c r="X15" i="36"/>
  <c r="W15" i="36"/>
  <c r="V15" i="36"/>
  <c r="U15" i="36"/>
  <c r="T15" i="36"/>
  <c r="S15" i="36"/>
  <c r="R15" i="36"/>
  <c r="Q15" i="36"/>
  <c r="X14" i="36"/>
  <c r="W14" i="36"/>
  <c r="V14" i="36"/>
  <c r="U14" i="36"/>
  <c r="T14" i="36"/>
  <c r="S14" i="36"/>
  <c r="R14" i="36"/>
  <c r="Q14" i="36"/>
  <c r="X13" i="36"/>
  <c r="W13" i="36"/>
  <c r="V13" i="36"/>
  <c r="U13" i="36"/>
  <c r="T13" i="36"/>
  <c r="S13" i="36"/>
  <c r="R13" i="36"/>
  <c r="Q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X10" i="36"/>
  <c r="W10" i="36"/>
  <c r="V10" i="36"/>
  <c r="U10" i="36"/>
  <c r="T10" i="36"/>
  <c r="S10" i="36"/>
  <c r="R10" i="36"/>
  <c r="Q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S5" i="36"/>
  <c r="R5" i="36"/>
  <c r="Q5" i="36"/>
  <c r="X4" i="36"/>
  <c r="X16" i="36" s="1"/>
  <c r="I34" i="3" s="1"/>
  <c r="W4" i="36"/>
  <c r="W16" i="36" s="1"/>
  <c r="H34" i="3" s="1"/>
  <c r="V4" i="36"/>
  <c r="V16" i="36" s="1"/>
  <c r="G34" i="3" s="1"/>
  <c r="U4" i="36"/>
  <c r="U16" i="36" s="1"/>
  <c r="F34" i="3" s="1"/>
  <c r="T4" i="36"/>
  <c r="T16" i="36" s="1"/>
  <c r="E34" i="3" s="1"/>
  <c r="S4" i="36"/>
  <c r="S16" i="36" s="1"/>
  <c r="D34" i="3" s="1"/>
  <c r="R4" i="36"/>
  <c r="R16" i="36" s="1"/>
  <c r="C34" i="3" s="1"/>
  <c r="Q4" i="36"/>
  <c r="Q16" i="36" s="1"/>
  <c r="X15" i="35"/>
  <c r="W15" i="35"/>
  <c r="V15" i="35"/>
  <c r="U15" i="35"/>
  <c r="T15" i="35"/>
  <c r="S15" i="35"/>
  <c r="R15" i="35"/>
  <c r="Q15" i="35"/>
  <c r="X14" i="35"/>
  <c r="W14" i="35"/>
  <c r="V14" i="35"/>
  <c r="U14" i="35"/>
  <c r="T14" i="35"/>
  <c r="S14" i="35"/>
  <c r="R14" i="35"/>
  <c r="Q14" i="35"/>
  <c r="X13" i="35"/>
  <c r="W13" i="35"/>
  <c r="V13" i="35"/>
  <c r="U13" i="35"/>
  <c r="T13" i="35"/>
  <c r="S13" i="35"/>
  <c r="R13" i="35"/>
  <c r="Q13" i="35"/>
  <c r="X12" i="35"/>
  <c r="W12" i="35"/>
  <c r="V12" i="35"/>
  <c r="U12" i="35"/>
  <c r="T12" i="35"/>
  <c r="S12" i="35"/>
  <c r="R12" i="35"/>
  <c r="Q12" i="35"/>
  <c r="X11" i="35"/>
  <c r="W11" i="35"/>
  <c r="V11" i="35"/>
  <c r="U11" i="35"/>
  <c r="T11" i="35"/>
  <c r="S11" i="35"/>
  <c r="R11" i="35"/>
  <c r="Q11" i="35"/>
  <c r="X10" i="35"/>
  <c r="W10" i="35"/>
  <c r="V10" i="35"/>
  <c r="U10" i="35"/>
  <c r="T10" i="35"/>
  <c r="S10" i="35"/>
  <c r="R10" i="35"/>
  <c r="Q10" i="35"/>
  <c r="X9" i="35"/>
  <c r="W9" i="35"/>
  <c r="V9" i="35"/>
  <c r="U9" i="35"/>
  <c r="T9" i="35"/>
  <c r="S9" i="35"/>
  <c r="R9" i="35"/>
  <c r="Q9" i="35"/>
  <c r="X8" i="35"/>
  <c r="W8" i="35"/>
  <c r="V8" i="35"/>
  <c r="U8" i="35"/>
  <c r="T8" i="35"/>
  <c r="S8" i="35"/>
  <c r="R8" i="35"/>
  <c r="Q8" i="35"/>
  <c r="X7" i="35"/>
  <c r="W7" i="35"/>
  <c r="V7" i="35"/>
  <c r="U7" i="35"/>
  <c r="T7" i="35"/>
  <c r="S7" i="35"/>
  <c r="R7" i="35"/>
  <c r="Q7" i="35"/>
  <c r="X6" i="35"/>
  <c r="W6" i="35"/>
  <c r="V6" i="35"/>
  <c r="U6" i="35"/>
  <c r="T6" i="35"/>
  <c r="S6" i="35"/>
  <c r="R6" i="35"/>
  <c r="Q6" i="35"/>
  <c r="X5" i="35"/>
  <c r="W5" i="35"/>
  <c r="V5" i="35"/>
  <c r="U5" i="35"/>
  <c r="T5" i="35"/>
  <c r="S5" i="35"/>
  <c r="R5" i="35"/>
  <c r="Q5" i="35"/>
  <c r="X4" i="35"/>
  <c r="W4" i="35"/>
  <c r="V4" i="35"/>
  <c r="U4" i="35"/>
  <c r="T4" i="35"/>
  <c r="S4" i="35"/>
  <c r="R4" i="35"/>
  <c r="Q4" i="35"/>
  <c r="X15" i="34"/>
  <c r="W15" i="34"/>
  <c r="V15" i="34"/>
  <c r="U15" i="34"/>
  <c r="T15" i="34"/>
  <c r="S15" i="34"/>
  <c r="R15" i="34"/>
  <c r="Q15" i="34"/>
  <c r="R14" i="34"/>
  <c r="S14" i="34"/>
  <c r="T14" i="34"/>
  <c r="U14" i="34"/>
  <c r="V14" i="34"/>
  <c r="W14" i="34"/>
  <c r="X14" i="34"/>
  <c r="Q14" i="34"/>
  <c r="Q13" i="34"/>
  <c r="R13" i="34"/>
  <c r="S13" i="34"/>
  <c r="T13" i="34"/>
  <c r="U13" i="34"/>
  <c r="V13" i="34"/>
  <c r="W13" i="34"/>
  <c r="X13" i="34"/>
  <c r="U12" i="34"/>
  <c r="T12" i="34"/>
  <c r="S12" i="34"/>
  <c r="R12" i="34"/>
  <c r="Q12" i="34"/>
  <c r="V12" i="34"/>
  <c r="W12" i="34"/>
  <c r="X12" i="34"/>
  <c r="W11" i="34"/>
  <c r="V11" i="34"/>
  <c r="U11" i="34"/>
  <c r="T11" i="34"/>
  <c r="S11" i="34"/>
  <c r="R11" i="34"/>
  <c r="Q11" i="34"/>
  <c r="X11" i="34"/>
  <c r="U10" i="34"/>
  <c r="V10" i="34"/>
  <c r="W10" i="34"/>
  <c r="X10" i="34"/>
  <c r="S10" i="34"/>
  <c r="Q10" i="34"/>
  <c r="R10" i="34"/>
  <c r="T10" i="34"/>
  <c r="Q9" i="34"/>
  <c r="R9" i="34"/>
  <c r="S9" i="34"/>
  <c r="T9" i="34"/>
  <c r="U9" i="34"/>
  <c r="V9" i="34"/>
  <c r="X9" i="34"/>
  <c r="W9" i="34"/>
  <c r="V8" i="34"/>
  <c r="W8" i="34"/>
  <c r="X8" i="34"/>
  <c r="S8" i="34"/>
  <c r="R8" i="34"/>
  <c r="U8" i="34"/>
  <c r="T8" i="34"/>
  <c r="Q8" i="34"/>
  <c r="X7" i="34"/>
  <c r="W7" i="34"/>
  <c r="V7" i="34"/>
  <c r="S7" i="34"/>
  <c r="R7" i="34"/>
  <c r="Q7" i="34"/>
  <c r="U7" i="34"/>
  <c r="T7" i="34"/>
  <c r="X6" i="34"/>
  <c r="U6" i="34"/>
  <c r="V6" i="34"/>
  <c r="W6" i="34"/>
  <c r="T6" i="34"/>
  <c r="S6" i="34"/>
  <c r="R6" i="34"/>
  <c r="Q6" i="34"/>
  <c r="X5" i="34"/>
  <c r="W5" i="34"/>
  <c r="V5" i="34"/>
  <c r="U5" i="34"/>
  <c r="T5" i="34"/>
  <c r="S5" i="34"/>
  <c r="R5" i="34"/>
  <c r="Q5" i="34"/>
  <c r="X4" i="34"/>
  <c r="X16" i="34" s="1"/>
  <c r="I32" i="3" s="1"/>
  <c r="W4" i="34"/>
  <c r="W16" i="34" s="1"/>
  <c r="H32" i="3" s="1"/>
  <c r="V4" i="34"/>
  <c r="V16" i="34" s="1"/>
  <c r="G32" i="3" s="1"/>
  <c r="U4" i="34"/>
  <c r="U16" i="34" s="1"/>
  <c r="F32" i="3" s="1"/>
  <c r="T4" i="34"/>
  <c r="T16" i="34" s="1"/>
  <c r="E32" i="3" s="1"/>
  <c r="S4" i="34"/>
  <c r="S16" i="34" s="1"/>
  <c r="D32" i="3" s="1"/>
  <c r="R4" i="34"/>
  <c r="R16" i="34" s="1"/>
  <c r="C32" i="3" s="1"/>
  <c r="Q4" i="34"/>
  <c r="Q16" i="34" s="1"/>
  <c r="T15" i="33"/>
  <c r="S15" i="33"/>
  <c r="R15" i="33"/>
  <c r="Q15" i="33"/>
  <c r="X15" i="33"/>
  <c r="W15" i="33"/>
  <c r="V15" i="33"/>
  <c r="U15" i="33"/>
  <c r="T14" i="33"/>
  <c r="S14" i="33"/>
  <c r="V14" i="33"/>
  <c r="W14" i="33"/>
  <c r="R14" i="33"/>
  <c r="X14" i="33"/>
  <c r="U14" i="33"/>
  <c r="Q14" i="33"/>
  <c r="U13" i="33"/>
  <c r="T13" i="33"/>
  <c r="V13" i="33"/>
  <c r="W13" i="33"/>
  <c r="X13" i="33"/>
  <c r="Q13" i="33"/>
  <c r="R13" i="33"/>
  <c r="S13" i="33"/>
  <c r="Q12" i="33"/>
  <c r="S12" i="33"/>
  <c r="R12" i="33"/>
  <c r="V12" i="33"/>
  <c r="X12" i="33"/>
  <c r="W12" i="33"/>
  <c r="U12" i="33"/>
  <c r="T12" i="33"/>
  <c r="Q11" i="33"/>
  <c r="R11" i="33"/>
  <c r="S11" i="33"/>
  <c r="T11" i="33"/>
  <c r="U11" i="33"/>
  <c r="V11" i="33"/>
  <c r="W11" i="33"/>
  <c r="X11" i="33"/>
  <c r="X10" i="33"/>
  <c r="Q10" i="33"/>
  <c r="R10" i="33"/>
  <c r="S10" i="33"/>
  <c r="T10" i="33"/>
  <c r="U10" i="33"/>
  <c r="V10" i="33"/>
  <c r="W10" i="33"/>
  <c r="U9" i="33"/>
  <c r="V9" i="33"/>
  <c r="W9" i="33"/>
  <c r="X9" i="33"/>
  <c r="Q9" i="33"/>
  <c r="R9" i="33"/>
  <c r="S9" i="33"/>
  <c r="T9" i="33"/>
  <c r="Q8" i="33"/>
  <c r="R8" i="33"/>
  <c r="S8" i="33"/>
  <c r="T8" i="33"/>
  <c r="U8" i="33"/>
  <c r="X8" i="33"/>
  <c r="W8" i="33"/>
  <c r="V8" i="33"/>
  <c r="S7" i="33"/>
  <c r="Q7" i="33"/>
  <c r="R7" i="33"/>
  <c r="T7" i="33"/>
  <c r="U7" i="33"/>
  <c r="V7" i="33"/>
  <c r="W7" i="33"/>
  <c r="X7" i="33"/>
  <c r="V6" i="33"/>
  <c r="W6" i="33"/>
  <c r="X6" i="33"/>
  <c r="U6" i="33"/>
  <c r="T6" i="33"/>
  <c r="S6" i="33"/>
  <c r="R6" i="33"/>
  <c r="Q6" i="33"/>
  <c r="X5" i="33"/>
  <c r="W5" i="33"/>
  <c r="V5" i="33"/>
  <c r="U5" i="33"/>
  <c r="T5" i="33"/>
  <c r="S5" i="33"/>
  <c r="R5" i="33"/>
  <c r="Q5" i="33"/>
  <c r="T4" i="33"/>
  <c r="X4" i="33"/>
  <c r="W4" i="33"/>
  <c r="V4" i="33"/>
  <c r="U4" i="33"/>
  <c r="S4" i="33"/>
  <c r="R4" i="33"/>
  <c r="Q4" i="33"/>
  <c r="T15" i="32"/>
  <c r="S15" i="32"/>
  <c r="X15" i="32"/>
  <c r="W15" i="32"/>
  <c r="V15" i="32"/>
  <c r="U15" i="32"/>
  <c r="Q15" i="32"/>
  <c r="T14" i="32"/>
  <c r="U14" i="32"/>
  <c r="S14" i="32"/>
  <c r="R14" i="32"/>
  <c r="Q14" i="32"/>
  <c r="X14" i="32"/>
  <c r="W14" i="32"/>
  <c r="V14" i="32"/>
  <c r="W12" i="32"/>
  <c r="V12" i="32"/>
  <c r="U12" i="32"/>
  <c r="T12" i="32"/>
  <c r="S12" i="32"/>
  <c r="R12" i="32"/>
  <c r="Q12" i="32"/>
  <c r="X12" i="32"/>
  <c r="W11" i="32"/>
  <c r="V11" i="32"/>
  <c r="U11" i="32"/>
  <c r="T11" i="32"/>
  <c r="S11" i="32"/>
  <c r="R11" i="32"/>
  <c r="Q11" i="32"/>
  <c r="X11" i="32"/>
  <c r="T10" i="32"/>
  <c r="W10" i="32"/>
  <c r="V10" i="32"/>
  <c r="U10" i="32"/>
  <c r="S10" i="32"/>
  <c r="R10" i="32"/>
  <c r="Q10" i="32"/>
  <c r="X10" i="32"/>
  <c r="V9" i="32"/>
  <c r="U9" i="32"/>
  <c r="T9" i="32"/>
  <c r="S9" i="32"/>
  <c r="W9" i="32"/>
  <c r="Q9" i="32"/>
  <c r="X9" i="32"/>
  <c r="R9" i="32"/>
  <c r="W8" i="32"/>
  <c r="V8" i="32"/>
  <c r="U8" i="32"/>
  <c r="T8" i="32"/>
  <c r="S8" i="32"/>
  <c r="R8" i="32"/>
  <c r="Q8" i="32"/>
  <c r="X8" i="32"/>
  <c r="Q7" i="32"/>
  <c r="T7" i="32"/>
  <c r="U7" i="32"/>
  <c r="V7" i="32"/>
  <c r="W7" i="32"/>
  <c r="X7" i="32"/>
  <c r="R7" i="32"/>
  <c r="S7" i="32"/>
  <c r="V6" i="32"/>
  <c r="U6" i="32"/>
  <c r="T6" i="32"/>
  <c r="S6" i="32"/>
  <c r="R6" i="32"/>
  <c r="Q6" i="32"/>
  <c r="W6" i="32"/>
  <c r="X6" i="32"/>
  <c r="X5" i="32"/>
  <c r="W5" i="32"/>
  <c r="V5" i="32"/>
  <c r="U5" i="32"/>
  <c r="T5" i="32"/>
  <c r="S5" i="32"/>
  <c r="Q5" i="32"/>
  <c r="R5" i="32"/>
  <c r="Q4" i="32"/>
  <c r="Q16" i="32" s="1"/>
  <c r="T4" i="32"/>
  <c r="T16" i="32" s="1"/>
  <c r="E30" i="3" s="1"/>
  <c r="R4" i="32"/>
  <c r="R16" i="32" s="1"/>
  <c r="C30" i="3" s="1"/>
  <c r="U4" i="32"/>
  <c r="U16" i="32" s="1"/>
  <c r="F30" i="3" s="1"/>
  <c r="V4" i="32"/>
  <c r="V16" i="32" s="1"/>
  <c r="G30" i="3" s="1"/>
  <c r="W4" i="32"/>
  <c r="W16" i="32" s="1"/>
  <c r="H30" i="3" s="1"/>
  <c r="X4" i="32"/>
  <c r="X16" i="32" s="1"/>
  <c r="I30" i="3" s="1"/>
  <c r="S4" i="32"/>
  <c r="S16" i="32" s="1"/>
  <c r="D30" i="3" s="1"/>
  <c r="X15" i="31"/>
  <c r="W15" i="31"/>
  <c r="V15" i="31"/>
  <c r="U15" i="31"/>
  <c r="T15" i="31"/>
  <c r="S15" i="31"/>
  <c r="R15" i="31"/>
  <c r="Q15" i="31"/>
  <c r="W14" i="31"/>
  <c r="V14" i="31"/>
  <c r="U14" i="31"/>
  <c r="T14" i="31"/>
  <c r="S14" i="31"/>
  <c r="R14" i="31"/>
  <c r="Q14" i="31"/>
  <c r="X14" i="31"/>
  <c r="T13" i="31"/>
  <c r="V13" i="31"/>
  <c r="U13" i="31"/>
  <c r="X13" i="31"/>
  <c r="S13" i="31"/>
  <c r="R13" i="31"/>
  <c r="Q13" i="31"/>
  <c r="W13" i="31"/>
  <c r="W12" i="31"/>
  <c r="U12" i="31"/>
  <c r="T12" i="31"/>
  <c r="S12" i="31"/>
  <c r="R12" i="31"/>
  <c r="Q12" i="31"/>
  <c r="X12" i="31"/>
  <c r="V12" i="31"/>
  <c r="W11" i="31"/>
  <c r="V11" i="31"/>
  <c r="U11" i="31"/>
  <c r="T11" i="31"/>
  <c r="S11" i="31"/>
  <c r="R11" i="31"/>
  <c r="Q11" i="31"/>
  <c r="X11" i="31"/>
  <c r="X10" i="31"/>
  <c r="W10" i="31"/>
  <c r="V10" i="31"/>
  <c r="U10" i="31"/>
  <c r="T10" i="31"/>
  <c r="S10" i="31"/>
  <c r="R10" i="31"/>
  <c r="Q10" i="31"/>
  <c r="W9" i="31"/>
  <c r="V9" i="31"/>
  <c r="U9" i="31"/>
  <c r="T9" i="31"/>
  <c r="S9" i="31"/>
  <c r="R9" i="31"/>
  <c r="Q9" i="31"/>
  <c r="X9" i="31"/>
  <c r="X8" i="31"/>
  <c r="V8" i="31"/>
  <c r="U8" i="31"/>
  <c r="T8" i="31"/>
  <c r="S8" i="31"/>
  <c r="R8" i="31"/>
  <c r="Q8" i="31"/>
  <c r="W8" i="31"/>
  <c r="W7" i="31"/>
  <c r="V7" i="31"/>
  <c r="U7" i="31"/>
  <c r="T7" i="31"/>
  <c r="S7" i="31"/>
  <c r="R7" i="31"/>
  <c r="Q7" i="31"/>
  <c r="X7" i="31"/>
  <c r="X6" i="31"/>
  <c r="U6" i="31"/>
  <c r="T6" i="31"/>
  <c r="S6" i="31"/>
  <c r="R6" i="31"/>
  <c r="Q6" i="31"/>
  <c r="W6" i="31"/>
  <c r="V6" i="31"/>
  <c r="W5" i="31"/>
  <c r="V5" i="31"/>
  <c r="U5" i="31"/>
  <c r="T5" i="31"/>
  <c r="S5" i="31"/>
  <c r="R5" i="31"/>
  <c r="Q5" i="31"/>
  <c r="X5" i="31"/>
  <c r="T4" i="31"/>
  <c r="X4" i="31"/>
  <c r="Q4" i="31"/>
  <c r="W4" i="31"/>
  <c r="V4" i="31"/>
  <c r="U4" i="31"/>
  <c r="S4" i="31"/>
  <c r="R4" i="31"/>
  <c r="V15" i="30"/>
  <c r="U15" i="30"/>
  <c r="T15" i="30"/>
  <c r="S15" i="30"/>
  <c r="R15" i="30"/>
  <c r="Q15" i="30"/>
  <c r="W15" i="30"/>
  <c r="X15" i="30"/>
  <c r="X14" i="30"/>
  <c r="W14" i="30"/>
  <c r="V14" i="30"/>
  <c r="U14" i="30"/>
  <c r="T14" i="30"/>
  <c r="S14" i="30"/>
  <c r="Q14" i="30"/>
  <c r="R14" i="30"/>
  <c r="Q13" i="30"/>
  <c r="T13" i="30"/>
  <c r="U13" i="30"/>
  <c r="V13" i="30"/>
  <c r="W13" i="30"/>
  <c r="X13" i="30"/>
  <c r="R13" i="30"/>
  <c r="S13" i="30"/>
  <c r="X12" i="30"/>
  <c r="W12" i="30"/>
  <c r="V12" i="30"/>
  <c r="U12" i="30"/>
  <c r="T12" i="30"/>
  <c r="S12" i="30"/>
  <c r="R12" i="30"/>
  <c r="Q12" i="30"/>
  <c r="Q10" i="30"/>
  <c r="R10" i="30"/>
  <c r="T10" i="30"/>
  <c r="U10" i="30"/>
  <c r="V10" i="30"/>
  <c r="W10" i="30"/>
  <c r="X10" i="30"/>
  <c r="S10" i="30"/>
  <c r="Q9" i="30"/>
  <c r="R9" i="30"/>
  <c r="S9" i="30"/>
  <c r="T9" i="30"/>
  <c r="U9" i="30"/>
  <c r="V9" i="30"/>
  <c r="W9" i="30"/>
  <c r="X9" i="30"/>
  <c r="S8" i="30"/>
  <c r="R8" i="30"/>
  <c r="X8" i="30"/>
  <c r="T8" i="30"/>
  <c r="U8" i="30"/>
  <c r="V8" i="30"/>
  <c r="W8" i="30"/>
  <c r="Q8" i="30"/>
  <c r="T7" i="30"/>
  <c r="W7" i="30"/>
  <c r="X7" i="30"/>
  <c r="S7" i="30"/>
  <c r="R7" i="30"/>
  <c r="U7" i="30"/>
  <c r="V7" i="30"/>
  <c r="Q7" i="30"/>
  <c r="Q6" i="30"/>
  <c r="X6" i="30"/>
  <c r="W6" i="30"/>
  <c r="V6" i="30"/>
  <c r="U6" i="30"/>
  <c r="T6" i="30"/>
  <c r="S6" i="30"/>
  <c r="R6" i="30"/>
  <c r="R5" i="30"/>
  <c r="Q5" i="30"/>
  <c r="U5" i="30"/>
  <c r="X5" i="30"/>
  <c r="W5" i="30"/>
  <c r="V5" i="30"/>
  <c r="T5" i="30"/>
  <c r="S5" i="30"/>
  <c r="W4" i="30"/>
  <c r="W16" i="30" s="1"/>
  <c r="H28" i="3" s="1"/>
  <c r="U4" i="30"/>
  <c r="U16" i="30" s="1"/>
  <c r="F28" i="3" s="1"/>
  <c r="T4" i="30"/>
  <c r="T16" i="30" s="1"/>
  <c r="E28" i="3" s="1"/>
  <c r="S4" i="30"/>
  <c r="S16" i="30" s="1"/>
  <c r="D28" i="3" s="1"/>
  <c r="R4" i="30"/>
  <c r="R16" i="30" s="1"/>
  <c r="C28" i="3" s="1"/>
  <c r="Q4" i="30"/>
  <c r="Q16" i="30" s="1"/>
  <c r="X4" i="30"/>
  <c r="X16" i="30" s="1"/>
  <c r="I28" i="3" s="1"/>
  <c r="V4" i="30"/>
  <c r="V16" i="30" s="1"/>
  <c r="G28" i="3" s="1"/>
  <c r="Q15" i="29"/>
  <c r="X15" i="29"/>
  <c r="W15" i="29"/>
  <c r="V15" i="29"/>
  <c r="U15" i="29"/>
  <c r="T15" i="29"/>
  <c r="S15" i="29"/>
  <c r="R15" i="29"/>
  <c r="R14" i="29"/>
  <c r="S14" i="29"/>
  <c r="U14" i="29"/>
  <c r="V14" i="29"/>
  <c r="W14" i="29"/>
  <c r="X14" i="29"/>
  <c r="Q14" i="29"/>
  <c r="T14" i="29"/>
  <c r="R13" i="29"/>
  <c r="Q13" i="29"/>
  <c r="V13" i="29"/>
  <c r="W13" i="29"/>
  <c r="X13" i="29"/>
  <c r="T13" i="29"/>
  <c r="S13" i="29"/>
  <c r="U13" i="29"/>
  <c r="X12" i="29"/>
  <c r="W12" i="29"/>
  <c r="Q12" i="29"/>
  <c r="R12" i="29"/>
  <c r="S12" i="29"/>
  <c r="T12" i="29"/>
  <c r="U12" i="29"/>
  <c r="V12" i="29"/>
  <c r="U11" i="29"/>
  <c r="T11" i="29"/>
  <c r="R11" i="29"/>
  <c r="Q11" i="29"/>
  <c r="S11" i="29"/>
  <c r="X11" i="29"/>
  <c r="W11" i="29"/>
  <c r="V11" i="29"/>
  <c r="W10" i="29"/>
  <c r="T10" i="29"/>
  <c r="S10" i="29"/>
  <c r="R10" i="29"/>
  <c r="Q10" i="29"/>
  <c r="V10" i="29"/>
  <c r="U10" i="29"/>
  <c r="X10" i="29"/>
  <c r="X9" i="29"/>
  <c r="U9" i="29"/>
  <c r="T9" i="29"/>
  <c r="S9" i="29"/>
  <c r="R9" i="29"/>
  <c r="Q9" i="29"/>
  <c r="V9" i="29"/>
  <c r="W9" i="29"/>
  <c r="Q8" i="29"/>
  <c r="R8" i="29"/>
  <c r="S8" i="29"/>
  <c r="W8" i="29"/>
  <c r="X8" i="29"/>
  <c r="V8" i="29"/>
  <c r="U8" i="29"/>
  <c r="T8" i="29"/>
  <c r="V7" i="29"/>
  <c r="Q7" i="29"/>
  <c r="R7" i="29"/>
  <c r="S7" i="29"/>
  <c r="T7" i="29"/>
  <c r="U7" i="29"/>
  <c r="W7" i="29"/>
  <c r="X7" i="29"/>
  <c r="U6" i="29"/>
  <c r="X6" i="29"/>
  <c r="W6" i="29"/>
  <c r="V6" i="29"/>
  <c r="T6" i="29"/>
  <c r="S6" i="29"/>
  <c r="R6" i="29"/>
  <c r="Q6" i="29"/>
  <c r="S5" i="29"/>
  <c r="R5" i="29"/>
  <c r="V5" i="29"/>
  <c r="X5" i="29"/>
  <c r="W5" i="29"/>
  <c r="Q5" i="29"/>
  <c r="U5" i="29"/>
  <c r="T5" i="29"/>
  <c r="S4" i="29"/>
  <c r="R4" i="29"/>
  <c r="Q4" i="29"/>
  <c r="X4" i="29"/>
  <c r="W4" i="29"/>
  <c r="V4" i="29"/>
  <c r="U4" i="29"/>
  <c r="T4" i="29"/>
  <c r="X15" i="28"/>
  <c r="W15" i="28"/>
  <c r="V15" i="28"/>
  <c r="U15" i="28"/>
  <c r="T15" i="28"/>
  <c r="S15" i="28"/>
  <c r="R15" i="28"/>
  <c r="Q15" i="28"/>
  <c r="X14" i="28"/>
  <c r="W14" i="28"/>
  <c r="V14" i="28"/>
  <c r="U14" i="28"/>
  <c r="T14" i="28"/>
  <c r="S14" i="28"/>
  <c r="R14" i="28"/>
  <c r="Q14" i="28"/>
  <c r="S13" i="28"/>
  <c r="R13" i="28"/>
  <c r="Q13" i="28"/>
  <c r="X13" i="28"/>
  <c r="W13" i="28"/>
  <c r="V13" i="28"/>
  <c r="U13" i="28"/>
  <c r="T13" i="28"/>
  <c r="S12" i="28"/>
  <c r="R12" i="28"/>
  <c r="Q12" i="28"/>
  <c r="X12" i="28"/>
  <c r="W12" i="28"/>
  <c r="V12" i="28"/>
  <c r="U12" i="28"/>
  <c r="T12" i="28"/>
  <c r="U11" i="28"/>
  <c r="X11" i="28"/>
  <c r="W11" i="28"/>
  <c r="V11" i="28"/>
  <c r="T11" i="28"/>
  <c r="S11" i="28"/>
  <c r="Q11" i="28"/>
  <c r="R11" i="28"/>
  <c r="U10" i="28"/>
  <c r="Q10" i="28"/>
  <c r="R10" i="28"/>
  <c r="X10" i="28"/>
  <c r="W10" i="28"/>
  <c r="S10" i="28"/>
  <c r="T10" i="28"/>
  <c r="V10" i="28"/>
  <c r="R9" i="28"/>
  <c r="Q9" i="28"/>
  <c r="Q8" i="28"/>
  <c r="T8" i="28"/>
  <c r="R8" i="28"/>
  <c r="S8" i="28"/>
  <c r="U8" i="28"/>
  <c r="V8" i="28"/>
  <c r="W8" i="28"/>
  <c r="X8" i="28"/>
  <c r="X7" i="28"/>
  <c r="V7" i="28"/>
  <c r="S7" i="28"/>
  <c r="R7" i="28"/>
  <c r="T7" i="28"/>
  <c r="U7" i="28"/>
  <c r="W7" i="28"/>
  <c r="Q7" i="28"/>
  <c r="Q6" i="28"/>
  <c r="S6" i="28"/>
  <c r="T6" i="28"/>
  <c r="U6" i="28"/>
  <c r="W6" i="28"/>
  <c r="R6" i="28"/>
  <c r="X6" i="28"/>
  <c r="V6" i="28"/>
  <c r="V5" i="28"/>
  <c r="Q5" i="28"/>
  <c r="U5" i="28"/>
  <c r="T5" i="28"/>
  <c r="X5" i="28"/>
  <c r="R5" i="28"/>
  <c r="S5" i="28"/>
  <c r="W5" i="28"/>
  <c r="V4" i="28"/>
  <c r="V16" i="28" s="1"/>
  <c r="G26" i="3" s="1"/>
  <c r="Q4" i="28"/>
  <c r="Q16" i="28" s="1"/>
  <c r="R4" i="28"/>
  <c r="R16" i="28" s="1"/>
  <c r="C26" i="3" s="1"/>
  <c r="S4" i="28"/>
  <c r="S16" i="28" s="1"/>
  <c r="D26" i="3" s="1"/>
  <c r="T4" i="28"/>
  <c r="T16" i="28" s="1"/>
  <c r="E26" i="3" s="1"/>
  <c r="U4" i="28"/>
  <c r="U16" i="28" s="1"/>
  <c r="F26" i="3" s="1"/>
  <c r="W4" i="28"/>
  <c r="W16" i="28" s="1"/>
  <c r="H26" i="3" s="1"/>
  <c r="X4" i="28"/>
  <c r="X16" i="28" s="1"/>
  <c r="I26" i="3" s="1"/>
  <c r="X15" i="27"/>
  <c r="W15" i="27"/>
  <c r="V15" i="27"/>
  <c r="U15" i="27"/>
  <c r="T15" i="27"/>
  <c r="S15" i="27"/>
  <c r="R15" i="27"/>
  <c r="Q15" i="27"/>
  <c r="V14" i="27"/>
  <c r="X14" i="27"/>
  <c r="W14" i="27"/>
  <c r="U14" i="27"/>
  <c r="T14" i="27"/>
  <c r="S14" i="27"/>
  <c r="R14" i="27"/>
  <c r="Q14" i="27"/>
  <c r="X13" i="27"/>
  <c r="W13" i="27"/>
  <c r="V13" i="27"/>
  <c r="U13" i="27"/>
  <c r="T13" i="27"/>
  <c r="S13" i="27"/>
  <c r="R13" i="27"/>
  <c r="Q13" i="27"/>
  <c r="X12" i="27"/>
  <c r="W12" i="27"/>
  <c r="V12" i="27"/>
  <c r="U12" i="27"/>
  <c r="T12" i="27"/>
  <c r="S12" i="27"/>
  <c r="R12" i="27"/>
  <c r="Q12" i="27"/>
  <c r="X11" i="27"/>
  <c r="W11" i="27"/>
  <c r="V11" i="27"/>
  <c r="U11" i="27"/>
  <c r="T11" i="27"/>
  <c r="S11" i="27"/>
  <c r="R11" i="27"/>
  <c r="Q11" i="27"/>
  <c r="X10" i="27"/>
  <c r="W10" i="27"/>
  <c r="V10" i="27"/>
  <c r="U10" i="27"/>
  <c r="T10" i="27"/>
  <c r="S10" i="27"/>
  <c r="R10" i="27"/>
  <c r="Q10" i="27"/>
  <c r="R9" i="27"/>
  <c r="X9" i="27"/>
  <c r="W9" i="27"/>
  <c r="V9" i="27"/>
  <c r="U9" i="27"/>
  <c r="T9" i="27"/>
  <c r="S9" i="27"/>
  <c r="Q9" i="27"/>
  <c r="W8" i="27"/>
  <c r="V8" i="27"/>
  <c r="U8" i="27"/>
  <c r="T8" i="27"/>
  <c r="R8" i="27"/>
  <c r="Q8" i="27"/>
  <c r="S8" i="27"/>
  <c r="X8" i="27"/>
  <c r="V7" i="27"/>
  <c r="U7" i="27"/>
  <c r="T7" i="27"/>
  <c r="S7" i="27"/>
  <c r="R7" i="27"/>
  <c r="Q7" i="27"/>
  <c r="X7" i="27"/>
  <c r="W7" i="27"/>
  <c r="U6" i="27"/>
  <c r="X6" i="27"/>
  <c r="W6" i="27"/>
  <c r="V6" i="27"/>
  <c r="Q6" i="27"/>
  <c r="R6" i="27"/>
  <c r="S6" i="27"/>
  <c r="T6" i="27"/>
  <c r="R5" i="27"/>
  <c r="Q5" i="27"/>
  <c r="T5" i="27"/>
  <c r="W5" i="27"/>
  <c r="S5" i="27"/>
  <c r="U5" i="27"/>
  <c r="V5" i="27"/>
  <c r="X5" i="27"/>
  <c r="X4" i="27"/>
  <c r="W4" i="27"/>
  <c r="U4" i="27"/>
  <c r="Q4" i="27"/>
  <c r="R4" i="27"/>
  <c r="T4" i="27"/>
  <c r="S4" i="27"/>
  <c r="V4" i="27"/>
  <c r="X15" i="26"/>
  <c r="Q15" i="26"/>
  <c r="R15" i="26"/>
  <c r="S15" i="26"/>
  <c r="T15" i="26"/>
  <c r="V15" i="26"/>
  <c r="W15" i="26"/>
  <c r="U15" i="26"/>
  <c r="T14" i="26"/>
  <c r="V14" i="26"/>
  <c r="U14" i="26"/>
  <c r="X14" i="26"/>
  <c r="Q14" i="26"/>
  <c r="R14" i="26"/>
  <c r="S14" i="26"/>
  <c r="W14" i="26"/>
  <c r="V13" i="26"/>
  <c r="X13" i="26"/>
  <c r="W13" i="26"/>
  <c r="R13" i="26"/>
  <c r="S13" i="26"/>
  <c r="Q13" i="26"/>
  <c r="T13" i="26"/>
  <c r="U13" i="26"/>
  <c r="X12" i="26"/>
  <c r="W12" i="26"/>
  <c r="V12" i="26"/>
  <c r="U12" i="26"/>
  <c r="T12" i="26"/>
  <c r="S12" i="26"/>
  <c r="R12" i="26"/>
  <c r="Q12" i="26"/>
  <c r="X11" i="26"/>
  <c r="W11" i="26"/>
  <c r="V11" i="26"/>
  <c r="U11" i="26"/>
  <c r="T11" i="26"/>
  <c r="S11" i="26"/>
  <c r="R11" i="26"/>
  <c r="Q11" i="26"/>
  <c r="X10" i="26"/>
  <c r="W10" i="26"/>
  <c r="V10" i="26"/>
  <c r="U10" i="26"/>
  <c r="T10" i="26"/>
  <c r="S10" i="26"/>
  <c r="R10" i="26"/>
  <c r="Q10" i="26"/>
  <c r="U9" i="26"/>
  <c r="X9" i="26"/>
  <c r="W9" i="26"/>
  <c r="V9" i="26"/>
  <c r="T9" i="26"/>
  <c r="S9" i="26"/>
  <c r="R9" i="26"/>
  <c r="Q9" i="26"/>
  <c r="X8" i="26"/>
  <c r="S8" i="26"/>
  <c r="R8" i="26"/>
  <c r="Q8" i="26"/>
  <c r="T8" i="26"/>
  <c r="U8" i="26"/>
  <c r="V8" i="26"/>
  <c r="W8" i="26"/>
  <c r="Q7" i="26"/>
  <c r="R7" i="26"/>
  <c r="S7" i="26"/>
  <c r="S6" i="26"/>
  <c r="Q6" i="26"/>
  <c r="T6" i="26"/>
  <c r="U6" i="26"/>
  <c r="R6" i="26"/>
  <c r="V6" i="26"/>
  <c r="W6" i="26"/>
  <c r="X6" i="26"/>
  <c r="X5" i="26"/>
  <c r="V5" i="26"/>
  <c r="U5" i="26"/>
  <c r="T5" i="26"/>
  <c r="S5" i="26"/>
  <c r="R5" i="26"/>
  <c r="Q5" i="26"/>
  <c r="W5" i="26"/>
  <c r="W4" i="26"/>
  <c r="W16" i="26" s="1"/>
  <c r="H24" i="3" s="1"/>
  <c r="Q4" i="26"/>
  <c r="Q16" i="26" s="1"/>
  <c r="R4" i="26"/>
  <c r="R16" i="26" s="1"/>
  <c r="C24" i="3" s="1"/>
  <c r="S4" i="26"/>
  <c r="S16" i="26" s="1"/>
  <c r="D24" i="3" s="1"/>
  <c r="U4" i="26"/>
  <c r="U16" i="26" s="1"/>
  <c r="F24" i="3" s="1"/>
  <c r="V4" i="26"/>
  <c r="V16" i="26" s="1"/>
  <c r="G24" i="3" s="1"/>
  <c r="X4" i="26"/>
  <c r="X16" i="26" s="1"/>
  <c r="I24" i="3" s="1"/>
  <c r="T4" i="26"/>
  <c r="T16" i="26" s="1"/>
  <c r="E24" i="3" s="1"/>
  <c r="X15" i="25"/>
  <c r="W15" i="25"/>
  <c r="V15" i="25"/>
  <c r="U15" i="25"/>
  <c r="T15" i="25"/>
  <c r="R15" i="25"/>
  <c r="Q15" i="25"/>
  <c r="S15" i="25"/>
  <c r="W14" i="25"/>
  <c r="R14" i="25"/>
  <c r="X14" i="25"/>
  <c r="T14" i="25"/>
  <c r="S14" i="25"/>
  <c r="V14" i="25"/>
  <c r="U14" i="25"/>
  <c r="Q14" i="25"/>
  <c r="T13" i="25"/>
  <c r="Q13" i="25"/>
  <c r="S13" i="25"/>
  <c r="R13" i="25"/>
  <c r="W13" i="25"/>
  <c r="V13" i="25"/>
  <c r="X13" i="25"/>
  <c r="U13" i="25"/>
  <c r="S12" i="25"/>
  <c r="T12" i="25"/>
  <c r="X12" i="25"/>
  <c r="V12" i="25"/>
  <c r="R12" i="25"/>
  <c r="Q12" i="25"/>
  <c r="W12" i="25"/>
  <c r="U12" i="25"/>
  <c r="T11" i="25"/>
  <c r="R11" i="25"/>
  <c r="S11" i="25"/>
  <c r="V11" i="25"/>
  <c r="Q11" i="25"/>
  <c r="U11" i="25"/>
  <c r="W11" i="25"/>
  <c r="X11" i="25"/>
  <c r="V10" i="25"/>
  <c r="Q10" i="25"/>
  <c r="S10" i="25"/>
  <c r="U10" i="25"/>
  <c r="W10" i="25"/>
  <c r="X10" i="25"/>
  <c r="T10" i="25"/>
  <c r="R10" i="25"/>
  <c r="X9" i="25"/>
  <c r="Q9" i="25"/>
  <c r="S9" i="25"/>
  <c r="R9" i="25"/>
  <c r="T9" i="25"/>
  <c r="U9" i="25"/>
  <c r="V9" i="25"/>
  <c r="W9" i="25"/>
  <c r="Q8" i="25"/>
  <c r="U8" i="25"/>
  <c r="V8" i="25"/>
  <c r="W8" i="25"/>
  <c r="X8" i="25"/>
  <c r="R8" i="25"/>
  <c r="S8" i="25"/>
  <c r="T8" i="25"/>
  <c r="R7" i="25"/>
  <c r="X7" i="25"/>
  <c r="W7" i="25"/>
  <c r="V7" i="25"/>
  <c r="U7" i="25"/>
  <c r="T7" i="25"/>
  <c r="S7" i="25"/>
  <c r="Q7" i="25"/>
  <c r="Q6" i="25"/>
  <c r="W6" i="25"/>
  <c r="S6" i="25"/>
  <c r="U6" i="25"/>
  <c r="R6" i="25"/>
  <c r="T6" i="25"/>
  <c r="V6" i="25"/>
  <c r="X6" i="25"/>
  <c r="S5" i="25"/>
  <c r="U5" i="25"/>
  <c r="Q5" i="25"/>
  <c r="R5" i="25"/>
  <c r="T5" i="25"/>
  <c r="V5" i="25"/>
  <c r="X5" i="25"/>
  <c r="W5" i="25"/>
  <c r="W4" i="25"/>
  <c r="Q4" i="25"/>
  <c r="T4" i="25"/>
  <c r="R4" i="25"/>
  <c r="X4" i="25"/>
  <c r="V4" i="25"/>
  <c r="U4" i="25"/>
  <c r="S4" i="25"/>
  <c r="R15" i="24"/>
  <c r="U15" i="24"/>
  <c r="W15" i="24"/>
  <c r="T15" i="24"/>
  <c r="Q15" i="24"/>
  <c r="X15" i="24"/>
  <c r="V15" i="24"/>
  <c r="S15" i="24"/>
  <c r="R14" i="24"/>
  <c r="Q14" i="24"/>
  <c r="S14" i="24"/>
  <c r="T14" i="24"/>
  <c r="U14" i="24"/>
  <c r="X14" i="24"/>
  <c r="W14" i="24"/>
  <c r="V14" i="24"/>
  <c r="R13" i="24"/>
  <c r="X13" i="24"/>
  <c r="U13" i="24"/>
  <c r="S13" i="24"/>
  <c r="Q13" i="24"/>
  <c r="T13" i="24"/>
  <c r="W13" i="24"/>
  <c r="V13" i="24"/>
  <c r="W12" i="24"/>
  <c r="T12" i="24"/>
  <c r="R12" i="24"/>
  <c r="X12" i="24"/>
  <c r="V12" i="24"/>
  <c r="U12" i="24"/>
  <c r="S12" i="24"/>
  <c r="Q12" i="24"/>
  <c r="X11" i="24"/>
  <c r="W11" i="24"/>
  <c r="Q11" i="24"/>
  <c r="T11" i="24"/>
  <c r="R11" i="24"/>
  <c r="U11" i="24"/>
  <c r="V11" i="24"/>
  <c r="S11" i="24"/>
  <c r="X10" i="24"/>
  <c r="Q10" i="24"/>
  <c r="V10" i="24"/>
  <c r="R10" i="24"/>
  <c r="W10" i="24"/>
  <c r="T10" i="24"/>
  <c r="U10" i="24"/>
  <c r="S10" i="24"/>
  <c r="Q9" i="24"/>
  <c r="T9" i="24"/>
  <c r="S9" i="24"/>
  <c r="U9" i="24"/>
  <c r="W9" i="24"/>
  <c r="X9" i="24"/>
  <c r="R9" i="24"/>
  <c r="V9" i="24"/>
  <c r="T8" i="24"/>
  <c r="V8" i="24"/>
  <c r="X8" i="24"/>
  <c r="Q8" i="24"/>
  <c r="S8" i="24"/>
  <c r="U8" i="24"/>
  <c r="W8" i="24"/>
  <c r="R8" i="24"/>
  <c r="X7" i="24"/>
  <c r="Q7" i="24"/>
  <c r="R7" i="24"/>
  <c r="T7" i="24"/>
  <c r="W7" i="24"/>
  <c r="S7" i="24"/>
  <c r="U7" i="24"/>
  <c r="V7" i="24"/>
  <c r="Q6" i="24"/>
  <c r="W6" i="24"/>
  <c r="T6" i="24"/>
  <c r="V6" i="24"/>
  <c r="X6" i="24"/>
  <c r="S6" i="24"/>
  <c r="U6" i="24"/>
  <c r="R6" i="24"/>
  <c r="S5" i="24"/>
  <c r="Q5" i="24"/>
  <c r="R5" i="24"/>
  <c r="Q4" i="24"/>
  <c r="Q16" i="24" s="1"/>
  <c r="R4" i="24"/>
  <c r="R16" i="24" s="1"/>
  <c r="C22" i="3" s="1"/>
  <c r="S4" i="24"/>
  <c r="S16" i="24" s="1"/>
  <c r="D22" i="3" s="1"/>
  <c r="T4" i="24"/>
  <c r="T16" i="24" s="1"/>
  <c r="E22" i="3" s="1"/>
  <c r="U4" i="24"/>
  <c r="U16" i="24" s="1"/>
  <c r="F22" i="3" s="1"/>
  <c r="V4" i="24"/>
  <c r="V16" i="24" s="1"/>
  <c r="G22" i="3" s="1"/>
  <c r="W4" i="24"/>
  <c r="W16" i="24" s="1"/>
  <c r="H22" i="3" s="1"/>
  <c r="X4" i="24"/>
  <c r="X16" i="24" s="1"/>
  <c r="I22" i="3" s="1"/>
  <c r="V15" i="23"/>
  <c r="W15" i="23"/>
  <c r="X15" i="23"/>
  <c r="Q15" i="23"/>
  <c r="R15" i="23"/>
  <c r="S15" i="23"/>
  <c r="T15" i="23"/>
  <c r="U15" i="23"/>
  <c r="T14" i="23"/>
  <c r="X14" i="23"/>
  <c r="W14" i="23"/>
  <c r="V14" i="23"/>
  <c r="R14" i="23"/>
  <c r="Q14" i="23"/>
  <c r="U14" i="23"/>
  <c r="S14" i="23"/>
  <c r="T13" i="23"/>
  <c r="X13" i="23"/>
  <c r="W13" i="23"/>
  <c r="V13" i="23"/>
  <c r="S13" i="23"/>
  <c r="R13" i="23"/>
  <c r="Q13" i="23"/>
  <c r="U13" i="23"/>
  <c r="X12" i="23"/>
  <c r="R12" i="23"/>
  <c r="V12" i="23"/>
  <c r="W12" i="23"/>
  <c r="U12" i="23"/>
  <c r="T12" i="23"/>
  <c r="S12" i="23"/>
  <c r="Q12" i="23"/>
  <c r="T11" i="23"/>
  <c r="Q11" i="23"/>
  <c r="R11" i="23"/>
  <c r="S11" i="23"/>
  <c r="U11" i="23"/>
  <c r="V11" i="23"/>
  <c r="W11" i="23"/>
  <c r="X11" i="23"/>
  <c r="Q10" i="23"/>
  <c r="V10" i="23"/>
  <c r="W10" i="23"/>
  <c r="X10" i="23"/>
  <c r="R10" i="23"/>
  <c r="S10" i="23"/>
  <c r="T10" i="23"/>
  <c r="U10" i="23"/>
  <c r="T9" i="23"/>
  <c r="S9" i="23"/>
  <c r="R9" i="23"/>
  <c r="W9" i="23"/>
  <c r="Q9" i="23"/>
  <c r="X9" i="23"/>
  <c r="V9" i="23"/>
  <c r="U9" i="23"/>
  <c r="X8" i="23"/>
  <c r="W8" i="23"/>
  <c r="U8" i="23"/>
  <c r="T8" i="23"/>
  <c r="Q8" i="23"/>
  <c r="R8" i="23"/>
  <c r="V8" i="23"/>
  <c r="S8" i="23"/>
  <c r="S7" i="23"/>
  <c r="W7" i="23"/>
  <c r="U7" i="23"/>
  <c r="V7" i="23"/>
  <c r="Q7" i="23"/>
  <c r="T7" i="23"/>
  <c r="R7" i="23"/>
  <c r="X7" i="23"/>
  <c r="W6" i="23"/>
  <c r="S6" i="23"/>
  <c r="V6" i="23"/>
  <c r="X6" i="23"/>
  <c r="T6" i="23"/>
  <c r="R6" i="23"/>
  <c r="Q6" i="23"/>
  <c r="U6" i="23"/>
  <c r="V5" i="23"/>
  <c r="Q5" i="23"/>
  <c r="W5" i="23"/>
  <c r="S5" i="23"/>
  <c r="X5" i="23"/>
  <c r="T5" i="23"/>
  <c r="R5" i="23"/>
  <c r="U5" i="23"/>
  <c r="T4" i="23"/>
  <c r="Q4" i="23"/>
  <c r="V4" i="23"/>
  <c r="W4" i="23"/>
  <c r="U4" i="23"/>
  <c r="S4" i="23"/>
  <c r="R4" i="23"/>
  <c r="X4" i="23"/>
  <c r="U15" i="22"/>
  <c r="X15" i="22"/>
  <c r="R15" i="22"/>
  <c r="W15" i="22"/>
  <c r="S15" i="22"/>
  <c r="Q15" i="22"/>
  <c r="T15" i="22"/>
  <c r="V15" i="22"/>
  <c r="T14" i="22"/>
  <c r="U14" i="22"/>
  <c r="W14" i="22"/>
  <c r="R14" i="22"/>
  <c r="Q14" i="22"/>
  <c r="X14" i="22"/>
  <c r="V14" i="22"/>
  <c r="S14" i="22"/>
  <c r="R13" i="22"/>
  <c r="S13" i="22"/>
  <c r="W13" i="22"/>
  <c r="U13" i="22"/>
  <c r="Q13" i="22"/>
  <c r="X13" i="22"/>
  <c r="V13" i="22"/>
  <c r="T13" i="22"/>
  <c r="Q12" i="22"/>
  <c r="T12" i="22"/>
  <c r="S12" i="22"/>
  <c r="X12" i="22"/>
  <c r="U12" i="22"/>
  <c r="R12" i="22"/>
  <c r="V12" i="22"/>
  <c r="W12" i="22"/>
  <c r="W11" i="22"/>
  <c r="X11" i="22"/>
  <c r="T11" i="22"/>
  <c r="R11" i="22"/>
  <c r="Q11" i="22"/>
  <c r="S11" i="22"/>
  <c r="V11" i="22"/>
  <c r="U11" i="22"/>
  <c r="Q10" i="22"/>
  <c r="S10" i="22"/>
  <c r="U10" i="22"/>
  <c r="T10" i="22"/>
  <c r="V10" i="22"/>
  <c r="R10" i="22"/>
  <c r="W10" i="22"/>
  <c r="X10" i="22"/>
  <c r="X9" i="22"/>
  <c r="W9" i="22"/>
  <c r="S9" i="22"/>
  <c r="U9" i="22"/>
  <c r="Q9" i="22"/>
  <c r="V9" i="22"/>
  <c r="T9" i="22"/>
  <c r="R9" i="22"/>
  <c r="V8" i="22"/>
  <c r="R8" i="22"/>
  <c r="W8" i="22"/>
  <c r="S8" i="22"/>
  <c r="X8" i="22"/>
  <c r="T8" i="22"/>
  <c r="U8" i="22"/>
  <c r="W7" i="22"/>
  <c r="Q7" i="22"/>
  <c r="R7" i="22"/>
  <c r="S7" i="22"/>
  <c r="T7" i="22"/>
  <c r="U7" i="22"/>
  <c r="V7" i="22"/>
  <c r="X7" i="22"/>
  <c r="T6" i="22"/>
  <c r="R6" i="22"/>
  <c r="V6" i="22"/>
  <c r="S6" i="22"/>
  <c r="X6" i="22"/>
  <c r="W6" i="22"/>
  <c r="U6" i="22"/>
  <c r="Q6" i="22"/>
  <c r="V5" i="22"/>
  <c r="T5" i="22"/>
  <c r="R5" i="22"/>
  <c r="X5" i="22"/>
  <c r="W5" i="22"/>
  <c r="U5" i="22"/>
  <c r="S5" i="22"/>
  <c r="Q5" i="22"/>
  <c r="T4" i="22"/>
  <c r="T16" i="22" s="1"/>
  <c r="E20" i="3" s="1"/>
  <c r="X4" i="22"/>
  <c r="X16" i="22" s="1"/>
  <c r="I20" i="3" s="1"/>
  <c r="U4" i="22"/>
  <c r="U16" i="22" s="1"/>
  <c r="F20" i="3" s="1"/>
  <c r="V4" i="22"/>
  <c r="V16" i="22" s="1"/>
  <c r="G20" i="3" s="1"/>
  <c r="S4" i="22"/>
  <c r="S16" i="22" s="1"/>
  <c r="D20" i="3" s="1"/>
  <c r="Q4" i="22"/>
  <c r="Q16" i="22" s="1"/>
  <c r="R4" i="22"/>
  <c r="R16" i="22" s="1"/>
  <c r="C20" i="3" s="1"/>
  <c r="W4" i="22"/>
  <c r="W16" i="22" s="1"/>
  <c r="H20" i="3" s="1"/>
  <c r="Q15" i="21"/>
  <c r="R15" i="21"/>
  <c r="S15" i="21"/>
  <c r="T15" i="21"/>
  <c r="U15" i="21"/>
  <c r="V15" i="21"/>
  <c r="W15" i="21"/>
  <c r="X15" i="21"/>
  <c r="Q14" i="21"/>
  <c r="V14" i="21"/>
  <c r="T14" i="21"/>
  <c r="S14" i="21"/>
  <c r="R14" i="21"/>
  <c r="U14" i="21"/>
  <c r="W14" i="21"/>
  <c r="X14" i="21"/>
  <c r="U13" i="21"/>
  <c r="T13" i="21"/>
  <c r="R13" i="21"/>
  <c r="Q13" i="21"/>
  <c r="S13" i="21"/>
  <c r="X13" i="21"/>
  <c r="W13" i="21"/>
  <c r="V13" i="21"/>
  <c r="W12" i="21"/>
  <c r="V12" i="21"/>
  <c r="U12" i="21"/>
  <c r="T12" i="21"/>
  <c r="S12" i="21"/>
  <c r="R12" i="21"/>
  <c r="Q12" i="21"/>
  <c r="X12" i="21"/>
  <c r="Q11" i="21"/>
  <c r="W11" i="21"/>
  <c r="V11" i="21"/>
  <c r="U11" i="21"/>
  <c r="T11" i="21"/>
  <c r="R11" i="21"/>
  <c r="X11" i="21"/>
  <c r="S11" i="21"/>
  <c r="R10" i="21"/>
  <c r="W10" i="21"/>
  <c r="Q10" i="21"/>
  <c r="X10" i="21"/>
  <c r="U10" i="21"/>
  <c r="T10" i="21"/>
  <c r="S10" i="21"/>
  <c r="V10" i="21"/>
  <c r="Q9" i="21"/>
  <c r="R9" i="21"/>
  <c r="V9" i="21"/>
  <c r="T9" i="21"/>
  <c r="U9" i="21"/>
  <c r="S9" i="21"/>
  <c r="W9" i="21"/>
  <c r="X9" i="21"/>
  <c r="T8" i="21"/>
  <c r="S8" i="21"/>
  <c r="R8" i="21"/>
  <c r="X8" i="21"/>
  <c r="Q8" i="21"/>
  <c r="W8" i="21"/>
  <c r="V8" i="21"/>
  <c r="U8" i="21"/>
  <c r="X7" i="21"/>
  <c r="R7" i="21"/>
  <c r="Q7" i="21"/>
  <c r="S7" i="21"/>
  <c r="T7" i="21"/>
  <c r="U7" i="21"/>
  <c r="W7" i="21"/>
  <c r="V7" i="21"/>
  <c r="Q6" i="21"/>
  <c r="R6" i="21"/>
  <c r="S6" i="21"/>
  <c r="T6" i="21"/>
  <c r="U6" i="21"/>
  <c r="V6" i="21"/>
  <c r="W6" i="21"/>
  <c r="X6" i="21"/>
  <c r="V5" i="21"/>
  <c r="W5" i="21"/>
  <c r="X5" i="21"/>
  <c r="Q5" i="21"/>
  <c r="R5" i="21"/>
  <c r="S5" i="21"/>
  <c r="T5" i="21"/>
  <c r="U5" i="21"/>
  <c r="X4" i="21"/>
  <c r="Q4" i="21"/>
  <c r="S4" i="21"/>
  <c r="T4" i="21"/>
  <c r="U4" i="21"/>
  <c r="V4" i="21"/>
  <c r="W4" i="21"/>
  <c r="R4" i="21"/>
  <c r="S15" i="20"/>
  <c r="Q15" i="20"/>
  <c r="R15" i="20"/>
  <c r="T15" i="20"/>
  <c r="U15" i="20"/>
  <c r="V15" i="20"/>
  <c r="W15" i="20"/>
  <c r="X15" i="20"/>
  <c r="W14" i="20"/>
  <c r="X14" i="20"/>
  <c r="Q14" i="20"/>
  <c r="R14" i="20"/>
  <c r="S14" i="20"/>
  <c r="T14" i="20"/>
  <c r="U14" i="20"/>
  <c r="V14" i="20"/>
  <c r="X13" i="20"/>
  <c r="W13" i="20"/>
  <c r="V13" i="20"/>
  <c r="U13" i="20"/>
  <c r="T13" i="20"/>
  <c r="S13" i="20"/>
  <c r="Q13" i="20"/>
  <c r="R13" i="20"/>
  <c r="R12" i="20"/>
  <c r="Q12" i="20"/>
  <c r="T12" i="20"/>
  <c r="S12" i="20"/>
  <c r="U12" i="20"/>
  <c r="W12" i="20"/>
  <c r="V12" i="20"/>
  <c r="X12" i="20"/>
  <c r="U11" i="20"/>
  <c r="S11" i="20"/>
  <c r="X11" i="20"/>
  <c r="W11" i="20"/>
  <c r="T11" i="20"/>
  <c r="Q11" i="20"/>
  <c r="V11" i="20"/>
  <c r="R11" i="20"/>
  <c r="R10" i="20"/>
  <c r="X10" i="20"/>
  <c r="W10" i="20"/>
  <c r="V10" i="20"/>
  <c r="U10" i="20"/>
  <c r="T10" i="20"/>
  <c r="S10" i="20"/>
  <c r="Q10" i="20"/>
  <c r="V9" i="20"/>
  <c r="X9" i="20"/>
  <c r="U9" i="20"/>
  <c r="T9" i="20"/>
  <c r="W9" i="20"/>
  <c r="R9" i="20"/>
  <c r="Q9" i="20"/>
  <c r="S9" i="20"/>
  <c r="W8" i="20"/>
  <c r="X8" i="20"/>
  <c r="V8" i="20"/>
  <c r="U8" i="20"/>
  <c r="T8" i="20"/>
  <c r="S8" i="20"/>
  <c r="R8" i="20"/>
  <c r="Q8" i="20"/>
  <c r="Q7" i="20"/>
  <c r="X7" i="20"/>
  <c r="W7" i="20"/>
  <c r="V7" i="20"/>
  <c r="U7" i="20"/>
  <c r="T7" i="20"/>
  <c r="S7" i="20"/>
  <c r="R7" i="20"/>
  <c r="W6" i="20"/>
  <c r="X6" i="20"/>
  <c r="Q6" i="20"/>
  <c r="R6" i="20"/>
  <c r="S6" i="20"/>
  <c r="T6" i="20"/>
  <c r="U6" i="20"/>
  <c r="V6" i="20"/>
  <c r="Q5" i="20"/>
  <c r="X5" i="20"/>
  <c r="W5" i="20"/>
  <c r="V5" i="20"/>
  <c r="U5" i="20"/>
  <c r="T5" i="20"/>
  <c r="S5" i="20"/>
  <c r="R5" i="20"/>
  <c r="Q4" i="20"/>
  <c r="Q16" i="20" s="1"/>
  <c r="R4" i="20"/>
  <c r="R16" i="20" s="1"/>
  <c r="C18" i="3" s="1"/>
  <c r="S4" i="20"/>
  <c r="S16" i="20" s="1"/>
  <c r="D18" i="3" s="1"/>
  <c r="T4" i="20"/>
  <c r="T16" i="20" s="1"/>
  <c r="E18" i="3" s="1"/>
  <c r="U4" i="20"/>
  <c r="U16" i="20" s="1"/>
  <c r="F18" i="3" s="1"/>
  <c r="V4" i="20"/>
  <c r="V16" i="20" s="1"/>
  <c r="G18" i="3" s="1"/>
  <c r="X4" i="20"/>
  <c r="X16" i="20" s="1"/>
  <c r="I18" i="3" s="1"/>
  <c r="W4" i="20"/>
  <c r="W16" i="20" s="1"/>
  <c r="H18" i="3" s="1"/>
  <c r="Q15" i="19"/>
  <c r="R15" i="19"/>
  <c r="S15" i="19"/>
  <c r="T15" i="19"/>
  <c r="U15" i="19"/>
  <c r="V15" i="19"/>
  <c r="W15" i="19"/>
  <c r="X15" i="19"/>
  <c r="Q14" i="19"/>
  <c r="T14" i="19"/>
  <c r="S14" i="19"/>
  <c r="R14" i="19"/>
  <c r="W13" i="19"/>
  <c r="U13" i="19"/>
  <c r="T13" i="19"/>
  <c r="S13" i="19"/>
  <c r="R13" i="19"/>
  <c r="Q13" i="19"/>
  <c r="X13" i="19"/>
  <c r="V13" i="19"/>
  <c r="X12" i="19"/>
  <c r="U12" i="19"/>
  <c r="W12" i="19"/>
  <c r="V12" i="19"/>
  <c r="Q12" i="19"/>
  <c r="T12" i="19"/>
  <c r="S12" i="19"/>
  <c r="R12" i="19"/>
  <c r="U11" i="19"/>
  <c r="V11" i="19"/>
  <c r="W11" i="19"/>
  <c r="X11" i="19"/>
  <c r="S11" i="19"/>
  <c r="Q11" i="19"/>
  <c r="R11" i="19"/>
  <c r="T11" i="19"/>
  <c r="T10" i="19"/>
  <c r="S10" i="19"/>
  <c r="R10" i="19"/>
  <c r="Q10" i="19"/>
  <c r="U10" i="19"/>
  <c r="V10" i="19"/>
  <c r="W10" i="19"/>
  <c r="X10" i="19"/>
  <c r="X9" i="19"/>
  <c r="R9" i="19"/>
  <c r="Q9" i="19"/>
  <c r="W9" i="19"/>
  <c r="T9" i="19"/>
  <c r="U9" i="19"/>
  <c r="S9" i="19"/>
  <c r="V9" i="19"/>
  <c r="X8" i="19"/>
  <c r="W8" i="19"/>
  <c r="V8" i="19"/>
  <c r="U8" i="19"/>
  <c r="T8" i="19"/>
  <c r="S8" i="19"/>
  <c r="R8" i="19"/>
  <c r="Q8" i="19"/>
  <c r="Q7" i="19"/>
  <c r="R7" i="19"/>
  <c r="X7" i="19"/>
  <c r="W7" i="19"/>
  <c r="V7" i="19"/>
  <c r="U7" i="19"/>
  <c r="T7" i="19"/>
  <c r="S7" i="19"/>
  <c r="V6" i="19"/>
  <c r="Q6" i="19"/>
  <c r="R6" i="19"/>
  <c r="S6" i="19"/>
  <c r="T6" i="19"/>
  <c r="X6" i="19"/>
  <c r="W6" i="19"/>
  <c r="U6" i="19"/>
  <c r="X5" i="19"/>
  <c r="W5" i="19"/>
  <c r="V5" i="19"/>
  <c r="U5" i="19"/>
  <c r="S5" i="19"/>
  <c r="T5" i="19"/>
  <c r="Q5" i="19"/>
  <c r="R5" i="19"/>
  <c r="T4" i="19"/>
  <c r="U4" i="19"/>
  <c r="V4" i="19"/>
  <c r="W4" i="19"/>
  <c r="R4" i="19"/>
  <c r="Q4" i="19"/>
  <c r="S4" i="19"/>
  <c r="X4" i="19"/>
  <c r="W15" i="18"/>
  <c r="R15" i="18"/>
  <c r="U15" i="18"/>
  <c r="X15" i="18"/>
  <c r="S15" i="18"/>
  <c r="T15" i="18"/>
  <c r="Q15" i="18"/>
  <c r="V15" i="18"/>
  <c r="U14" i="18"/>
  <c r="W14" i="18"/>
  <c r="Q14" i="18"/>
  <c r="X14" i="18"/>
  <c r="V14" i="18"/>
  <c r="T14" i="18"/>
  <c r="R14" i="18"/>
  <c r="S14" i="18"/>
  <c r="U13" i="18"/>
  <c r="X13" i="18"/>
  <c r="Q13" i="18"/>
  <c r="T13" i="18"/>
  <c r="V13" i="18"/>
  <c r="W13" i="18"/>
  <c r="R13" i="18"/>
  <c r="S13" i="18"/>
  <c r="Q12" i="18"/>
  <c r="X12" i="18"/>
  <c r="U12" i="18"/>
  <c r="W12" i="18"/>
  <c r="V12" i="18"/>
  <c r="R12" i="18"/>
  <c r="S12" i="18"/>
  <c r="T12" i="18"/>
  <c r="U11" i="18"/>
  <c r="X11" i="18"/>
  <c r="V11" i="18"/>
  <c r="S11" i="18"/>
  <c r="T11" i="18"/>
  <c r="R11" i="18"/>
  <c r="Q11" i="18"/>
  <c r="W11" i="18"/>
  <c r="X10" i="18"/>
  <c r="V10" i="18"/>
  <c r="Q10" i="18"/>
  <c r="T10" i="18"/>
  <c r="W10" i="18"/>
  <c r="R10" i="18"/>
  <c r="U10" i="18"/>
  <c r="S10" i="18"/>
  <c r="V9" i="18"/>
  <c r="S9" i="18"/>
  <c r="Q9" i="18"/>
  <c r="T9" i="18"/>
  <c r="X9" i="18"/>
  <c r="R9" i="18"/>
  <c r="W9" i="18"/>
  <c r="U9" i="18"/>
  <c r="T8" i="18"/>
  <c r="S8" i="18"/>
  <c r="V8" i="18"/>
  <c r="X8" i="18"/>
  <c r="U8" i="18"/>
  <c r="W8" i="18"/>
  <c r="R8" i="18"/>
  <c r="R7" i="18"/>
  <c r="U7" i="18"/>
  <c r="X7" i="18"/>
  <c r="W7" i="18"/>
  <c r="V7" i="18"/>
  <c r="T7" i="18"/>
  <c r="Q7" i="18"/>
  <c r="S7" i="18"/>
  <c r="V6" i="18"/>
  <c r="W6" i="18"/>
  <c r="T6" i="18"/>
  <c r="Q6" i="18"/>
  <c r="S6" i="18"/>
  <c r="X6" i="18"/>
  <c r="U6" i="18"/>
  <c r="R6" i="18"/>
  <c r="R5" i="18"/>
  <c r="U5" i="18"/>
  <c r="Q5" i="18"/>
  <c r="T5" i="18"/>
  <c r="V5" i="18"/>
  <c r="X5" i="18"/>
  <c r="S5" i="18"/>
  <c r="W5" i="18"/>
  <c r="R4" i="18"/>
  <c r="R16" i="18" s="1"/>
  <c r="C16" i="3" s="1"/>
  <c r="W4" i="18"/>
  <c r="W16" i="18" s="1"/>
  <c r="H16" i="3" s="1"/>
  <c r="X4" i="18"/>
  <c r="X16" i="18" s="1"/>
  <c r="I16" i="3" s="1"/>
  <c r="V4" i="18"/>
  <c r="V16" i="18" s="1"/>
  <c r="G16" i="3" s="1"/>
  <c r="S4" i="18"/>
  <c r="S16" i="18" s="1"/>
  <c r="D16" i="3" s="1"/>
  <c r="U4" i="18"/>
  <c r="U16" i="18" s="1"/>
  <c r="F16" i="3" s="1"/>
  <c r="T4" i="18"/>
  <c r="T16" i="18" s="1"/>
  <c r="E16" i="3" s="1"/>
  <c r="Q4" i="18"/>
  <c r="Q16" i="18" s="1"/>
  <c r="X15" i="17"/>
  <c r="S15" i="17"/>
  <c r="R15" i="17"/>
  <c r="T15" i="17"/>
  <c r="W15" i="17"/>
  <c r="V15" i="17"/>
  <c r="U15" i="17"/>
  <c r="Q15" i="17"/>
  <c r="U14" i="17"/>
  <c r="X14" i="17"/>
  <c r="T14" i="17"/>
  <c r="V14" i="17"/>
  <c r="Q14" i="17"/>
  <c r="W14" i="17"/>
  <c r="R14" i="17"/>
  <c r="S14" i="17"/>
  <c r="R13" i="17"/>
  <c r="Q13" i="17"/>
  <c r="V13" i="17"/>
  <c r="T13" i="17"/>
  <c r="S13" i="17"/>
  <c r="X13" i="17"/>
  <c r="W13" i="17"/>
  <c r="U13" i="17"/>
  <c r="S12" i="17"/>
  <c r="R12" i="17"/>
  <c r="Q12" i="17"/>
  <c r="U12" i="17"/>
  <c r="T12" i="17"/>
  <c r="X11" i="17"/>
  <c r="W11" i="17"/>
  <c r="V11" i="17"/>
  <c r="U11" i="17"/>
  <c r="T11" i="17"/>
  <c r="S11" i="17"/>
  <c r="Q11" i="17"/>
  <c r="R11" i="17"/>
  <c r="W10" i="17"/>
  <c r="V10" i="17"/>
  <c r="U10" i="17"/>
  <c r="T10" i="17"/>
  <c r="S10" i="17"/>
  <c r="X10" i="17"/>
  <c r="Q10" i="17"/>
  <c r="R10" i="17"/>
  <c r="X9" i="17"/>
  <c r="W9" i="17"/>
  <c r="V9" i="17"/>
  <c r="U9" i="17"/>
  <c r="T9" i="17"/>
  <c r="S9" i="17"/>
  <c r="R9" i="17"/>
  <c r="Q9" i="17"/>
  <c r="W8" i="17"/>
  <c r="V8" i="17"/>
  <c r="U8" i="17"/>
  <c r="T8" i="17"/>
  <c r="S8" i="17"/>
  <c r="R8" i="17"/>
  <c r="Q8" i="17"/>
  <c r="X8" i="17"/>
  <c r="X7" i="17"/>
  <c r="W7" i="17"/>
  <c r="V7" i="17"/>
  <c r="U7" i="17"/>
  <c r="T7" i="17"/>
  <c r="S7" i="17"/>
  <c r="R7" i="17"/>
  <c r="Q7" i="17"/>
  <c r="W6" i="17"/>
  <c r="V6" i="17"/>
  <c r="U6" i="17"/>
  <c r="T6" i="17"/>
  <c r="S6" i="17"/>
  <c r="R6" i="17"/>
  <c r="Q6" i="17"/>
  <c r="X6" i="17"/>
  <c r="X5" i="17"/>
  <c r="V5" i="17"/>
  <c r="U5" i="17"/>
  <c r="T5" i="17"/>
  <c r="S5" i="17"/>
  <c r="R5" i="17"/>
  <c r="Q5" i="17"/>
  <c r="W5" i="17"/>
  <c r="V4" i="17"/>
  <c r="U4" i="17"/>
  <c r="T4" i="17"/>
  <c r="S4" i="17"/>
  <c r="R4" i="17"/>
  <c r="Q4" i="17"/>
  <c r="W4" i="17"/>
  <c r="X4" i="17"/>
  <c r="X15" i="16"/>
  <c r="W15" i="16"/>
  <c r="V15" i="16"/>
  <c r="U15" i="16"/>
  <c r="T15" i="16"/>
  <c r="S15" i="16"/>
  <c r="R15" i="16"/>
  <c r="Q15" i="16"/>
  <c r="X14" i="16"/>
  <c r="V14" i="16"/>
  <c r="U14" i="16"/>
  <c r="T14" i="16"/>
  <c r="W14" i="16"/>
  <c r="R14" i="16"/>
  <c r="Q14" i="16"/>
  <c r="S14" i="16"/>
  <c r="T13" i="16"/>
  <c r="S13" i="16"/>
  <c r="R13" i="16"/>
  <c r="Q13" i="16"/>
  <c r="X13" i="16"/>
  <c r="W13" i="16"/>
  <c r="V13" i="16"/>
  <c r="U13" i="16"/>
  <c r="W12" i="16"/>
  <c r="V12" i="16"/>
  <c r="U12" i="16"/>
  <c r="T12" i="16"/>
  <c r="S12" i="16"/>
  <c r="R12" i="16"/>
  <c r="Q12" i="16"/>
  <c r="X12" i="16"/>
  <c r="X11" i="16"/>
  <c r="W11" i="16"/>
  <c r="V11" i="16"/>
  <c r="U11" i="16"/>
  <c r="T11" i="16"/>
  <c r="S11" i="16"/>
  <c r="R11" i="16"/>
  <c r="Q11" i="16"/>
  <c r="W10" i="16"/>
  <c r="V10" i="16"/>
  <c r="U10" i="16"/>
  <c r="T10" i="16"/>
  <c r="S10" i="16"/>
  <c r="Q10" i="16"/>
  <c r="R10" i="16"/>
  <c r="X10" i="16"/>
  <c r="X9" i="16"/>
  <c r="W9" i="16"/>
  <c r="V9" i="16"/>
  <c r="U9" i="16"/>
  <c r="T9" i="16"/>
  <c r="S9" i="16"/>
  <c r="R9" i="16"/>
  <c r="Q9" i="16"/>
  <c r="W8" i="16"/>
  <c r="V8" i="16"/>
  <c r="U8" i="16"/>
  <c r="T8" i="16"/>
  <c r="S8" i="16"/>
  <c r="R8" i="16"/>
  <c r="Q8" i="16"/>
  <c r="X8" i="16"/>
  <c r="U7" i="16"/>
  <c r="X7" i="16"/>
  <c r="W7" i="16"/>
  <c r="V7" i="16"/>
  <c r="T7" i="16"/>
  <c r="S7" i="16"/>
  <c r="R7" i="16"/>
  <c r="Q7" i="16"/>
  <c r="W6" i="16"/>
  <c r="V6" i="16"/>
  <c r="U6" i="16"/>
  <c r="T6" i="16"/>
  <c r="S6" i="16"/>
  <c r="R6" i="16"/>
  <c r="Q6" i="16"/>
  <c r="X6" i="16"/>
  <c r="X5" i="16"/>
  <c r="W5" i="16"/>
  <c r="V5" i="16"/>
  <c r="U5" i="16"/>
  <c r="T5" i="16"/>
  <c r="S5" i="16"/>
  <c r="Q5" i="16"/>
  <c r="R5" i="16"/>
  <c r="W4" i="16"/>
  <c r="W16" i="16" s="1"/>
  <c r="H14" i="3" s="1"/>
  <c r="V4" i="16"/>
  <c r="V16" i="16" s="1"/>
  <c r="G14" i="3" s="1"/>
  <c r="U4" i="16"/>
  <c r="U16" i="16" s="1"/>
  <c r="F14" i="3" s="1"/>
  <c r="T4" i="16"/>
  <c r="T16" i="16" s="1"/>
  <c r="E14" i="3" s="1"/>
  <c r="S4" i="16"/>
  <c r="S16" i="16" s="1"/>
  <c r="D14" i="3" s="1"/>
  <c r="R4" i="16"/>
  <c r="R16" i="16" s="1"/>
  <c r="C14" i="3" s="1"/>
  <c r="Q4" i="16"/>
  <c r="Q16" i="16" s="1"/>
  <c r="X4" i="16"/>
  <c r="X16" i="16" s="1"/>
  <c r="I14" i="3" s="1"/>
  <c r="W15" i="15"/>
  <c r="V15" i="15"/>
  <c r="U15" i="15"/>
  <c r="T15" i="15"/>
  <c r="S15" i="15"/>
  <c r="R15" i="15"/>
  <c r="Q15" i="15"/>
  <c r="X15" i="15"/>
  <c r="U14" i="15"/>
  <c r="T14" i="15"/>
  <c r="W14" i="15"/>
  <c r="S14" i="15"/>
  <c r="R14" i="15"/>
  <c r="Q14" i="15"/>
  <c r="V14" i="15"/>
  <c r="X14" i="15"/>
  <c r="X13" i="15"/>
  <c r="W13" i="15"/>
  <c r="V13" i="15"/>
  <c r="U13" i="15"/>
  <c r="T13" i="15"/>
  <c r="S13" i="15"/>
  <c r="R13" i="15"/>
  <c r="Q13" i="15"/>
  <c r="V12" i="15"/>
  <c r="W12" i="15"/>
  <c r="U12" i="15"/>
  <c r="T12" i="15"/>
  <c r="S12" i="15"/>
  <c r="R12" i="15"/>
  <c r="Q12" i="15"/>
  <c r="X12" i="15"/>
  <c r="U11" i="15"/>
  <c r="T11" i="15"/>
  <c r="Q11" i="15"/>
  <c r="R11" i="15"/>
  <c r="S11" i="15"/>
  <c r="V11" i="15"/>
  <c r="X11" i="15"/>
  <c r="W11" i="15"/>
  <c r="V10" i="15"/>
  <c r="U10" i="15"/>
  <c r="T10" i="15"/>
  <c r="R10" i="15"/>
  <c r="Q10" i="15"/>
  <c r="S10" i="15"/>
  <c r="S9" i="15"/>
  <c r="T9" i="15"/>
  <c r="V9" i="15"/>
  <c r="W9" i="15"/>
  <c r="X9" i="15"/>
  <c r="U9" i="15"/>
  <c r="Q9" i="15"/>
  <c r="R9" i="15"/>
  <c r="X8" i="15"/>
  <c r="W8" i="15"/>
  <c r="V8" i="15"/>
  <c r="U8" i="15"/>
  <c r="S8" i="15"/>
  <c r="T8" i="15"/>
  <c r="R8" i="15"/>
  <c r="Q8" i="15"/>
  <c r="U7" i="15"/>
  <c r="R7" i="15"/>
  <c r="S7" i="15"/>
  <c r="T7" i="15"/>
  <c r="V7" i="15"/>
  <c r="X7" i="15"/>
  <c r="W7" i="15"/>
  <c r="Q7" i="15"/>
  <c r="V6" i="15"/>
  <c r="Q6" i="15"/>
  <c r="S6" i="15"/>
  <c r="R6" i="15"/>
  <c r="T6" i="15"/>
  <c r="U6" i="15"/>
  <c r="X6" i="15"/>
  <c r="W6" i="15"/>
  <c r="T5" i="15"/>
  <c r="U5" i="15"/>
  <c r="V5" i="15"/>
  <c r="W5" i="15"/>
  <c r="X5" i="15"/>
  <c r="R5" i="15"/>
  <c r="Q5" i="15"/>
  <c r="S5" i="15"/>
  <c r="X4" i="15"/>
  <c r="V4" i="15"/>
  <c r="W4" i="15"/>
  <c r="T4" i="15"/>
  <c r="S4" i="15"/>
  <c r="R4" i="15"/>
  <c r="Q4" i="15"/>
  <c r="U4" i="15"/>
  <c r="U15" i="14"/>
  <c r="Q15" i="14"/>
  <c r="R15" i="14"/>
  <c r="S15" i="14"/>
  <c r="T15" i="14"/>
  <c r="V15" i="14"/>
  <c r="W15" i="14"/>
  <c r="X15" i="14"/>
  <c r="R14" i="14"/>
  <c r="S14" i="14"/>
  <c r="T14" i="14"/>
  <c r="U14" i="14"/>
  <c r="V14" i="14"/>
  <c r="W14" i="14"/>
  <c r="X14" i="14"/>
  <c r="Q14" i="14"/>
  <c r="X13" i="14"/>
  <c r="Q13" i="14"/>
  <c r="W13" i="14"/>
  <c r="V13" i="14"/>
  <c r="U13" i="14"/>
  <c r="T13" i="14"/>
  <c r="S13" i="14"/>
  <c r="R13" i="14"/>
  <c r="U12" i="14"/>
  <c r="Q12" i="14"/>
  <c r="V12" i="14"/>
  <c r="R12" i="14"/>
  <c r="W12" i="14"/>
  <c r="X12" i="14"/>
  <c r="S12" i="14"/>
  <c r="T12" i="14"/>
  <c r="T11" i="14"/>
  <c r="U11" i="14"/>
  <c r="W11" i="14"/>
  <c r="X11" i="14"/>
  <c r="V11" i="14"/>
  <c r="Q11" i="14"/>
  <c r="R11" i="14"/>
  <c r="S11" i="14"/>
  <c r="Q10" i="14"/>
  <c r="R10" i="14"/>
  <c r="S10" i="14"/>
  <c r="T10" i="14"/>
  <c r="U10" i="14"/>
  <c r="V10" i="14"/>
  <c r="W10" i="14"/>
  <c r="X10" i="14"/>
  <c r="T9" i="14"/>
  <c r="V9" i="14"/>
  <c r="W9" i="14"/>
  <c r="Q9" i="14"/>
  <c r="X9" i="14"/>
  <c r="R9" i="14"/>
  <c r="S9" i="14"/>
  <c r="U9" i="14"/>
  <c r="W8" i="14"/>
  <c r="T8" i="14"/>
  <c r="X8" i="14"/>
  <c r="R8" i="14"/>
  <c r="U8" i="14"/>
  <c r="Q8" i="14"/>
  <c r="S8" i="14"/>
  <c r="V8" i="14"/>
  <c r="U7" i="14"/>
  <c r="T7" i="14"/>
  <c r="S7" i="14"/>
  <c r="R7" i="14"/>
  <c r="Q7" i="14"/>
  <c r="X7" i="14"/>
  <c r="W7" i="14"/>
  <c r="V7" i="14"/>
  <c r="X6" i="14"/>
  <c r="U6" i="14"/>
  <c r="Q6" i="14"/>
  <c r="R6" i="14"/>
  <c r="W6" i="14"/>
  <c r="V6" i="14"/>
  <c r="S6" i="14"/>
  <c r="T6" i="14"/>
  <c r="W5" i="14"/>
  <c r="V5" i="14"/>
  <c r="U5" i="14"/>
  <c r="R5" i="14"/>
  <c r="S5" i="14"/>
  <c r="X5" i="14"/>
  <c r="Q5" i="14"/>
  <c r="T5" i="14"/>
  <c r="X4" i="14"/>
  <c r="X16" i="14" s="1"/>
  <c r="I12" i="3" s="1"/>
  <c r="W4" i="14"/>
  <c r="W16" i="14" s="1"/>
  <c r="H12" i="3" s="1"/>
  <c r="V4" i="14"/>
  <c r="V16" i="14" s="1"/>
  <c r="G12" i="3" s="1"/>
  <c r="U4" i="14"/>
  <c r="U16" i="14" s="1"/>
  <c r="F12" i="3" s="1"/>
  <c r="T4" i="14"/>
  <c r="T16" i="14" s="1"/>
  <c r="E12" i="3" s="1"/>
  <c r="S4" i="14"/>
  <c r="S16" i="14" s="1"/>
  <c r="D12" i="3" s="1"/>
  <c r="R4" i="14"/>
  <c r="R16" i="14" s="1"/>
  <c r="C12" i="3" s="1"/>
  <c r="Q4" i="14"/>
  <c r="Q16" i="14" s="1"/>
  <c r="V15" i="13"/>
  <c r="X15" i="13"/>
  <c r="W15" i="13"/>
  <c r="U15" i="13"/>
  <c r="T15" i="13"/>
  <c r="S15" i="13"/>
  <c r="R15" i="13"/>
  <c r="Q15" i="13"/>
  <c r="Q14" i="13"/>
  <c r="R14" i="13"/>
  <c r="S14" i="13"/>
  <c r="V14" i="13"/>
  <c r="T14" i="13"/>
  <c r="U14" i="13"/>
  <c r="X14" i="13"/>
  <c r="W14" i="13"/>
  <c r="V13" i="13"/>
  <c r="W13" i="13"/>
  <c r="X13" i="13"/>
  <c r="T13" i="13"/>
  <c r="S13" i="13"/>
  <c r="R13" i="13"/>
  <c r="Q13" i="13"/>
  <c r="U13" i="13"/>
  <c r="X12" i="13"/>
  <c r="W12" i="13"/>
  <c r="V12" i="13"/>
  <c r="U12" i="13"/>
  <c r="T12" i="13"/>
  <c r="S12" i="13"/>
  <c r="R12" i="13"/>
  <c r="Q12" i="13"/>
  <c r="V11" i="13"/>
  <c r="S11" i="13"/>
  <c r="Q11" i="13"/>
  <c r="R11" i="13"/>
  <c r="X11" i="13"/>
  <c r="W11" i="13"/>
  <c r="U11" i="13"/>
  <c r="T11" i="13"/>
  <c r="V10" i="13"/>
  <c r="W10" i="13"/>
  <c r="X10" i="13"/>
  <c r="U10" i="13"/>
  <c r="T10" i="13"/>
  <c r="S10" i="13"/>
  <c r="R10" i="13"/>
  <c r="Q10" i="13"/>
  <c r="Q9" i="13"/>
  <c r="X9" i="13"/>
  <c r="W9" i="13"/>
  <c r="V9" i="13"/>
  <c r="U9" i="13"/>
  <c r="T9" i="13"/>
  <c r="S9" i="13"/>
  <c r="R9" i="13"/>
  <c r="T8" i="13"/>
  <c r="U8" i="13"/>
  <c r="V8" i="13"/>
  <c r="R8" i="13"/>
  <c r="S8" i="13"/>
  <c r="Q8" i="13"/>
  <c r="T7" i="13"/>
  <c r="U7" i="13"/>
  <c r="V7" i="13"/>
  <c r="W7" i="13"/>
  <c r="X7" i="13"/>
  <c r="Q7" i="13"/>
  <c r="R7" i="13"/>
  <c r="S7" i="13"/>
  <c r="V6" i="13"/>
  <c r="W6" i="13"/>
  <c r="Q6" i="13"/>
  <c r="R6" i="13"/>
  <c r="S6" i="13"/>
  <c r="T6" i="13"/>
  <c r="U6" i="13"/>
  <c r="X6" i="13"/>
  <c r="W5" i="13"/>
  <c r="Q5" i="13"/>
  <c r="R5" i="13"/>
  <c r="S5" i="13"/>
  <c r="T5" i="13"/>
  <c r="U5" i="13"/>
  <c r="V5" i="13"/>
  <c r="X5" i="13"/>
  <c r="T4" i="13"/>
  <c r="S4" i="13"/>
  <c r="R4" i="13"/>
  <c r="X4" i="13"/>
  <c r="U4" i="13"/>
  <c r="Q4" i="13"/>
  <c r="V4" i="13"/>
  <c r="W4" i="13"/>
  <c r="R15" i="12"/>
  <c r="Q15" i="12"/>
  <c r="S15" i="12"/>
  <c r="T15" i="12"/>
  <c r="U15" i="12"/>
  <c r="V15" i="12"/>
  <c r="W15" i="12"/>
  <c r="X15" i="12"/>
  <c r="S14" i="12"/>
  <c r="X14" i="12"/>
  <c r="W14" i="12"/>
  <c r="V14" i="12"/>
  <c r="U14" i="12"/>
  <c r="T14" i="12"/>
  <c r="R14" i="12"/>
  <c r="Q14" i="12"/>
  <c r="X13" i="12"/>
  <c r="Q13" i="12"/>
  <c r="R13" i="12"/>
  <c r="S13" i="12"/>
  <c r="T13" i="12"/>
  <c r="V13" i="12"/>
  <c r="W13" i="12"/>
  <c r="U13" i="12"/>
  <c r="W12" i="12"/>
  <c r="V12" i="12"/>
  <c r="R12" i="12"/>
  <c r="X12" i="12"/>
  <c r="T12" i="12"/>
  <c r="S12" i="12"/>
  <c r="Q12" i="12"/>
  <c r="U12" i="12"/>
  <c r="R11" i="12"/>
  <c r="X11" i="12"/>
  <c r="U11" i="12"/>
  <c r="S11" i="12"/>
  <c r="Q11" i="12"/>
  <c r="W11" i="12"/>
  <c r="T11" i="12"/>
  <c r="V11" i="12"/>
  <c r="X10" i="12"/>
  <c r="V10" i="12"/>
  <c r="T10" i="12"/>
  <c r="Q10" i="12"/>
  <c r="R10" i="12"/>
  <c r="S10" i="12"/>
  <c r="U10" i="12"/>
  <c r="W10" i="12"/>
  <c r="U9" i="12"/>
  <c r="S9" i="12"/>
  <c r="X9" i="12"/>
  <c r="Q9" i="12"/>
  <c r="T9" i="12"/>
  <c r="R9" i="12"/>
  <c r="W9" i="12"/>
  <c r="V9" i="12"/>
  <c r="S8" i="12"/>
  <c r="V8" i="12"/>
  <c r="Q8" i="12"/>
  <c r="R8" i="12"/>
  <c r="T8" i="12"/>
  <c r="W8" i="12"/>
  <c r="U8" i="12"/>
  <c r="X8" i="12"/>
  <c r="X7" i="12"/>
  <c r="W7" i="12"/>
  <c r="U7" i="12"/>
  <c r="S7" i="12"/>
  <c r="Q7" i="12"/>
  <c r="V7" i="12"/>
  <c r="R7" i="12"/>
  <c r="T7" i="12"/>
  <c r="V6" i="12"/>
  <c r="R6" i="12"/>
  <c r="W6" i="12"/>
  <c r="U6" i="12"/>
  <c r="X6" i="12"/>
  <c r="T6" i="12"/>
  <c r="Q6" i="12"/>
  <c r="S6" i="12"/>
  <c r="U5" i="12"/>
  <c r="W5" i="12"/>
  <c r="R5" i="12"/>
  <c r="S5" i="12"/>
  <c r="T5" i="12"/>
  <c r="V5" i="12"/>
  <c r="X5" i="12"/>
  <c r="Q5" i="12"/>
  <c r="T4" i="12"/>
  <c r="R4" i="12"/>
  <c r="R16" i="12" s="1"/>
  <c r="C10" i="3" s="1"/>
  <c r="X4" i="12"/>
  <c r="X16" i="12" s="1"/>
  <c r="I10" i="3" s="1"/>
  <c r="U4" i="12"/>
  <c r="U16" i="12" s="1"/>
  <c r="F10" i="3" s="1"/>
  <c r="V4" i="12"/>
  <c r="V16" i="12" s="1"/>
  <c r="G10" i="3" s="1"/>
  <c r="S4" i="12"/>
  <c r="S16" i="12" s="1"/>
  <c r="D10" i="3" s="1"/>
  <c r="W4" i="12"/>
  <c r="W16" i="12" s="1"/>
  <c r="H10" i="3" s="1"/>
  <c r="Q4" i="12"/>
  <c r="Q16" i="12" s="1"/>
  <c r="Q15" i="11"/>
  <c r="S15" i="11"/>
  <c r="W15" i="11"/>
  <c r="X15" i="11"/>
  <c r="U15" i="11"/>
  <c r="V15" i="11"/>
  <c r="R15" i="11"/>
  <c r="T15" i="11"/>
  <c r="T14" i="11"/>
  <c r="Q14" i="11"/>
  <c r="U14" i="11"/>
  <c r="W14" i="11"/>
  <c r="X14" i="11"/>
  <c r="R14" i="11"/>
  <c r="V14" i="11"/>
  <c r="S14" i="11"/>
  <c r="R13" i="11"/>
  <c r="T13" i="11"/>
  <c r="X13" i="11"/>
  <c r="Q13" i="11"/>
  <c r="S13" i="11"/>
  <c r="U13" i="11"/>
  <c r="V13" i="11"/>
  <c r="W13" i="11"/>
  <c r="R12" i="11"/>
  <c r="U12" i="11"/>
  <c r="W12" i="11"/>
  <c r="T12" i="11"/>
  <c r="Q12" i="11"/>
  <c r="S12" i="11"/>
  <c r="V12" i="11"/>
  <c r="X12" i="11"/>
  <c r="Q11" i="11"/>
  <c r="T11" i="11"/>
  <c r="R11" i="11"/>
  <c r="X11" i="11"/>
  <c r="V11" i="11"/>
  <c r="S11" i="11"/>
  <c r="W11" i="11"/>
  <c r="U11" i="11"/>
  <c r="X10" i="11"/>
  <c r="Q10" i="11"/>
  <c r="R10" i="11"/>
  <c r="V10" i="11"/>
  <c r="W10" i="11"/>
  <c r="T10" i="11"/>
  <c r="S10" i="11"/>
  <c r="U10" i="11"/>
  <c r="W9" i="11"/>
  <c r="V9" i="11"/>
  <c r="U9" i="11"/>
  <c r="S9" i="11"/>
  <c r="R9" i="11"/>
  <c r="X9" i="11"/>
  <c r="T9" i="11"/>
  <c r="Q9" i="11"/>
  <c r="X8" i="11"/>
  <c r="R8" i="11"/>
  <c r="U8" i="11"/>
  <c r="W8" i="11"/>
  <c r="S8" i="11"/>
  <c r="V8" i="11"/>
  <c r="Q8" i="11"/>
  <c r="T8" i="11"/>
  <c r="V7" i="11"/>
  <c r="R7" i="11"/>
  <c r="S7" i="11"/>
  <c r="Q7" i="11"/>
  <c r="W7" i="11"/>
  <c r="T7" i="11"/>
  <c r="U7" i="11"/>
  <c r="X7" i="11"/>
  <c r="W6" i="11"/>
  <c r="S6" i="11"/>
  <c r="Q6" i="11"/>
  <c r="R6" i="11"/>
  <c r="T6" i="11"/>
  <c r="U6" i="11"/>
  <c r="V6" i="11"/>
  <c r="W5" i="11"/>
  <c r="Q5" i="11"/>
  <c r="R5" i="11"/>
  <c r="S5" i="11"/>
  <c r="T5" i="11"/>
  <c r="V5" i="11"/>
  <c r="X5" i="11"/>
  <c r="U5" i="11"/>
  <c r="X4" i="11"/>
  <c r="W4" i="11"/>
  <c r="R4" i="11"/>
  <c r="Q4" i="11"/>
  <c r="V4" i="11"/>
  <c r="S4" i="11"/>
  <c r="T4" i="11"/>
  <c r="U4" i="11"/>
  <c r="X15" i="10"/>
  <c r="U15" i="10"/>
  <c r="W15" i="10"/>
  <c r="V15" i="10"/>
  <c r="Q15" i="10"/>
  <c r="T15" i="10"/>
  <c r="S15" i="10"/>
  <c r="R15" i="10"/>
  <c r="V14" i="10"/>
  <c r="Q14" i="10"/>
  <c r="R14" i="10"/>
  <c r="S14" i="10"/>
  <c r="T14" i="10"/>
  <c r="X14" i="10"/>
  <c r="W14" i="10"/>
  <c r="U14" i="10"/>
  <c r="T13" i="10"/>
  <c r="Q13" i="10"/>
  <c r="W13" i="10"/>
  <c r="S13" i="10"/>
  <c r="R13" i="10"/>
  <c r="U13" i="10"/>
  <c r="X13" i="10"/>
  <c r="V13" i="10"/>
  <c r="R12" i="10"/>
  <c r="V12" i="10"/>
  <c r="W12" i="10"/>
  <c r="S12" i="10"/>
  <c r="U12" i="10"/>
  <c r="X12" i="10"/>
  <c r="T12" i="10"/>
  <c r="Q12" i="10"/>
  <c r="R11" i="10"/>
  <c r="V11" i="10"/>
  <c r="U11" i="10"/>
  <c r="W11" i="10"/>
  <c r="X11" i="10"/>
  <c r="T11" i="10"/>
  <c r="Q11" i="10"/>
  <c r="S11" i="10"/>
  <c r="T10" i="10"/>
  <c r="V10" i="10"/>
  <c r="R10" i="10"/>
  <c r="W10" i="10"/>
  <c r="S10" i="10"/>
  <c r="X10" i="10"/>
  <c r="Q10" i="10"/>
  <c r="U10" i="10"/>
  <c r="Q9" i="10"/>
  <c r="W9" i="10"/>
  <c r="S9" i="10"/>
  <c r="V9" i="10"/>
  <c r="R9" i="10"/>
  <c r="T9" i="10"/>
  <c r="X9" i="10"/>
  <c r="U9" i="10"/>
  <c r="W8" i="10"/>
  <c r="R8" i="10"/>
  <c r="Q8" i="10"/>
  <c r="T8" i="10"/>
  <c r="S8" i="10"/>
  <c r="U8" i="10"/>
  <c r="X8" i="10"/>
  <c r="V8" i="10"/>
  <c r="R7" i="10"/>
  <c r="U7" i="10"/>
  <c r="X7" i="10"/>
  <c r="W7" i="10"/>
  <c r="V7" i="10"/>
  <c r="S7" i="10"/>
  <c r="T7" i="10"/>
  <c r="Q7" i="10"/>
  <c r="X6" i="10"/>
  <c r="W6" i="10"/>
  <c r="T6" i="10"/>
  <c r="Q6" i="10"/>
  <c r="V6" i="10"/>
  <c r="R6" i="10"/>
  <c r="S6" i="10"/>
  <c r="U6" i="10"/>
  <c r="U5" i="10"/>
  <c r="Q5" i="10"/>
  <c r="S5" i="10"/>
  <c r="X5" i="10"/>
  <c r="T5" i="10"/>
  <c r="W5" i="10"/>
  <c r="R5" i="10"/>
  <c r="V5" i="10"/>
  <c r="V4" i="10"/>
  <c r="V16" i="10" s="1"/>
  <c r="G8" i="3" s="1"/>
  <c r="Q4" i="10"/>
  <c r="Q16" i="10" s="1"/>
  <c r="U4" i="10"/>
  <c r="U16" i="10" s="1"/>
  <c r="F8" i="3" s="1"/>
  <c r="X4" i="10"/>
  <c r="X16" i="10" s="1"/>
  <c r="I8" i="3" s="1"/>
  <c r="T4" i="10"/>
  <c r="T16" i="10" s="1"/>
  <c r="E8" i="3" s="1"/>
  <c r="W4" i="10"/>
  <c r="W16" i="10" s="1"/>
  <c r="H8" i="3" s="1"/>
  <c r="S4" i="10"/>
  <c r="S16" i="10" s="1"/>
  <c r="D8" i="3" s="1"/>
  <c r="R4" i="10"/>
  <c r="R16" i="10" s="1"/>
  <c r="C8" i="3" s="1"/>
  <c r="U15" i="9"/>
  <c r="V15" i="9"/>
  <c r="X15" i="9"/>
  <c r="R15" i="9"/>
  <c r="T15" i="9"/>
  <c r="Q15" i="9"/>
  <c r="W15" i="9"/>
  <c r="S15" i="9"/>
  <c r="R14" i="9"/>
  <c r="T14" i="9"/>
  <c r="S14" i="9"/>
  <c r="U14" i="9"/>
  <c r="X14" i="9"/>
  <c r="Q14" i="9"/>
  <c r="W14" i="9"/>
  <c r="V14" i="9"/>
  <c r="U13" i="9"/>
  <c r="R13" i="9"/>
  <c r="W13" i="9"/>
  <c r="T13" i="9"/>
  <c r="S13" i="9"/>
  <c r="X13" i="9"/>
  <c r="V13" i="9"/>
  <c r="Q13" i="9"/>
  <c r="V12" i="9"/>
  <c r="T12" i="9"/>
  <c r="R12" i="9"/>
  <c r="W12" i="9"/>
  <c r="Q12" i="9"/>
  <c r="X12" i="9"/>
  <c r="U12" i="9"/>
  <c r="S12" i="9"/>
  <c r="R11" i="9"/>
  <c r="U11" i="9"/>
  <c r="S11" i="9"/>
  <c r="X11" i="9"/>
  <c r="Q11" i="9"/>
  <c r="V11" i="9"/>
  <c r="W11" i="9"/>
  <c r="T11" i="9"/>
  <c r="S10" i="9"/>
  <c r="V10" i="9"/>
  <c r="W10" i="9"/>
  <c r="T10" i="9"/>
  <c r="R10" i="9"/>
  <c r="X10" i="9"/>
  <c r="Q10" i="9"/>
  <c r="U10" i="9"/>
  <c r="V9" i="9"/>
  <c r="R9" i="9"/>
  <c r="S9" i="9"/>
  <c r="X9" i="9"/>
  <c r="W9" i="9"/>
  <c r="T9" i="9"/>
  <c r="U9" i="9"/>
  <c r="Q9" i="9"/>
  <c r="Q8" i="9"/>
  <c r="S8" i="9"/>
  <c r="R8" i="9"/>
  <c r="T8" i="9"/>
  <c r="W8" i="9"/>
  <c r="U8" i="9"/>
  <c r="V8" i="9"/>
  <c r="X8" i="9"/>
  <c r="R7" i="9"/>
  <c r="W7" i="9"/>
  <c r="S7" i="9"/>
  <c r="U7" i="9"/>
  <c r="V7" i="9"/>
  <c r="X7" i="9"/>
  <c r="T7" i="9"/>
  <c r="Q7" i="9"/>
  <c r="S6" i="9"/>
  <c r="R6" i="9"/>
  <c r="W6" i="9"/>
  <c r="U6" i="9"/>
  <c r="X6" i="9"/>
  <c r="V6" i="9"/>
  <c r="T6" i="9"/>
  <c r="Q6" i="9"/>
  <c r="X5" i="9"/>
  <c r="T5" i="9"/>
  <c r="W5" i="9"/>
  <c r="S5" i="9"/>
  <c r="Q5" i="9"/>
  <c r="U5" i="9"/>
  <c r="R5" i="9"/>
  <c r="V5" i="9"/>
  <c r="X4" i="9"/>
  <c r="W4" i="9"/>
  <c r="V4" i="9"/>
  <c r="U4" i="9"/>
  <c r="T4" i="9"/>
  <c r="S4" i="9"/>
  <c r="R4" i="9"/>
  <c r="Q4" i="9"/>
  <c r="U15" i="8"/>
  <c r="T15" i="8"/>
  <c r="S15" i="8"/>
  <c r="R15" i="8"/>
  <c r="Q15" i="8"/>
  <c r="X15" i="8"/>
  <c r="W15" i="8"/>
  <c r="V15" i="8"/>
  <c r="S14" i="8"/>
  <c r="T14" i="8"/>
  <c r="U14" i="8"/>
  <c r="V14" i="8"/>
  <c r="W14" i="8"/>
  <c r="X14" i="8"/>
  <c r="R14" i="8"/>
  <c r="Q14" i="8"/>
  <c r="W13" i="8"/>
  <c r="V13" i="8"/>
  <c r="U13" i="8"/>
  <c r="S13" i="8"/>
  <c r="R13" i="8"/>
  <c r="Q13" i="8"/>
  <c r="T13" i="8"/>
  <c r="X13" i="8"/>
  <c r="X12" i="8"/>
  <c r="W12" i="8"/>
  <c r="U12" i="8"/>
  <c r="T12" i="8"/>
  <c r="S12" i="8"/>
  <c r="R12" i="8"/>
  <c r="Q12" i="8"/>
  <c r="V12" i="8"/>
  <c r="W11" i="8"/>
  <c r="V11" i="8"/>
  <c r="U11" i="8"/>
  <c r="T11" i="8"/>
  <c r="S11" i="8"/>
  <c r="R11" i="8"/>
  <c r="Q11" i="8"/>
  <c r="X11" i="8"/>
  <c r="R10" i="8"/>
  <c r="X10" i="8"/>
  <c r="U10" i="8"/>
  <c r="V10" i="8"/>
  <c r="W10" i="8"/>
  <c r="Q10" i="8"/>
  <c r="S10" i="8"/>
  <c r="T10" i="8"/>
  <c r="V9" i="8"/>
  <c r="U9" i="8"/>
  <c r="T9" i="8"/>
  <c r="S9" i="8"/>
  <c r="R9" i="8"/>
  <c r="Q9" i="8"/>
  <c r="W9" i="8"/>
  <c r="X9" i="8"/>
  <c r="X8" i="8"/>
  <c r="W8" i="8"/>
  <c r="V8" i="8"/>
  <c r="U8" i="8"/>
  <c r="T8" i="8"/>
  <c r="S8" i="8"/>
  <c r="Q8" i="8"/>
  <c r="R8" i="8"/>
  <c r="Q7" i="8"/>
  <c r="T7" i="8"/>
  <c r="R7" i="8"/>
  <c r="X7" i="8"/>
  <c r="U7" i="8"/>
  <c r="V7" i="8"/>
  <c r="W7" i="8"/>
  <c r="S7" i="8"/>
  <c r="X6" i="8"/>
  <c r="W6" i="8"/>
  <c r="V6" i="8"/>
  <c r="U6" i="8"/>
  <c r="T6" i="8"/>
  <c r="S6" i="8"/>
  <c r="R6" i="8"/>
  <c r="Q6" i="8"/>
  <c r="W5" i="8"/>
  <c r="V5" i="8"/>
  <c r="U5" i="8"/>
  <c r="T5" i="8"/>
  <c r="S5" i="8"/>
  <c r="R5" i="8"/>
  <c r="Q5" i="8"/>
  <c r="X5" i="8"/>
  <c r="X4" i="8"/>
  <c r="X16" i="8" s="1"/>
  <c r="I6" i="3" s="1"/>
  <c r="W4" i="8"/>
  <c r="W16" i="8" s="1"/>
  <c r="H6" i="3" s="1"/>
  <c r="V4" i="8"/>
  <c r="V16" i="8" s="1"/>
  <c r="G6" i="3" s="1"/>
  <c r="U4" i="8"/>
  <c r="U16" i="8" s="1"/>
  <c r="F6" i="3" s="1"/>
  <c r="T4" i="8"/>
  <c r="T16" i="8" s="1"/>
  <c r="E6" i="3" s="1"/>
  <c r="S4" i="8"/>
  <c r="S16" i="8" s="1"/>
  <c r="D6" i="3" s="1"/>
  <c r="R4" i="8"/>
  <c r="R16" i="8" s="1"/>
  <c r="C6" i="3" s="1"/>
  <c r="Q4" i="8"/>
  <c r="Q16" i="8" s="1"/>
  <c r="W15" i="7"/>
  <c r="V15" i="7"/>
  <c r="U15" i="7"/>
  <c r="T15" i="7"/>
  <c r="S15" i="7"/>
  <c r="Q15" i="7"/>
  <c r="R15" i="7"/>
  <c r="X15" i="7"/>
  <c r="X14" i="7"/>
  <c r="W14" i="7"/>
  <c r="V14" i="7"/>
  <c r="U14" i="7"/>
  <c r="T14" i="7"/>
  <c r="S14" i="7"/>
  <c r="R14" i="7"/>
  <c r="Q14" i="7"/>
  <c r="W13" i="7"/>
  <c r="V13" i="7"/>
  <c r="U13" i="7"/>
  <c r="T13" i="7"/>
  <c r="S13" i="7"/>
  <c r="R13" i="7"/>
  <c r="Q13" i="7"/>
  <c r="X13" i="7"/>
  <c r="X12" i="7"/>
  <c r="U12" i="7"/>
  <c r="W12" i="7"/>
  <c r="V12" i="7"/>
  <c r="T12" i="7"/>
  <c r="S12" i="7"/>
  <c r="R12" i="7"/>
  <c r="Q12" i="7"/>
  <c r="W11" i="7"/>
  <c r="V11" i="7"/>
  <c r="U11" i="7"/>
  <c r="T11" i="7"/>
  <c r="S11" i="7"/>
  <c r="R11" i="7"/>
  <c r="Q11" i="7"/>
  <c r="X11" i="7"/>
  <c r="X10" i="7"/>
  <c r="W10" i="7"/>
  <c r="V10" i="7"/>
  <c r="U10" i="7"/>
  <c r="T10" i="7"/>
  <c r="S10" i="7"/>
  <c r="R10" i="7"/>
  <c r="Q10" i="7"/>
  <c r="W9" i="7"/>
  <c r="V9" i="7"/>
  <c r="U9" i="7"/>
  <c r="T9" i="7"/>
  <c r="S9" i="7"/>
  <c r="R9" i="7"/>
  <c r="Q9" i="7"/>
  <c r="X9" i="7"/>
  <c r="W8" i="7"/>
  <c r="V8" i="7"/>
  <c r="U8" i="7"/>
  <c r="T8" i="7"/>
  <c r="S8" i="7"/>
  <c r="R8" i="7"/>
  <c r="Q8" i="7"/>
  <c r="X8" i="7"/>
  <c r="U7" i="7"/>
  <c r="T7" i="7"/>
  <c r="W7" i="7"/>
  <c r="S7" i="7"/>
  <c r="R7" i="7"/>
  <c r="Q7" i="7"/>
  <c r="V7" i="7"/>
  <c r="X7" i="7"/>
  <c r="W6" i="7"/>
  <c r="V6" i="7"/>
  <c r="U6" i="7"/>
  <c r="T6" i="7"/>
  <c r="S6" i="7"/>
  <c r="R6" i="7"/>
  <c r="Q6" i="7"/>
  <c r="X6" i="7"/>
  <c r="Q5" i="7"/>
  <c r="X5" i="7"/>
  <c r="U5" i="7"/>
  <c r="V5" i="7"/>
  <c r="W5" i="7"/>
  <c r="T5" i="7"/>
  <c r="R5" i="7"/>
  <c r="S5" i="7"/>
  <c r="V4" i="7"/>
  <c r="U4" i="7"/>
  <c r="T4" i="7"/>
  <c r="S4" i="7"/>
  <c r="R4" i="7"/>
  <c r="Q4" i="7"/>
  <c r="W4" i="7"/>
  <c r="X4" i="7"/>
  <c r="X15" i="6"/>
  <c r="W15" i="6"/>
  <c r="V15" i="6"/>
  <c r="U15" i="6"/>
  <c r="T15" i="6"/>
  <c r="S15" i="6"/>
  <c r="Q15" i="6"/>
  <c r="R15" i="6"/>
  <c r="Q14" i="6"/>
  <c r="T14" i="6"/>
  <c r="R14" i="6"/>
  <c r="U14" i="6"/>
  <c r="V14" i="6"/>
  <c r="W14" i="6"/>
  <c r="X14" i="6"/>
  <c r="S14" i="6"/>
  <c r="X13" i="6"/>
  <c r="W13" i="6"/>
  <c r="V13" i="6"/>
  <c r="U13" i="6"/>
  <c r="T13" i="6"/>
  <c r="S13" i="6"/>
  <c r="R13" i="6"/>
  <c r="Q13" i="6"/>
  <c r="W12" i="6"/>
  <c r="V12" i="6"/>
  <c r="U12" i="6"/>
  <c r="T12" i="6"/>
  <c r="S12" i="6"/>
  <c r="R12" i="6"/>
  <c r="Q12" i="6"/>
  <c r="X12" i="6"/>
  <c r="Q11" i="6"/>
  <c r="V11" i="6"/>
  <c r="U11" i="6"/>
  <c r="T11" i="6"/>
  <c r="S11" i="6"/>
  <c r="R11" i="6"/>
  <c r="X11" i="6"/>
  <c r="W11" i="6"/>
  <c r="W10" i="6"/>
  <c r="U10" i="6"/>
  <c r="T10" i="6"/>
  <c r="S10" i="6"/>
  <c r="R10" i="6"/>
  <c r="Q10" i="6"/>
  <c r="X10" i="6"/>
  <c r="V10" i="6"/>
  <c r="W9" i="6"/>
  <c r="V9" i="6"/>
  <c r="U9" i="6"/>
  <c r="T9" i="6"/>
  <c r="S9" i="6"/>
  <c r="R9" i="6"/>
  <c r="Q9" i="6"/>
  <c r="X9" i="6"/>
  <c r="X8" i="6"/>
  <c r="W8" i="6"/>
  <c r="V8" i="6"/>
  <c r="U8" i="6"/>
  <c r="T8" i="6"/>
  <c r="S8" i="6"/>
  <c r="R8" i="6"/>
  <c r="Q8" i="6"/>
  <c r="W7" i="6"/>
  <c r="V7" i="6"/>
  <c r="U7" i="6"/>
  <c r="T7" i="6"/>
  <c r="S7" i="6"/>
  <c r="R7" i="6"/>
  <c r="Q7" i="6"/>
  <c r="X7" i="6"/>
  <c r="X6" i="6"/>
  <c r="V6" i="6"/>
  <c r="U6" i="6"/>
  <c r="T6" i="6"/>
  <c r="S6" i="6"/>
  <c r="R6" i="6"/>
  <c r="Q6" i="6"/>
  <c r="W6" i="6"/>
  <c r="W5" i="6"/>
  <c r="V5" i="6"/>
  <c r="U5" i="6"/>
  <c r="T5" i="6"/>
  <c r="S5" i="6"/>
  <c r="R5" i="6"/>
  <c r="Q5" i="6"/>
  <c r="X5" i="6"/>
  <c r="X4" i="6"/>
  <c r="U4" i="6"/>
  <c r="U16" i="6" s="1"/>
  <c r="T4" i="6"/>
  <c r="T16" i="6" s="1"/>
  <c r="S4" i="6"/>
  <c r="S16" i="6" s="1"/>
  <c r="R4" i="6"/>
  <c r="Q4" i="6"/>
  <c r="W4" i="6"/>
  <c r="W16" i="6" s="1"/>
  <c r="V4" i="6"/>
  <c r="V16" i="6" s="1"/>
  <c r="X16" i="35" l="1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R16" i="35"/>
  <c r="C33" i="3" s="1"/>
  <c r="Q16" i="35"/>
  <c r="T16" i="33"/>
  <c r="E31" i="3" s="1"/>
  <c r="X16" i="33"/>
  <c r="I31" i="3" s="1"/>
  <c r="W16" i="33"/>
  <c r="H31" i="3" s="1"/>
  <c r="T16" i="31"/>
  <c r="E29" i="3" s="1"/>
  <c r="X16" i="31"/>
  <c r="I29" i="3" s="1"/>
  <c r="Q16" i="31"/>
  <c r="W16" i="31"/>
  <c r="H29" i="3" s="1"/>
  <c r="T16" i="12"/>
  <c r="E10" i="3" s="1"/>
  <c r="S16" i="29"/>
  <c r="D27" i="3" s="1"/>
  <c r="Q16" i="29"/>
  <c r="X16" i="29"/>
  <c r="I27" i="3" s="1"/>
  <c r="X16" i="27"/>
  <c r="I25" i="3" s="1"/>
  <c r="W16" i="27"/>
  <c r="H25" i="3" s="1"/>
  <c r="U16" i="27"/>
  <c r="F25" i="3" s="1"/>
  <c r="Q16" i="27"/>
  <c r="W16" i="25"/>
  <c r="H23" i="3" s="1"/>
  <c r="Q16" i="25"/>
  <c r="T16" i="25"/>
  <c r="E23" i="3" s="1"/>
  <c r="T16" i="23"/>
  <c r="E21" i="3" s="1"/>
  <c r="Q16" i="23"/>
  <c r="V16" i="23"/>
  <c r="G21" i="3" s="1"/>
  <c r="O32" i="1"/>
  <c r="B34" i="3"/>
  <c r="O31" i="1"/>
  <c r="B33" i="3"/>
  <c r="O30" i="1"/>
  <c r="B32" i="3"/>
  <c r="O28" i="1"/>
  <c r="B30" i="3"/>
  <c r="O27" i="1"/>
  <c r="B29" i="3"/>
  <c r="O26" i="1"/>
  <c r="B28" i="3"/>
  <c r="B27" i="3"/>
  <c r="O24" i="1"/>
  <c r="B26" i="3"/>
  <c r="O23" i="1"/>
  <c r="B25" i="3"/>
  <c r="O22" i="1"/>
  <c r="B24" i="3"/>
  <c r="O21" i="1"/>
  <c r="B23" i="3"/>
  <c r="O20" i="1"/>
  <c r="B22" i="3"/>
  <c r="B21" i="3"/>
  <c r="O19" i="1"/>
  <c r="B20" i="3"/>
  <c r="O18" i="1"/>
  <c r="B18" i="3"/>
  <c r="O16" i="1"/>
  <c r="B16" i="3"/>
  <c r="O14" i="1"/>
  <c r="B14" i="3"/>
  <c r="O12" i="1"/>
  <c r="B12" i="3"/>
  <c r="O10" i="1"/>
  <c r="B10" i="3"/>
  <c r="O8" i="1"/>
  <c r="B8" i="3"/>
  <c r="O6" i="1"/>
  <c r="B6" i="3"/>
  <c r="O4" i="1"/>
  <c r="X16" i="6"/>
  <c r="F4" i="2"/>
  <c r="F4" i="3"/>
  <c r="E4" i="3"/>
  <c r="D4" i="3"/>
  <c r="R16" i="6"/>
  <c r="D4" i="2"/>
  <c r="Q16" i="6"/>
  <c r="C4" i="2"/>
  <c r="H4" i="3"/>
  <c r="G4" i="3"/>
  <c r="V16" i="33"/>
  <c r="G31" i="3" s="1"/>
  <c r="U16" i="33"/>
  <c r="F31" i="3" s="1"/>
  <c r="S16" i="33"/>
  <c r="D31" i="3" s="1"/>
  <c r="R16" i="33"/>
  <c r="C31" i="3" s="1"/>
  <c r="Q16" i="33"/>
  <c r="V16" i="31"/>
  <c r="G29" i="3" s="1"/>
  <c r="U16" i="31"/>
  <c r="F29" i="3" s="1"/>
  <c r="S16" i="31"/>
  <c r="D29" i="3" s="1"/>
  <c r="R16" i="31"/>
  <c r="C29" i="3" s="1"/>
  <c r="W16" i="29"/>
  <c r="H27" i="3" s="1"/>
  <c r="V16" i="29"/>
  <c r="G27" i="3" s="1"/>
  <c r="U16" i="29"/>
  <c r="F27" i="3" s="1"/>
  <c r="T16" i="29"/>
  <c r="E27" i="3" s="1"/>
  <c r="R16" i="27"/>
  <c r="C25" i="3" s="1"/>
  <c r="T16" i="27"/>
  <c r="E25" i="3" s="1"/>
  <c r="S16" i="27"/>
  <c r="D25" i="3" s="1"/>
  <c r="V16" i="27"/>
  <c r="G25" i="3" s="1"/>
  <c r="R16" i="25"/>
  <c r="C23" i="3" s="1"/>
  <c r="X16" i="25"/>
  <c r="I23" i="3" s="1"/>
  <c r="V16" i="25"/>
  <c r="G23" i="3" s="1"/>
  <c r="U16" i="25"/>
  <c r="F23" i="3" s="1"/>
  <c r="S16" i="25"/>
  <c r="D23" i="3" s="1"/>
  <c r="W16" i="23"/>
  <c r="H21" i="3" s="1"/>
  <c r="U16" i="23"/>
  <c r="F21" i="3" s="1"/>
  <c r="S16" i="23"/>
  <c r="D21" i="3" s="1"/>
  <c r="R16" i="23"/>
  <c r="C21" i="3" s="1"/>
  <c r="X16" i="23"/>
  <c r="I21" i="3" s="1"/>
  <c r="X16" i="21"/>
  <c r="I19" i="3" s="1"/>
  <c r="Q16" i="21"/>
  <c r="S16" i="21"/>
  <c r="D19" i="3" s="1"/>
  <c r="T16" i="21"/>
  <c r="E19" i="3" s="1"/>
  <c r="U16" i="21"/>
  <c r="F19" i="3" s="1"/>
  <c r="V16" i="21"/>
  <c r="G19" i="3" s="1"/>
  <c r="W16" i="21"/>
  <c r="H19" i="3" s="1"/>
  <c r="R16" i="21"/>
  <c r="C19" i="3" s="1"/>
  <c r="T16" i="19"/>
  <c r="E17" i="3" s="1"/>
  <c r="U16" i="19"/>
  <c r="F17" i="3" s="1"/>
  <c r="V16" i="19"/>
  <c r="G17" i="3" s="1"/>
  <c r="W16" i="19"/>
  <c r="H17" i="3" s="1"/>
  <c r="R16" i="19"/>
  <c r="C17" i="3" s="1"/>
  <c r="Q16" i="19"/>
  <c r="S16" i="19"/>
  <c r="D17" i="3" s="1"/>
  <c r="X16" i="19"/>
  <c r="I17" i="3" s="1"/>
  <c r="R16" i="29"/>
  <c r="V16" i="17"/>
  <c r="G15" i="3" s="1"/>
  <c r="U16" i="17"/>
  <c r="F15" i="3" s="1"/>
  <c r="T16" i="17"/>
  <c r="E15" i="3" s="1"/>
  <c r="S16" i="17"/>
  <c r="D15" i="3" s="1"/>
  <c r="R16" i="17"/>
  <c r="C15" i="3" s="1"/>
  <c r="Q16" i="17"/>
  <c r="W16" i="17"/>
  <c r="H15" i="3" s="1"/>
  <c r="X16" i="17"/>
  <c r="I15" i="3" s="1"/>
  <c r="X16" i="15"/>
  <c r="I13" i="3" s="1"/>
  <c r="V16" i="15"/>
  <c r="G13" i="3" s="1"/>
  <c r="W16" i="15"/>
  <c r="H13" i="3" s="1"/>
  <c r="T16" i="15"/>
  <c r="E13" i="3" s="1"/>
  <c r="S16" i="15"/>
  <c r="D13" i="3" s="1"/>
  <c r="R16" i="15"/>
  <c r="C13" i="3" s="1"/>
  <c r="Q16" i="15"/>
  <c r="U16" i="15"/>
  <c r="F13" i="3" s="1"/>
  <c r="T16" i="13"/>
  <c r="E11" i="3" s="1"/>
  <c r="S16" i="13"/>
  <c r="D11" i="3" s="1"/>
  <c r="R16" i="13"/>
  <c r="C11" i="3" s="1"/>
  <c r="X16" i="13"/>
  <c r="I11" i="3" s="1"/>
  <c r="U16" i="13"/>
  <c r="F11" i="3" s="1"/>
  <c r="Q16" i="13"/>
  <c r="V16" i="13"/>
  <c r="G11" i="3" s="1"/>
  <c r="W16" i="13"/>
  <c r="H11" i="3" s="1"/>
  <c r="X16" i="11"/>
  <c r="I9" i="3" s="1"/>
  <c r="W16" i="11"/>
  <c r="H9" i="3" s="1"/>
  <c r="R16" i="11"/>
  <c r="C9" i="3" s="1"/>
  <c r="Q16" i="11"/>
  <c r="V16" i="11"/>
  <c r="G9" i="3" s="1"/>
  <c r="S16" i="11"/>
  <c r="D9" i="3" s="1"/>
  <c r="T16" i="11"/>
  <c r="E9" i="3" s="1"/>
  <c r="U16" i="11"/>
  <c r="F9" i="3" s="1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V16" i="7"/>
  <c r="U16" i="7"/>
  <c r="T16" i="7"/>
  <c r="S16" i="7"/>
  <c r="R16" i="7"/>
  <c r="C5" i="3" s="1"/>
  <c r="Q16" i="7"/>
  <c r="W16" i="7"/>
  <c r="X16" i="7"/>
  <c r="I5" i="3" s="1"/>
  <c r="F15" i="2"/>
  <c r="C15" i="2"/>
  <c r="D15" i="2"/>
  <c r="C14" i="2"/>
  <c r="D14" i="2"/>
  <c r="F14" i="2"/>
  <c r="F13" i="2"/>
  <c r="D13" i="2"/>
  <c r="C13" i="2"/>
  <c r="D12" i="2"/>
  <c r="C12" i="2"/>
  <c r="F12" i="2"/>
  <c r="C11" i="2"/>
  <c r="D11" i="2"/>
  <c r="F11" i="2"/>
  <c r="D10" i="2"/>
  <c r="C10" i="2"/>
  <c r="E10" i="2" s="1"/>
  <c r="F10" i="2"/>
  <c r="D9" i="2"/>
  <c r="C9" i="2"/>
  <c r="E9" i="2" s="1"/>
  <c r="F9" i="2"/>
  <c r="F8" i="2"/>
  <c r="D8" i="2"/>
  <c r="C8" i="2"/>
  <c r="E8" i="2" s="1"/>
  <c r="D7" i="2"/>
  <c r="C7" i="2"/>
  <c r="E7" i="2" s="1"/>
  <c r="F7" i="2"/>
  <c r="F6" i="2"/>
  <c r="D6" i="2"/>
  <c r="C6" i="2"/>
  <c r="D5" i="2"/>
  <c r="C5" i="2"/>
  <c r="E5" i="2" s="1"/>
  <c r="F5" i="2"/>
  <c r="E4" i="2" l="1"/>
  <c r="E11" i="2"/>
  <c r="E13" i="2"/>
  <c r="E6" i="2"/>
  <c r="C27" i="3"/>
  <c r="O25" i="1"/>
  <c r="I4" i="3"/>
  <c r="B11" i="4"/>
  <c r="C4" i="3"/>
  <c r="B5" i="4"/>
  <c r="B4" i="3"/>
  <c r="O2" i="1"/>
  <c r="B4" i="4"/>
  <c r="B31" i="3"/>
  <c r="O29" i="1"/>
  <c r="O17" i="1"/>
  <c r="B19" i="3"/>
  <c r="O15" i="1"/>
  <c r="B17" i="3"/>
  <c r="O13" i="1"/>
  <c r="B15" i="3"/>
  <c r="O11" i="1"/>
  <c r="B13" i="3"/>
  <c r="O9" i="1"/>
  <c r="B11" i="3"/>
  <c r="O7" i="1"/>
  <c r="B9" i="3"/>
  <c r="O5" i="1"/>
  <c r="B7" i="3"/>
  <c r="O3" i="1"/>
  <c r="B5" i="3"/>
  <c r="E15" i="2"/>
  <c r="E14" i="2"/>
  <c r="E12" i="2"/>
  <c r="G5" i="3"/>
  <c r="B9" i="4"/>
  <c r="F5" i="3"/>
  <c r="B8" i="4"/>
  <c r="E5" i="3"/>
  <c r="B7" i="4"/>
  <c r="D5" i="3"/>
  <c r="B6" i="4"/>
  <c r="H5" i="3"/>
  <c r="B10" i="4"/>
  <c r="D11" i="4" l="1"/>
  <c r="E11" i="4"/>
  <c r="G9" i="1"/>
  <c r="D5" i="4"/>
  <c r="E5" i="4"/>
  <c r="D5" i="1"/>
  <c r="D4" i="4"/>
  <c r="J5" i="1" s="1"/>
  <c r="E4" i="4"/>
  <c r="A5" i="1"/>
  <c r="G5" i="1"/>
  <c r="A13" i="2"/>
  <c r="A11" i="2"/>
  <c r="A9" i="2"/>
  <c r="A6" i="2"/>
  <c r="A8" i="2"/>
  <c r="A10" i="2"/>
  <c r="A4" i="2"/>
  <c r="A5" i="2"/>
  <c r="A7" i="2"/>
  <c r="A12" i="2"/>
  <c r="E9" i="4"/>
  <c r="D9" i="4"/>
  <c r="D9" i="1"/>
  <c r="E8" i="4"/>
  <c r="D8" i="4"/>
  <c r="A9" i="1"/>
  <c r="E7" i="4"/>
  <c r="D7" i="4"/>
  <c r="E6" i="4"/>
  <c r="D6" i="4"/>
  <c r="J9" i="1"/>
  <c r="E10" i="4"/>
  <c r="D10" i="4"/>
  <c r="A15" i="2"/>
  <c r="A14" i="2"/>
</calcChain>
</file>

<file path=xl/sharedStrings.xml><?xml version="1.0" encoding="utf-8"?>
<sst xmlns="http://schemas.openxmlformats.org/spreadsheetml/2006/main" count="5047" uniqueCount="1793">
  <si>
    <t>Store Performance Dashboard</t>
  </si>
  <si>
    <t>Day</t>
  </si>
  <si>
    <t>Acts+Pre</t>
  </si>
  <si>
    <t>Mock data — rebuilt tracker</t>
  </si>
  <si>
    <t>ACTS</t>
  </si>
  <si>
    <t>PRE</t>
  </si>
  <si>
    <t>ACTS + PRE</t>
  </si>
  <si>
    <t>% TO ACTS GOAL</t>
  </si>
  <si>
    <t>BTS</t>
  </si>
  <si>
    <t>HOME INTERNET</t>
  </si>
  <si>
    <t>ACCESSORY $</t>
  </si>
  <si>
    <t>DEVICES</t>
  </si>
  <si>
    <t>Team Leaderboard  —  ranked by Acts + Pre</t>
  </si>
  <si>
    <t>Rank</t>
  </si>
  <si>
    <t>Mobile Expert</t>
  </si>
  <si>
    <t>Acts</t>
  </si>
  <si>
    <t>Pre</t>
  </si>
  <si>
    <t>Acts + Pre</t>
  </si>
  <si>
    <t>Acc $</t>
  </si>
  <si>
    <t>Daily Trend  —  heatmap by day</t>
  </si>
  <si>
    <t>TFB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</si>
  <si>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</si>
  <si>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</si>
  <si>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</si>
  <si>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</si>
  <si>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</si>
  <si>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</si>
  <si>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</si>
  <si>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</si>
  <si>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</si>
  <si>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edit these lists; every dropdown and roll-up follows them</t>
  </si>
  <si>
    <t>Mobile Experts</t>
  </si>
  <si>
    <t>Device Catalog</t>
  </si>
  <si>
    <t>Expert 01</t>
  </si>
  <si>
    <t>iPhone 15</t>
  </si>
  <si>
    <t>Expert 02</t>
  </si>
  <si>
    <t>iPhone 15 Plus</t>
  </si>
  <si>
    <t>Expert 03</t>
  </si>
  <si>
    <t>iPhone 15 Pro</t>
  </si>
  <si>
    <t>Expert 04</t>
  </si>
  <si>
    <t>iPhone 15 Pro Max</t>
  </si>
  <si>
    <t>Expert 05</t>
  </si>
  <si>
    <t>iPhone 14</t>
  </si>
  <si>
    <t>Expert 06</t>
  </si>
  <si>
    <t>iPhone 13</t>
  </si>
  <si>
    <t>Expert 07</t>
  </si>
  <si>
    <t>Galaxy S24</t>
  </si>
  <si>
    <t>Expert 08</t>
  </si>
  <si>
    <t>Galaxy S24+</t>
  </si>
  <si>
    <t>Expert 09</t>
  </si>
  <si>
    <t>Galaxy S24 Ultra</t>
  </si>
  <si>
    <t>Expert 10</t>
  </si>
  <si>
    <t>Galaxy A15</t>
  </si>
  <si>
    <t>Expert 11</t>
  </si>
  <si>
    <t>Galaxy A35</t>
  </si>
  <si>
    <t>Expert 12</t>
  </si>
  <si>
    <t>Galaxy Z Flip</t>
  </si>
  <si>
    <t>Pixel 8a</t>
  </si>
  <si>
    <t>Moto G Power</t>
  </si>
  <si>
    <t>Add or rename people in column A and devices in column C — the daily tabs pick the changes up automatically. Never type a device by hand; that is what broke the old sheet.</t>
  </si>
  <si>
    <t>iPad 10th Gen</t>
  </si>
  <si>
    <t>Galaxy Tab A9</t>
  </si>
  <si>
    <t>Apple Watch SE</t>
  </si>
  <si>
    <t>Apple Watch S9</t>
  </si>
  <si>
    <t>Apple Watch Ultra</t>
  </si>
  <si>
    <t>Galaxy Watch 7</t>
  </si>
  <si>
    <t>Home Internet Gateway</t>
  </si>
  <si>
    <t>SIM Only</t>
  </si>
  <si>
    <t>BYOD</t>
  </si>
  <si>
    <t>Accessory Only</t>
  </si>
  <si>
    <t>Day 1  —  Daily Entry</t>
  </si>
  <si>
    <t>ME</t>
  </si>
  <si>
    <t>SKU</t>
  </si>
  <si>
    <t>IMEI / SIM</t>
  </si>
  <si>
    <t>Device</t>
  </si>
  <si>
    <t>Complete</t>
  </si>
  <si>
    <t>945431868389</t>
  </si>
  <si>
    <t>964289395894457</t>
  </si>
  <si>
    <t>Y</t>
  </si>
  <si>
    <t>767600188469</t>
  </si>
  <si>
    <t>561969127329053</t>
  </si>
  <si>
    <t>809384708094</t>
  </si>
  <si>
    <t>352154653251734</t>
  </si>
  <si>
    <t>454852153976</t>
  </si>
  <si>
    <t>753772183354534</t>
  </si>
  <si>
    <t>462743565570</t>
  </si>
  <si>
    <t>460077514538801</t>
  </si>
  <si>
    <t>762522047648</t>
  </si>
  <si>
    <t>579570949591806</t>
  </si>
  <si>
    <t>676420053542</t>
  </si>
  <si>
    <t>894567237605739</t>
  </si>
  <si>
    <t>511524246986</t>
  </si>
  <si>
    <t>400988583194554</t>
  </si>
  <si>
    <t>610963092400</t>
  </si>
  <si>
    <t>680856000011030</t>
  </si>
  <si>
    <t>473957934549</t>
  </si>
  <si>
    <t>658182451493423</t>
  </si>
  <si>
    <t>976508981386</t>
  </si>
  <si>
    <t>673638224604260</t>
  </si>
  <si>
    <t>590089126099</t>
  </si>
  <si>
    <t>501039019880439</t>
  </si>
  <si>
    <t>406666069360</t>
  </si>
  <si>
    <t>999757188538188</t>
  </si>
  <si>
    <t>STORE TOTAL</t>
  </si>
  <si>
    <t>766308748724</t>
  </si>
  <si>
    <t>852820215427988</t>
  </si>
  <si>
    <t>725327768509</t>
  </si>
  <si>
    <t>485825469941716</t>
  </si>
  <si>
    <t>173101022192</t>
  </si>
  <si>
    <t>536491977207328</t>
  </si>
  <si>
    <t>682475034700</t>
  </si>
  <si>
    <t>157264189077472</t>
  </si>
  <si>
    <t>767686243488</t>
  </si>
  <si>
    <t>418814845941305</t>
  </si>
  <si>
    <t>824483026057</t>
  </si>
  <si>
    <t>616411296744424</t>
  </si>
  <si>
    <t>966585149254</t>
  </si>
  <si>
    <t>145272923784473</t>
  </si>
  <si>
    <t>N</t>
  </si>
  <si>
    <t>630561832468</t>
  </si>
  <si>
    <t>634212824545530</t>
  </si>
  <si>
    <t>197630988899</t>
  </si>
  <si>
    <t>615550016131462</t>
  </si>
  <si>
    <t>346748616046</t>
  </si>
  <si>
    <t>889801122145661</t>
  </si>
  <si>
    <t>574800555255</t>
  </si>
  <si>
    <t>456983685266054</t>
  </si>
  <si>
    <t>774304589269</t>
  </si>
  <si>
    <t>759285910891797</t>
  </si>
  <si>
    <t>624576317905</t>
  </si>
  <si>
    <t>966888554914714</t>
  </si>
  <si>
    <t>593795511778</t>
  </si>
  <si>
    <t>723220424795662</t>
  </si>
  <si>
    <t>Day 2  —  Daily Entry</t>
  </si>
  <si>
    <t>800114947572</t>
  </si>
  <si>
    <t>115814134304589</t>
  </si>
  <si>
    <t>976998755652</t>
  </si>
  <si>
    <t>107861650020597</t>
  </si>
  <si>
    <t>730199272498</t>
  </si>
  <si>
    <t>548339782335394</t>
  </si>
  <si>
    <t>446277067537</t>
  </si>
  <si>
    <t>261921285387061</t>
  </si>
  <si>
    <t>425652180632</t>
  </si>
  <si>
    <t>892132932997132</t>
  </si>
  <si>
    <t>441403623059</t>
  </si>
  <si>
    <t>807413575140732</t>
  </si>
  <si>
    <t>941664887181</t>
  </si>
  <si>
    <t>236509275059532</t>
  </si>
  <si>
    <t>638318403924</t>
  </si>
  <si>
    <t>233441554437274</t>
  </si>
  <si>
    <t>348251269935</t>
  </si>
  <si>
    <t>874227409031910</t>
  </si>
  <si>
    <t>511144942422</t>
  </si>
  <si>
    <t>313392392981179</t>
  </si>
  <si>
    <t>894163970703</t>
  </si>
  <si>
    <t>183594673823259</t>
  </si>
  <si>
    <t>247073563226</t>
  </si>
  <si>
    <t>417640446157971</t>
  </si>
  <si>
    <t>504898373750</t>
  </si>
  <si>
    <t>344028080941753</t>
  </si>
  <si>
    <t>810494462486</t>
  </si>
  <si>
    <t>425899077292609</t>
  </si>
  <si>
    <t>192503989239</t>
  </si>
  <si>
    <t>242399009829160</t>
  </si>
  <si>
    <t>787860001873</t>
  </si>
  <si>
    <t>963892105969854</t>
  </si>
  <si>
    <t>402064107329</t>
  </si>
  <si>
    <t>882117644820029</t>
  </si>
  <si>
    <t>183637726927</t>
  </si>
  <si>
    <t>767447072108461</t>
  </si>
  <si>
    <t>228330083392</t>
  </si>
  <si>
    <t>305654385015187</t>
  </si>
  <si>
    <t>149227556004</t>
  </si>
  <si>
    <t>266745199759577</t>
  </si>
  <si>
    <t>704639368997</t>
  </si>
  <si>
    <t>466564084116902</t>
  </si>
  <si>
    <t>892450030419</t>
  </si>
  <si>
    <t>609792955545693</t>
  </si>
  <si>
    <t>960599241604</t>
  </si>
  <si>
    <t>442720385869386</t>
  </si>
  <si>
    <t>889536725880</t>
  </si>
  <si>
    <t>225622503198498</t>
  </si>
  <si>
    <t>687426750521</t>
  </si>
  <si>
    <t>232832686126637</t>
  </si>
  <si>
    <t>565720045163</t>
  </si>
  <si>
    <t>237783745849479</t>
  </si>
  <si>
    <t>Day 3  —  Daily Entry</t>
  </si>
  <si>
    <t>379372327269</t>
  </si>
  <si>
    <t>904093178095947</t>
  </si>
  <si>
    <t>726227687160</t>
  </si>
  <si>
    <t>972577424757631</t>
  </si>
  <si>
    <t>925163352302</t>
  </si>
  <si>
    <t>767731008792792</t>
  </si>
  <si>
    <t>589818817305</t>
  </si>
  <si>
    <t>724374746619820</t>
  </si>
  <si>
    <t>986633999291</t>
  </si>
  <si>
    <t>498018309238631</t>
  </si>
  <si>
    <t>769353078865</t>
  </si>
  <si>
    <t>833074248793313</t>
  </si>
  <si>
    <t>473814183462</t>
  </si>
  <si>
    <t>248095201116489</t>
  </si>
  <si>
    <t>283388178193</t>
  </si>
  <si>
    <t>762718324833987</t>
  </si>
  <si>
    <t>123798649700</t>
  </si>
  <si>
    <t>355653487192352</t>
  </si>
  <si>
    <t>422434219199</t>
  </si>
  <si>
    <t>467142358858020</t>
  </si>
  <si>
    <t>996584739641</t>
  </si>
  <si>
    <t>195713942374137</t>
  </si>
  <si>
    <t>234566364405</t>
  </si>
  <si>
    <t>204580092413797</t>
  </si>
  <si>
    <t>667185102165</t>
  </si>
  <si>
    <t>444563784358263</t>
  </si>
  <si>
    <t>816707526388</t>
  </si>
  <si>
    <t>558293000459658</t>
  </si>
  <si>
    <t>119860922070</t>
  </si>
  <si>
    <t>890693417098614</t>
  </si>
  <si>
    <t>132458589742</t>
  </si>
  <si>
    <t>561945258604091</t>
  </si>
  <si>
    <t>916367268073</t>
  </si>
  <si>
    <t>779660098238801</t>
  </si>
  <si>
    <t>221732523129</t>
  </si>
  <si>
    <t>348413575841594</t>
  </si>
  <si>
    <t>878878638827</t>
  </si>
  <si>
    <t>145841434739659</t>
  </si>
  <si>
    <t>805692878521</t>
  </si>
  <si>
    <t>257079283807594</t>
  </si>
  <si>
    <t>439611826116</t>
  </si>
  <si>
    <t>257164183814831</t>
  </si>
  <si>
    <t>511768004376</t>
  </si>
  <si>
    <t>405951722641444</t>
  </si>
  <si>
    <t>791732555437</t>
  </si>
  <si>
    <t>776321788344534</t>
  </si>
  <si>
    <t>938202199785</t>
  </si>
  <si>
    <t>323028883480795</t>
  </si>
  <si>
    <t>568946027837</t>
  </si>
  <si>
    <t>740119442136641</t>
  </si>
  <si>
    <t>915441611323</t>
  </si>
  <si>
    <t>445501441510344</t>
  </si>
  <si>
    <t>799642200908</t>
  </si>
  <si>
    <t>538115368271152</t>
  </si>
  <si>
    <t>935125010021</t>
  </si>
  <si>
    <t>675771090799920</t>
  </si>
  <si>
    <t>Day 4  —  Daily Entry</t>
  </si>
  <si>
    <t>197294474362</t>
  </si>
  <si>
    <t>697759099813626</t>
  </si>
  <si>
    <t>605440108140</t>
  </si>
  <si>
    <t>473281900384049</t>
  </si>
  <si>
    <t>134090811601</t>
  </si>
  <si>
    <t>974233455612376</t>
  </si>
  <si>
    <t>502858295866</t>
  </si>
  <si>
    <t>138714806455541</t>
  </si>
  <si>
    <t>568605299598</t>
  </si>
  <si>
    <t>387865104961799</t>
  </si>
  <si>
    <t>576067317037</t>
  </si>
  <si>
    <t>407038866284243</t>
  </si>
  <si>
    <t>236276852716</t>
  </si>
  <si>
    <t>139266823996785</t>
  </si>
  <si>
    <t>182885423634</t>
  </si>
  <si>
    <t>951900429494031</t>
  </si>
  <si>
    <t>796883006931</t>
  </si>
  <si>
    <t>949125440384492</t>
  </si>
  <si>
    <t>345254864730</t>
  </si>
  <si>
    <t>456779509239796</t>
  </si>
  <si>
    <t>424198751207</t>
  </si>
  <si>
    <t>290435352163211</t>
  </si>
  <si>
    <t>399030909680</t>
  </si>
  <si>
    <t>877607802832652</t>
  </si>
  <si>
    <t>173644182464</t>
  </si>
  <si>
    <t>568456847679389</t>
  </si>
  <si>
    <t>449627832916</t>
  </si>
  <si>
    <t>527837191492848</t>
  </si>
  <si>
    <t>706100934647</t>
  </si>
  <si>
    <t>208570318226685</t>
  </si>
  <si>
    <t>571701432999</t>
  </si>
  <si>
    <t>595940277586179</t>
  </si>
  <si>
    <t>141700615156</t>
  </si>
  <si>
    <t>922610746747259</t>
  </si>
  <si>
    <t>605890570152</t>
  </si>
  <si>
    <t>645894761602064</t>
  </si>
  <si>
    <t>294543542735</t>
  </si>
  <si>
    <t>863167298634268</t>
  </si>
  <si>
    <t>792233540110</t>
  </si>
  <si>
    <t>917434662368659</t>
  </si>
  <si>
    <t>694134157263</t>
  </si>
  <si>
    <t>944639323394819</t>
  </si>
  <si>
    <t>725980349398</t>
  </si>
  <si>
    <t>703857879760945</t>
  </si>
  <si>
    <t>675804657439</t>
  </si>
  <si>
    <t>759025809600154</t>
  </si>
  <si>
    <t>313603061397</t>
  </si>
  <si>
    <t>397612080615130</t>
  </si>
  <si>
    <t>461059809953</t>
  </si>
  <si>
    <t>908851596441131</t>
  </si>
  <si>
    <t>802047594152</t>
  </si>
  <si>
    <t>428221073307844</t>
  </si>
  <si>
    <t>539428098987</t>
  </si>
  <si>
    <t>589712617860761</t>
  </si>
  <si>
    <t>365041457242</t>
  </si>
  <si>
    <t>456921307133373</t>
  </si>
  <si>
    <t>345603153495</t>
  </si>
  <si>
    <t>573195550451090</t>
  </si>
  <si>
    <t>272111087627</t>
  </si>
  <si>
    <t>685996870100584</t>
  </si>
  <si>
    <t>218821552192</t>
  </si>
  <si>
    <t>576136070951392</t>
  </si>
  <si>
    <t>273055004020</t>
  </si>
  <si>
    <t>334902140939374</t>
  </si>
  <si>
    <t>505351175308</t>
  </si>
  <si>
    <t>438135694966541</t>
  </si>
  <si>
    <t>Day 5  —  Daily Entry</t>
  </si>
  <si>
    <t>578776926435</t>
  </si>
  <si>
    <t>846468107743543</t>
  </si>
  <si>
    <t>563109553035</t>
  </si>
  <si>
    <t>327512212007520</t>
  </si>
  <si>
    <t>823139480470</t>
  </si>
  <si>
    <t>345200052880504</t>
  </si>
  <si>
    <t>985539842536</t>
  </si>
  <si>
    <t>191384677119907</t>
  </si>
  <si>
    <t>584749151609</t>
  </si>
  <si>
    <t>362756477295394</t>
  </si>
  <si>
    <t>539077552415</t>
  </si>
  <si>
    <t>480940660419262</t>
  </si>
  <si>
    <t>517624085701</t>
  </si>
  <si>
    <t>738451982051317</t>
  </si>
  <si>
    <t>909729869224</t>
  </si>
  <si>
    <t>536162716768160</t>
  </si>
  <si>
    <t>367482697165</t>
  </si>
  <si>
    <t>201130695260230</t>
  </si>
  <si>
    <t>421456597816</t>
  </si>
  <si>
    <t>395289408861803</t>
  </si>
  <si>
    <t>433862744434</t>
  </si>
  <si>
    <t>520275390074600</t>
  </si>
  <si>
    <t>585679576326</t>
  </si>
  <si>
    <t>896974620600462</t>
  </si>
  <si>
    <t>205923510535</t>
  </si>
  <si>
    <t>246245852653314</t>
  </si>
  <si>
    <t>234857335169</t>
  </si>
  <si>
    <t>855469379148333</t>
  </si>
  <si>
    <t>553652060940</t>
  </si>
  <si>
    <t>452475559245703</t>
  </si>
  <si>
    <t>618151189546</t>
  </si>
  <si>
    <t>664278137286914</t>
  </si>
  <si>
    <t>629513800500</t>
  </si>
  <si>
    <t>731430273259412</t>
  </si>
  <si>
    <t>741482896823</t>
  </si>
  <si>
    <t>630615237179311</t>
  </si>
  <si>
    <t>786494009009</t>
  </si>
  <si>
    <t>394495116553728</t>
  </si>
  <si>
    <t>322128382796</t>
  </si>
  <si>
    <t>543283867611217</t>
  </si>
  <si>
    <t>114206869111</t>
  </si>
  <si>
    <t>785755288853126</t>
  </si>
  <si>
    <t>291183380059</t>
  </si>
  <si>
    <t>282114651150212</t>
  </si>
  <si>
    <t>811973349626</t>
  </si>
  <si>
    <t>443130102270570</t>
  </si>
  <si>
    <t>755776068158</t>
  </si>
  <si>
    <t>888576198321703</t>
  </si>
  <si>
    <t>864447444826</t>
  </si>
  <si>
    <t>567948300320695</t>
  </si>
  <si>
    <t>Day 6  —  Daily Entry</t>
  </si>
  <si>
    <t>157829819199</t>
  </si>
  <si>
    <t>215870884008055</t>
  </si>
  <si>
    <t>985522981088</t>
  </si>
  <si>
    <t>949345198899762</t>
  </si>
  <si>
    <t>709683794334</t>
  </si>
  <si>
    <t>116410382366080</t>
  </si>
  <si>
    <t>288791788068</t>
  </si>
  <si>
    <t>916600575270929</t>
  </si>
  <si>
    <t>349898496544</t>
  </si>
  <si>
    <t>232737202788272</t>
  </si>
  <si>
    <t>688322633366</t>
  </si>
  <si>
    <t>335809376608679</t>
  </si>
  <si>
    <t>648749825453</t>
  </si>
  <si>
    <t>122960599565913</t>
  </si>
  <si>
    <t>650240229006</t>
  </si>
  <si>
    <t>591675172513605</t>
  </si>
  <si>
    <t>221807530179</t>
  </si>
  <si>
    <t>291087914221979</t>
  </si>
  <si>
    <t>742358852175</t>
  </si>
  <si>
    <t>137746424565712</t>
  </si>
  <si>
    <t>580591496680</t>
  </si>
  <si>
    <t>748512608043133</t>
  </si>
  <si>
    <t>879406839127</t>
  </si>
  <si>
    <t>756195538258460</t>
  </si>
  <si>
    <t>905696788087</t>
  </si>
  <si>
    <t>415796340575770</t>
  </si>
  <si>
    <t>633047678290</t>
  </si>
  <si>
    <t>763312091309063</t>
  </si>
  <si>
    <t>784976225860</t>
  </si>
  <si>
    <t>724694935930892</t>
  </si>
  <si>
    <t>788926456513</t>
  </si>
  <si>
    <t>568433034195995</t>
  </si>
  <si>
    <t>946682588684</t>
  </si>
  <si>
    <t>423638581085353</t>
  </si>
  <si>
    <t>475089329761</t>
  </si>
  <si>
    <t>778826360510257</t>
  </si>
  <si>
    <t>500258428177</t>
  </si>
  <si>
    <t>722340390450945</t>
  </si>
  <si>
    <t>669482214447</t>
  </si>
  <si>
    <t>903131653944813</t>
  </si>
  <si>
    <t>268058261625</t>
  </si>
  <si>
    <t>477215563231812</t>
  </si>
  <si>
    <t>107256473052</t>
  </si>
  <si>
    <t>909518737846852</t>
  </si>
  <si>
    <t>921642803460</t>
  </si>
  <si>
    <t>969337416279026</t>
  </si>
  <si>
    <t>967922914896</t>
  </si>
  <si>
    <t>699691619615135</t>
  </si>
  <si>
    <t>331372152421</t>
  </si>
  <si>
    <t>187854287321890</t>
  </si>
  <si>
    <t>Day 7  —  Daily Entry</t>
  </si>
  <si>
    <t>355250053251</t>
  </si>
  <si>
    <t>256347562199830</t>
  </si>
  <si>
    <t>801444675116</t>
  </si>
  <si>
    <t>431007157400341</t>
  </si>
  <si>
    <t>539528412583</t>
  </si>
  <si>
    <t>932404334255622</t>
  </si>
  <si>
    <t>797294909718</t>
  </si>
  <si>
    <t>676904923014874</t>
  </si>
  <si>
    <t>942474950225</t>
  </si>
  <si>
    <t>212743166581441</t>
  </si>
  <si>
    <t>757245227319</t>
  </si>
  <si>
    <t>593526053361394</t>
  </si>
  <si>
    <t>464984536149</t>
  </si>
  <si>
    <t>607509296938967</t>
  </si>
  <si>
    <t>108113843362</t>
  </si>
  <si>
    <t>394583029145131</t>
  </si>
  <si>
    <t>564676289173</t>
  </si>
  <si>
    <t>671530353880958</t>
  </si>
  <si>
    <t>840822184091</t>
  </si>
  <si>
    <t>628628031954193</t>
  </si>
  <si>
    <t>105491582436</t>
  </si>
  <si>
    <t>637582838724494</t>
  </si>
  <si>
    <t>835019680670</t>
  </si>
  <si>
    <t>437497754844031</t>
  </si>
  <si>
    <t>534595938919</t>
  </si>
  <si>
    <t>615373029272530</t>
  </si>
  <si>
    <t>207284249788</t>
  </si>
  <si>
    <t>229520923068166</t>
  </si>
  <si>
    <t>859085930759</t>
  </si>
  <si>
    <t>554886753172888</t>
  </si>
  <si>
    <t>654987972235</t>
  </si>
  <si>
    <t>649637427016596</t>
  </si>
  <si>
    <t>450450804732</t>
  </si>
  <si>
    <t>738843541800735</t>
  </si>
  <si>
    <t>847489760019</t>
  </si>
  <si>
    <t>364610048517593</t>
  </si>
  <si>
    <t>108237994155</t>
  </si>
  <si>
    <t>531121947197465</t>
  </si>
  <si>
    <t>840703774954</t>
  </si>
  <si>
    <t>367480034148548</t>
  </si>
  <si>
    <t>604799639654</t>
  </si>
  <si>
    <t>739482109516873</t>
  </si>
  <si>
    <t>296520172803</t>
  </si>
  <si>
    <t>170244044347277</t>
  </si>
  <si>
    <t>221371199758</t>
  </si>
  <si>
    <t>535170228254093</t>
  </si>
  <si>
    <t>583599835577</t>
  </si>
  <si>
    <t>688412485015263</t>
  </si>
  <si>
    <t>679359701947</t>
  </si>
  <si>
    <t>909268353274103</t>
  </si>
  <si>
    <t>518414437120</t>
  </si>
  <si>
    <t>849441800232133</t>
  </si>
  <si>
    <t>137150192529</t>
  </si>
  <si>
    <t>557399363488459</t>
  </si>
  <si>
    <t>783586527939</t>
  </si>
  <si>
    <t>951442112601517</t>
  </si>
  <si>
    <t>192210508547</t>
  </si>
  <si>
    <t>653681412433953</t>
  </si>
  <si>
    <t>171692991461</t>
  </si>
  <si>
    <t>922965813715143</t>
  </si>
  <si>
    <t>Day 8  —  Daily Entry</t>
  </si>
  <si>
    <t>601492788949</t>
  </si>
  <si>
    <t>243437642206609</t>
  </si>
  <si>
    <t>702676401479</t>
  </si>
  <si>
    <t>753242839637157</t>
  </si>
  <si>
    <t>130521300768</t>
  </si>
  <si>
    <t>590478488281834</t>
  </si>
  <si>
    <t>197300378713</t>
  </si>
  <si>
    <t>165922688102011</t>
  </si>
  <si>
    <t>482045105230</t>
  </si>
  <si>
    <t>106315396360797</t>
  </si>
  <si>
    <t>899634128458</t>
  </si>
  <si>
    <t>920019042821173</t>
  </si>
  <si>
    <t>700447339703</t>
  </si>
  <si>
    <t>209030931143363</t>
  </si>
  <si>
    <t>302820446582</t>
  </si>
  <si>
    <t>142933989425226</t>
  </si>
  <si>
    <t>599600280238</t>
  </si>
  <si>
    <t>899992866608688</t>
  </si>
  <si>
    <t>417038716701</t>
  </si>
  <si>
    <t>954317855209938</t>
  </si>
  <si>
    <t>299295885092</t>
  </si>
  <si>
    <t>380600161004304</t>
  </si>
  <si>
    <t>900887752451</t>
  </si>
  <si>
    <t>203493990979452</t>
  </si>
  <si>
    <t>982901819892</t>
  </si>
  <si>
    <t>645691169946480</t>
  </si>
  <si>
    <t>458382726821</t>
  </si>
  <si>
    <t>804925875930162</t>
  </si>
  <si>
    <t>359743075385</t>
  </si>
  <si>
    <t>642459740692762</t>
  </si>
  <si>
    <t>818547612373</t>
  </si>
  <si>
    <t>990884588916914</t>
  </si>
  <si>
    <t>701268762295</t>
  </si>
  <si>
    <t>119759198334676</t>
  </si>
  <si>
    <t>579465047722</t>
  </si>
  <si>
    <t>533799178910748</t>
  </si>
  <si>
    <t>Day 9  —  Daily Entry</t>
  </si>
  <si>
    <t>225975757081</t>
  </si>
  <si>
    <t>625380278501519</t>
  </si>
  <si>
    <t>219821449541</t>
  </si>
  <si>
    <t>147267022150335</t>
  </si>
  <si>
    <t>205822762327</t>
  </si>
  <si>
    <t>712679467234682</t>
  </si>
  <si>
    <t>524308925740</t>
  </si>
  <si>
    <t>730377110335328</t>
  </si>
  <si>
    <t>423333350270</t>
  </si>
  <si>
    <t>922085980044777</t>
  </si>
  <si>
    <t>312498276289</t>
  </si>
  <si>
    <t>759945933432286</t>
  </si>
  <si>
    <t>726230431954</t>
  </si>
  <si>
    <t>189827314164144</t>
  </si>
  <si>
    <t>490418518576</t>
  </si>
  <si>
    <t>815235858634697</t>
  </si>
  <si>
    <t>572952938521</t>
  </si>
  <si>
    <t>567440004252287</t>
  </si>
  <si>
    <t>211273765732</t>
  </si>
  <si>
    <t>296548072694025</t>
  </si>
  <si>
    <t>585757084425</t>
  </si>
  <si>
    <t>368362559129168</t>
  </si>
  <si>
    <t>355061511270</t>
  </si>
  <si>
    <t>310759463172859</t>
  </si>
  <si>
    <t>906588118486</t>
  </si>
  <si>
    <t>560434096182021</t>
  </si>
  <si>
    <t>904001697118</t>
  </si>
  <si>
    <t>144820761988047</t>
  </si>
  <si>
    <t>367739930512</t>
  </si>
  <si>
    <t>433127229657959</t>
  </si>
  <si>
    <t>197061479284</t>
  </si>
  <si>
    <t>783291463645452</t>
  </si>
  <si>
    <t>278464421105</t>
  </si>
  <si>
    <t>428222286241589</t>
  </si>
  <si>
    <t>525832674088</t>
  </si>
  <si>
    <t>572540828501569</t>
  </si>
  <si>
    <t>190843732589</t>
  </si>
  <si>
    <t>204231791473760</t>
  </si>
  <si>
    <t>900379409286</t>
  </si>
  <si>
    <t>464608328575617</t>
  </si>
  <si>
    <t>396087914907</t>
  </si>
  <si>
    <t>732254186448123</t>
  </si>
  <si>
    <t>Day 10  —  Daily Entry</t>
  </si>
  <si>
    <t>476420969671</t>
  </si>
  <si>
    <t>380749126072264</t>
  </si>
  <si>
    <t>692199641064</t>
  </si>
  <si>
    <t>118987917146054</t>
  </si>
  <si>
    <t>912710405502</t>
  </si>
  <si>
    <t>201625802787000</t>
  </si>
  <si>
    <t>427675175156</t>
  </si>
  <si>
    <t>955594719684925</t>
  </si>
  <si>
    <t>950553456347</t>
  </si>
  <si>
    <t>701434140276563</t>
  </si>
  <si>
    <t>225891971402</t>
  </si>
  <si>
    <t>501114692652298</t>
  </si>
  <si>
    <t>449043930574</t>
  </si>
  <si>
    <t>191038894174862</t>
  </si>
  <si>
    <t>569731080471</t>
  </si>
  <si>
    <t>756554909161748</t>
  </si>
  <si>
    <t>504665795044</t>
  </si>
  <si>
    <t>531283156872198</t>
  </si>
  <si>
    <t>737745745512</t>
  </si>
  <si>
    <t>263719317484737</t>
  </si>
  <si>
    <t>200634641987</t>
  </si>
  <si>
    <t>453325165442741</t>
  </si>
  <si>
    <t>625528676127</t>
  </si>
  <si>
    <t>234005265986930</t>
  </si>
  <si>
    <t>966805273520</t>
  </si>
  <si>
    <t>562369255646213</t>
  </si>
  <si>
    <t>834234892978</t>
  </si>
  <si>
    <t>665847993640192</t>
  </si>
  <si>
    <t>629319083678</t>
  </si>
  <si>
    <t>426332938069917</t>
  </si>
  <si>
    <t>308491093772</t>
  </si>
  <si>
    <t>646672538645002</t>
  </si>
  <si>
    <t>883184096663</t>
  </si>
  <si>
    <t>655671511374108</t>
  </si>
  <si>
    <t>406521135103</t>
  </si>
  <si>
    <t>498658180352958</t>
  </si>
  <si>
    <t>518796161128</t>
  </si>
  <si>
    <t>985762623492903</t>
  </si>
  <si>
    <t>850960561869</t>
  </si>
  <si>
    <t>230776707080498</t>
  </si>
  <si>
    <t>706127683421</t>
  </si>
  <si>
    <t>725276047196810</t>
  </si>
  <si>
    <t>116656175504</t>
  </si>
  <si>
    <t>752347791894543</t>
  </si>
  <si>
    <t>543565640392</t>
  </si>
  <si>
    <t>263573985545255</t>
  </si>
  <si>
    <t>311518675815</t>
  </si>
  <si>
    <t>360359727356541</t>
  </si>
  <si>
    <t>Day 11  —  Daily Entry</t>
  </si>
  <si>
    <t>734683883243</t>
  </si>
  <si>
    <t>740003780089013</t>
  </si>
  <si>
    <t>656123341502</t>
  </si>
  <si>
    <t>676171766456405</t>
  </si>
  <si>
    <t>785773620266</t>
  </si>
  <si>
    <t>733621903943680</t>
  </si>
  <si>
    <t>434695399639</t>
  </si>
  <si>
    <t>435997987632274</t>
  </si>
  <si>
    <t>988588984847</t>
  </si>
  <si>
    <t>390608457970314</t>
  </si>
  <si>
    <t>745268833217</t>
  </si>
  <si>
    <t>455898457854152</t>
  </si>
  <si>
    <t>548309077835</t>
  </si>
  <si>
    <t>192739915576498</t>
  </si>
  <si>
    <t>732189960203</t>
  </si>
  <si>
    <t>760689825739499</t>
  </si>
  <si>
    <t>198465883923</t>
  </si>
  <si>
    <t>139641358464472</t>
  </si>
  <si>
    <t>395376162772</t>
  </si>
  <si>
    <t>404975840100780</t>
  </si>
  <si>
    <t>621017681491</t>
  </si>
  <si>
    <t>294549048689317</t>
  </si>
  <si>
    <t>380269951725</t>
  </si>
  <si>
    <t>917196615271398</t>
  </si>
  <si>
    <t>419704876133</t>
  </si>
  <si>
    <t>612704350707944</t>
  </si>
  <si>
    <t>491371935893</t>
  </si>
  <si>
    <t>417896915768824</t>
  </si>
  <si>
    <t>841045888604</t>
  </si>
  <si>
    <t>742580168312163</t>
  </si>
  <si>
    <t>155139703521</t>
  </si>
  <si>
    <t>245527329560681</t>
  </si>
  <si>
    <t>960490371931</t>
  </si>
  <si>
    <t>462082863727968</t>
  </si>
  <si>
    <t>779003385691</t>
  </si>
  <si>
    <t>628497439328910</t>
  </si>
  <si>
    <t>947384090454</t>
  </si>
  <si>
    <t>623650775338459</t>
  </si>
  <si>
    <t>284761180877</t>
  </si>
  <si>
    <t>847744887933567</t>
  </si>
  <si>
    <t>656938187523</t>
  </si>
  <si>
    <t>286608312242916</t>
  </si>
  <si>
    <t>772505474901</t>
  </si>
  <si>
    <t>930717973128325</t>
  </si>
  <si>
    <t>669567242209</t>
  </si>
  <si>
    <t>646357694914154</t>
  </si>
  <si>
    <t>892545367706</t>
  </si>
  <si>
    <t>922237788712554</t>
  </si>
  <si>
    <t>812187958534</t>
  </si>
  <si>
    <t>631987392966180</t>
  </si>
  <si>
    <t>140083956570</t>
  </si>
  <si>
    <t>594383558706235</t>
  </si>
  <si>
    <t>672300777867</t>
  </si>
  <si>
    <t>789909745599386</t>
  </si>
  <si>
    <t>953241629710</t>
  </si>
  <si>
    <t>784653713325329</t>
  </si>
  <si>
    <t>867817421584</t>
  </si>
  <si>
    <t>284409091540009</t>
  </si>
  <si>
    <t>633040444429</t>
  </si>
  <si>
    <t>444031296825274</t>
  </si>
  <si>
    <t>535509437875</t>
  </si>
  <si>
    <t>550925589038051</t>
  </si>
  <si>
    <t>696132032998</t>
  </si>
  <si>
    <t>417620521408921</t>
  </si>
  <si>
    <t>951517089617</t>
  </si>
  <si>
    <t>826297602827123</t>
  </si>
  <si>
    <t>Day 12  —  Daily Entry</t>
  </si>
  <si>
    <t>698435738609</t>
  </si>
  <si>
    <t>333056113831127</t>
  </si>
  <si>
    <t>151213265324</t>
  </si>
  <si>
    <t>942251844670761</t>
  </si>
  <si>
    <t>762226967876</t>
  </si>
  <si>
    <t>921670602476982</t>
  </si>
  <si>
    <t>301220952934</t>
  </si>
  <si>
    <t>259909365497317</t>
  </si>
  <si>
    <t>809160777819</t>
  </si>
  <si>
    <t>630053064675071</t>
  </si>
  <si>
    <t>782271392938</t>
  </si>
  <si>
    <t>376535393322176</t>
  </si>
  <si>
    <t>512698431233</t>
  </si>
  <si>
    <t>130759041190384</t>
  </si>
  <si>
    <t>690947979957</t>
  </si>
  <si>
    <t>699965170262157</t>
  </si>
  <si>
    <t>120132205789</t>
  </si>
  <si>
    <t>388730071766095</t>
  </si>
  <si>
    <t>260773865918</t>
  </si>
  <si>
    <t>345454849696879</t>
  </si>
  <si>
    <t>654256639785</t>
  </si>
  <si>
    <t>279174008513379</t>
  </si>
  <si>
    <t>960972635131</t>
  </si>
  <si>
    <t>966954837178251</t>
  </si>
  <si>
    <t>914191509834</t>
  </si>
  <si>
    <t>831038430362500</t>
  </si>
  <si>
    <t>289947977151</t>
  </si>
  <si>
    <t>511811858551283</t>
  </si>
  <si>
    <t>894764595357</t>
  </si>
  <si>
    <t>685772748228846</t>
  </si>
  <si>
    <t>351132080630</t>
  </si>
  <si>
    <t>587504266991375</t>
  </si>
  <si>
    <t>239845030199</t>
  </si>
  <si>
    <t>959232831825942</t>
  </si>
  <si>
    <t>587003112828</t>
  </si>
  <si>
    <t>288817338385793</t>
  </si>
  <si>
    <t>713496636558</t>
  </si>
  <si>
    <t>784469755528069</t>
  </si>
  <si>
    <t>924182190445</t>
  </si>
  <si>
    <t>116591575544718</t>
  </si>
  <si>
    <t>186175836139</t>
  </si>
  <si>
    <t>206305230861648</t>
  </si>
  <si>
    <t>504455236622</t>
  </si>
  <si>
    <t>390755355895586</t>
  </si>
  <si>
    <t>594121863420</t>
  </si>
  <si>
    <t>335465948309161</t>
  </si>
  <si>
    <t>677164346049</t>
  </si>
  <si>
    <t>636462627085017</t>
  </si>
  <si>
    <t>605992375465</t>
  </si>
  <si>
    <t>933358235534721</t>
  </si>
  <si>
    <t>864073986031</t>
  </si>
  <si>
    <t>800495205420775</t>
  </si>
  <si>
    <t>305536882204</t>
  </si>
  <si>
    <t>578816298638052</t>
  </si>
  <si>
    <t>522870261385</t>
  </si>
  <si>
    <t>697247580067911</t>
  </si>
  <si>
    <t>594285452916</t>
  </si>
  <si>
    <t>192642805796081</t>
  </si>
  <si>
    <t>735830454105</t>
  </si>
  <si>
    <t>571379116922805</t>
  </si>
  <si>
    <t>131125704652</t>
  </si>
  <si>
    <t>156725828815786</t>
  </si>
  <si>
    <t>147643009759</t>
  </si>
  <si>
    <t>645795291117180</t>
  </si>
  <si>
    <t>Day 13  —  Daily Entry</t>
  </si>
  <si>
    <t>817596017751</t>
  </si>
  <si>
    <t>670601516783491</t>
  </si>
  <si>
    <t>584051838287</t>
  </si>
  <si>
    <t>557579460585275</t>
  </si>
  <si>
    <t>692575318824</t>
  </si>
  <si>
    <t>177860593597308</t>
  </si>
  <si>
    <t>809825467939</t>
  </si>
  <si>
    <t>371523523063413</t>
  </si>
  <si>
    <t>375882205624</t>
  </si>
  <si>
    <t>959020030899463</t>
  </si>
  <si>
    <t>796509086319</t>
  </si>
  <si>
    <t>810479984432216</t>
  </si>
  <si>
    <t>891847606226</t>
  </si>
  <si>
    <t>363852098355971</t>
  </si>
  <si>
    <t>104399993951</t>
  </si>
  <si>
    <t>455900930423793</t>
  </si>
  <si>
    <t>317460186192</t>
  </si>
  <si>
    <t>545057765319131</t>
  </si>
  <si>
    <t>522540617745</t>
  </si>
  <si>
    <t>421176569131987</t>
  </si>
  <si>
    <t>183484543446</t>
  </si>
  <si>
    <t>426802111330329</t>
  </si>
  <si>
    <t>641625083831</t>
  </si>
  <si>
    <t>584319153999762</t>
  </si>
  <si>
    <t>993084368584</t>
  </si>
  <si>
    <t>729089527034213</t>
  </si>
  <si>
    <t>718496422260</t>
  </si>
  <si>
    <t>530730070715536</t>
  </si>
  <si>
    <t>558990792439</t>
  </si>
  <si>
    <t>743769495109654</t>
  </si>
  <si>
    <t>283417800895</t>
  </si>
  <si>
    <t>709786841655287</t>
  </si>
  <si>
    <t>654757954326</t>
  </si>
  <si>
    <t>278166963589578</t>
  </si>
  <si>
    <t>252042144893</t>
  </si>
  <si>
    <t>887847539582212</t>
  </si>
  <si>
    <t>177903445313</t>
  </si>
  <si>
    <t>712628663700523</t>
  </si>
  <si>
    <t>Day 14  —  Daily Entry</t>
  </si>
  <si>
    <t>472664181964</t>
  </si>
  <si>
    <t>640834609728938</t>
  </si>
  <si>
    <t>958906142734</t>
  </si>
  <si>
    <t>739104252398755</t>
  </si>
  <si>
    <t>526768749992</t>
  </si>
  <si>
    <t>164116438998992</t>
  </si>
  <si>
    <t>174749849333</t>
  </si>
  <si>
    <t>104952983015524</t>
  </si>
  <si>
    <t>484932295662</t>
  </si>
  <si>
    <t>840616781641293</t>
  </si>
  <si>
    <t>529189800839</t>
  </si>
  <si>
    <t>982670643469145</t>
  </si>
  <si>
    <t>502177426586</t>
  </si>
  <si>
    <t>564222048469950</t>
  </si>
  <si>
    <t>667985913174</t>
  </si>
  <si>
    <t>626411751085555</t>
  </si>
  <si>
    <t>268879247585</t>
  </si>
  <si>
    <t>654834362723841</t>
  </si>
  <si>
    <t>444521650938</t>
  </si>
  <si>
    <t>325933526487914</t>
  </si>
  <si>
    <t>508201844263</t>
  </si>
  <si>
    <t>425645754710347</t>
  </si>
  <si>
    <t>762809355720</t>
  </si>
  <si>
    <t>456236039397734</t>
  </si>
  <si>
    <t>750097441644</t>
  </si>
  <si>
    <t>504554546774664</t>
  </si>
  <si>
    <t>634567024946</t>
  </si>
  <si>
    <t>791140077953741</t>
  </si>
  <si>
    <t>757177027642</t>
  </si>
  <si>
    <t>764947362750663</t>
  </si>
  <si>
    <t>272682588903</t>
  </si>
  <si>
    <t>928978893160629</t>
  </si>
  <si>
    <t>641824655765</t>
  </si>
  <si>
    <t>184907789244566</t>
  </si>
  <si>
    <t>927211551101</t>
  </si>
  <si>
    <t>908930852775952</t>
  </si>
  <si>
    <t>122754971097</t>
  </si>
  <si>
    <t>256103623744826</t>
  </si>
  <si>
    <t>799978648722</t>
  </si>
  <si>
    <t>481300501795372</t>
  </si>
  <si>
    <t>368454162340</t>
  </si>
  <si>
    <t>299067047353930</t>
  </si>
  <si>
    <t>672011354084</t>
  </si>
  <si>
    <t>485189803533827</t>
  </si>
  <si>
    <t>333549261381</t>
  </si>
  <si>
    <t>943253353474109</t>
  </si>
  <si>
    <t>499531986685</t>
  </si>
  <si>
    <t>133602742469286</t>
  </si>
  <si>
    <t>923849629819</t>
  </si>
  <si>
    <t>804535961485070</t>
  </si>
  <si>
    <t>510069579536</t>
  </si>
  <si>
    <t>159285465942936</t>
  </si>
  <si>
    <t>756658127251</t>
  </si>
  <si>
    <t>357143666911632</t>
  </si>
  <si>
    <t>Day 15  —  Daily Entry</t>
  </si>
  <si>
    <t>727897345402</t>
  </si>
  <si>
    <t>916329955041465</t>
  </si>
  <si>
    <t>795128730743</t>
  </si>
  <si>
    <t>259745651770385</t>
  </si>
  <si>
    <t>687306751562</t>
  </si>
  <si>
    <t>445325487118011</t>
  </si>
  <si>
    <t>949452582160</t>
  </si>
  <si>
    <t>212614984721833</t>
  </si>
  <si>
    <t>925182316454</t>
  </si>
  <si>
    <t>428733245127962</t>
  </si>
  <si>
    <t>589235483642</t>
  </si>
  <si>
    <t>793112325742979</t>
  </si>
  <si>
    <t>701984804143</t>
  </si>
  <si>
    <t>730656720119083</t>
  </si>
  <si>
    <t>941904636067</t>
  </si>
  <si>
    <t>610688643556939</t>
  </si>
  <si>
    <t>264110136557</t>
  </si>
  <si>
    <t>218376668116881</t>
  </si>
  <si>
    <t>664153872423</t>
  </si>
  <si>
    <t>966693940509837</t>
  </si>
  <si>
    <t>868348461827</t>
  </si>
  <si>
    <t>114663906160962</t>
  </si>
  <si>
    <t>506754632945</t>
  </si>
  <si>
    <t>405121190654802</t>
  </si>
  <si>
    <t>495745883651</t>
  </si>
  <si>
    <t>653869948262129</t>
  </si>
  <si>
    <t>446417779642</t>
  </si>
  <si>
    <t>517525324865206</t>
  </si>
  <si>
    <t>711473687920</t>
  </si>
  <si>
    <t>147195732159263</t>
  </si>
  <si>
    <t>853808541617</t>
  </si>
  <si>
    <t>738146204396475</t>
  </si>
  <si>
    <t>584682857278</t>
  </si>
  <si>
    <t>544571931850200</t>
  </si>
  <si>
    <t>467448947606</t>
  </si>
  <si>
    <t>330573383165112</t>
  </si>
  <si>
    <t>134668938148</t>
  </si>
  <si>
    <t>960192725177260</t>
  </si>
  <si>
    <t>403904240958</t>
  </si>
  <si>
    <t>126948748098046</t>
  </si>
  <si>
    <t>188322487625</t>
  </si>
  <si>
    <t>548653653557836</t>
  </si>
  <si>
    <t>734543005243</t>
  </si>
  <si>
    <t>916764881816059</t>
  </si>
  <si>
    <t>301151568719</t>
  </si>
  <si>
    <t>160206326716915</t>
  </si>
  <si>
    <t>304246709843</t>
  </si>
  <si>
    <t>960678195588552</t>
  </si>
  <si>
    <t>339287254541</t>
  </si>
  <si>
    <t>143478854457555</t>
  </si>
  <si>
    <t>106730549281</t>
  </si>
  <si>
    <t>551475216725109</t>
  </si>
  <si>
    <t>488907554654</t>
  </si>
  <si>
    <t>636099580728239</t>
  </si>
  <si>
    <t>579762094963</t>
  </si>
  <si>
    <t>635935061397880</t>
  </si>
  <si>
    <t>Day 16  —  Daily Entry</t>
  </si>
  <si>
    <t>189411508056</t>
  </si>
  <si>
    <t>567081425467797</t>
  </si>
  <si>
    <t>587517862220</t>
  </si>
  <si>
    <t>675303976697506</t>
  </si>
  <si>
    <t>891804082479</t>
  </si>
  <si>
    <t>272202281807668</t>
  </si>
  <si>
    <t>582858036204</t>
  </si>
  <si>
    <t>273185048033356</t>
  </si>
  <si>
    <t>531283568698</t>
  </si>
  <si>
    <t>494417816550256</t>
  </si>
  <si>
    <t>131652850736</t>
  </si>
  <si>
    <t>142967823995134</t>
  </si>
  <si>
    <t>785994861018</t>
  </si>
  <si>
    <t>868688971869164</t>
  </si>
  <si>
    <t>472304496609</t>
  </si>
  <si>
    <t>789805177642484</t>
  </si>
  <si>
    <t>424700369506</t>
  </si>
  <si>
    <t>272197654905189</t>
  </si>
  <si>
    <t>469821367536</t>
  </si>
  <si>
    <t>397070478911614</t>
  </si>
  <si>
    <t>471565232865</t>
  </si>
  <si>
    <t>207345884604617</t>
  </si>
  <si>
    <t>349989723470</t>
  </si>
  <si>
    <t>284807275612484</t>
  </si>
  <si>
    <t>532649229471</t>
  </si>
  <si>
    <t>722717664170064</t>
  </si>
  <si>
    <t>562996968387</t>
  </si>
  <si>
    <t>136887086886169</t>
  </si>
  <si>
    <t>734724348598</t>
  </si>
  <si>
    <t>342216022129413</t>
  </si>
  <si>
    <t>342327044914</t>
  </si>
  <si>
    <t>969867045168179</t>
  </si>
  <si>
    <t>232436557066</t>
  </si>
  <si>
    <t>215301464019453</t>
  </si>
  <si>
    <t>230618677615</t>
  </si>
  <si>
    <t>926385576900197</t>
  </si>
  <si>
    <t>189172309777</t>
  </si>
  <si>
    <t>771986650119817</t>
  </si>
  <si>
    <t>833043452497</t>
  </si>
  <si>
    <t>729986825411661</t>
  </si>
  <si>
    <t>744256768066</t>
  </si>
  <si>
    <t>293274457994636</t>
  </si>
  <si>
    <t>172194999486</t>
  </si>
  <si>
    <t>991897512090351</t>
  </si>
  <si>
    <t>497788819399</t>
  </si>
  <si>
    <t>743915108540774</t>
  </si>
  <si>
    <t>Day 17  —  Daily Entry</t>
  </si>
  <si>
    <t>896271557725</t>
  </si>
  <si>
    <t>565219578799191</t>
  </si>
  <si>
    <t>805378159105</t>
  </si>
  <si>
    <t>391356285570480</t>
  </si>
  <si>
    <t>478146941270</t>
  </si>
  <si>
    <t>572757592213936</t>
  </si>
  <si>
    <t>420672538366</t>
  </si>
  <si>
    <t>805548379851008</t>
  </si>
  <si>
    <t>910539636690</t>
  </si>
  <si>
    <t>871556897392192</t>
  </si>
  <si>
    <t>805820992610</t>
  </si>
  <si>
    <t>121423535673509</t>
  </si>
  <si>
    <t>460514840256</t>
  </si>
  <si>
    <t>802432782662970</t>
  </si>
  <si>
    <t>589671537870</t>
  </si>
  <si>
    <t>893445534476434</t>
  </si>
  <si>
    <t>284670131217</t>
  </si>
  <si>
    <t>195763884494129</t>
  </si>
  <si>
    <t>414886110883</t>
  </si>
  <si>
    <t>173424617813437</t>
  </si>
  <si>
    <t>446359230788</t>
  </si>
  <si>
    <t>264716869139801</t>
  </si>
  <si>
    <t>757518965999</t>
  </si>
  <si>
    <t>547506414525688</t>
  </si>
  <si>
    <t>679654914936</t>
  </si>
  <si>
    <t>929525193284693</t>
  </si>
  <si>
    <t>221808536251</t>
  </si>
  <si>
    <t>246455503915309</t>
  </si>
  <si>
    <t>261605519797</t>
  </si>
  <si>
    <t>197739053154615</t>
  </si>
  <si>
    <t>922705771751</t>
  </si>
  <si>
    <t>771039653788041</t>
  </si>
  <si>
    <t>513823947352</t>
  </si>
  <si>
    <t>285594764384128</t>
  </si>
  <si>
    <t>992752460303</t>
  </si>
  <si>
    <t>729514250269368</t>
  </si>
  <si>
    <t>248384224958</t>
  </si>
  <si>
    <t>381881290664530</t>
  </si>
  <si>
    <t>152104650795</t>
  </si>
  <si>
    <t>906105143829192</t>
  </si>
  <si>
    <t>763704027801</t>
  </si>
  <si>
    <t>124651917376756</t>
  </si>
  <si>
    <t>167994106922</t>
  </si>
  <si>
    <t>288177773420828</t>
  </si>
  <si>
    <t>591214026386</t>
  </si>
  <si>
    <t>499389711271467</t>
  </si>
  <si>
    <t>896872109265</t>
  </si>
  <si>
    <t>459892770450921</t>
  </si>
  <si>
    <t>115745200351</t>
  </si>
  <si>
    <t>971077716664038</t>
  </si>
  <si>
    <t>191751638617</t>
  </si>
  <si>
    <t>430427707894614</t>
  </si>
  <si>
    <t>461980729546</t>
  </si>
  <si>
    <t>726215246342189</t>
  </si>
  <si>
    <t>485249716693</t>
  </si>
  <si>
    <t>544760511773180</t>
  </si>
  <si>
    <t>211537692125</t>
  </si>
  <si>
    <t>297000328902461</t>
  </si>
  <si>
    <t>Day 18  —  Daily Entry</t>
  </si>
  <si>
    <t>525681378938</t>
  </si>
  <si>
    <t>676034732534500</t>
  </si>
  <si>
    <t>189643858704</t>
  </si>
  <si>
    <t>788610080491461</t>
  </si>
  <si>
    <t>283279424287</t>
  </si>
  <si>
    <t>334117575301316</t>
  </si>
  <si>
    <t>634753352569</t>
  </si>
  <si>
    <t>405615378802064</t>
  </si>
  <si>
    <t>553242221387</t>
  </si>
  <si>
    <t>409274300095465</t>
  </si>
  <si>
    <t>137637794527</t>
  </si>
  <si>
    <t>904361917066324</t>
  </si>
  <si>
    <t>236722218915</t>
  </si>
  <si>
    <t>795056981251210</t>
  </si>
  <si>
    <t>144116384810</t>
  </si>
  <si>
    <t>484073894701493</t>
  </si>
  <si>
    <t>218442542248</t>
  </si>
  <si>
    <t>817466867138395</t>
  </si>
  <si>
    <t>631331720880</t>
  </si>
  <si>
    <t>806238510845836</t>
  </si>
  <si>
    <t>749807174460</t>
  </si>
  <si>
    <t>133799554855817</t>
  </si>
  <si>
    <t>268895866902</t>
  </si>
  <si>
    <t>997059686635343</t>
  </si>
  <si>
    <t>602124429156</t>
  </si>
  <si>
    <t>160412994582680</t>
  </si>
  <si>
    <t>967297414526</t>
  </si>
  <si>
    <t>561782313846723</t>
  </si>
  <si>
    <t>356146078706</t>
  </si>
  <si>
    <t>840185014542734</t>
  </si>
  <si>
    <t>860062140309</t>
  </si>
  <si>
    <t>887020935392035</t>
  </si>
  <si>
    <t>301809721346</t>
  </si>
  <si>
    <t>793398457205334</t>
  </si>
  <si>
    <t>276576148696</t>
  </si>
  <si>
    <t>874474556985296</t>
  </si>
  <si>
    <t>988079111093</t>
  </si>
  <si>
    <t>154555402177635</t>
  </si>
  <si>
    <t>117615011576</t>
  </si>
  <si>
    <t>116182147889769</t>
  </si>
  <si>
    <t>766758863599</t>
  </si>
  <si>
    <t>796397033183040</t>
  </si>
  <si>
    <t>Day 19  —  Daily Entry</t>
  </si>
  <si>
    <t>938582755688</t>
  </si>
  <si>
    <t>568017418533335</t>
  </si>
  <si>
    <t>437045969535</t>
  </si>
  <si>
    <t>736194740836024</t>
  </si>
  <si>
    <t>512783604130</t>
  </si>
  <si>
    <t>381725560337632</t>
  </si>
  <si>
    <t>497131401677</t>
  </si>
  <si>
    <t>729732848392323</t>
  </si>
  <si>
    <t>460762895856</t>
  </si>
  <si>
    <t>293846130384446</t>
  </si>
  <si>
    <t>634704468529</t>
  </si>
  <si>
    <t>514892140086927</t>
  </si>
  <si>
    <t>375569558431</t>
  </si>
  <si>
    <t>600982926488342</t>
  </si>
  <si>
    <t>633090089006</t>
  </si>
  <si>
    <t>539938771489753</t>
  </si>
  <si>
    <t>742166608532</t>
  </si>
  <si>
    <t>817689612512260</t>
  </si>
  <si>
    <t>183750249418</t>
  </si>
  <si>
    <t>719123426041733</t>
  </si>
  <si>
    <t>216007539701</t>
  </si>
  <si>
    <t>210186411984989</t>
  </si>
  <si>
    <t>383550824659</t>
  </si>
  <si>
    <t>969242416420939</t>
  </si>
  <si>
    <t>469323207125</t>
  </si>
  <si>
    <t>588307879742473</t>
  </si>
  <si>
    <t>812064021959</t>
  </si>
  <si>
    <t>100060275066150</t>
  </si>
  <si>
    <t>239931260496</t>
  </si>
  <si>
    <t>306893759905387</t>
  </si>
  <si>
    <t>975840593902</t>
  </si>
  <si>
    <t>581821648508462</t>
  </si>
  <si>
    <t>651694007874</t>
  </si>
  <si>
    <t>289640174121272</t>
  </si>
  <si>
    <t>899458178520</t>
  </si>
  <si>
    <t>313091206892348</t>
  </si>
  <si>
    <t>204340801919</t>
  </si>
  <si>
    <t>984513073255779</t>
  </si>
  <si>
    <t>890598906468</t>
  </si>
  <si>
    <t>566888211146678</t>
  </si>
  <si>
    <t>685967017380</t>
  </si>
  <si>
    <t>210743614981289</t>
  </si>
  <si>
    <t>758003196285</t>
  </si>
  <si>
    <t>298236709256230</t>
  </si>
  <si>
    <t>640862015448</t>
  </si>
  <si>
    <t>456919465507166</t>
  </si>
  <si>
    <t>367240921328</t>
  </si>
  <si>
    <t>959381995952871</t>
  </si>
  <si>
    <t>774156144825</t>
  </si>
  <si>
    <t>761943100830309</t>
  </si>
  <si>
    <t>831878137900</t>
  </si>
  <si>
    <t>290315066761445</t>
  </si>
  <si>
    <t>987094238249</t>
  </si>
  <si>
    <t>803606023842351</t>
  </si>
  <si>
    <t>834343471761</t>
  </si>
  <si>
    <t>695734724062636</t>
  </si>
  <si>
    <t>144353736677</t>
  </si>
  <si>
    <t>219264122413265</t>
  </si>
  <si>
    <t>210115948896</t>
  </si>
  <si>
    <t>385070542268308</t>
  </si>
  <si>
    <t>Day 20  —  Daily Entry</t>
  </si>
  <si>
    <t>256727747357</t>
  </si>
  <si>
    <t>843141278748496</t>
  </si>
  <si>
    <t>490792482799</t>
  </si>
  <si>
    <t>483401162570561</t>
  </si>
  <si>
    <t>411024996098</t>
  </si>
  <si>
    <t>205341618316667</t>
  </si>
  <si>
    <t>378631499391</t>
  </si>
  <si>
    <t>884974720362588</t>
  </si>
  <si>
    <t>822307115835</t>
  </si>
  <si>
    <t>302206691184351</t>
  </si>
  <si>
    <t>876331084883</t>
  </si>
  <si>
    <t>882237791659878</t>
  </si>
  <si>
    <t>684542311067</t>
  </si>
  <si>
    <t>302809358691149</t>
  </si>
  <si>
    <t>697208699866</t>
  </si>
  <si>
    <t>868386543259091</t>
  </si>
  <si>
    <t>419619302876</t>
  </si>
  <si>
    <t>772638569684968</t>
  </si>
  <si>
    <t>289588847809</t>
  </si>
  <si>
    <t>348253019859204</t>
  </si>
  <si>
    <t>318882241687</t>
  </si>
  <si>
    <t>369376046407278</t>
  </si>
  <si>
    <t>500989108852</t>
  </si>
  <si>
    <t>955583705917737</t>
  </si>
  <si>
    <t>218782608191</t>
  </si>
  <si>
    <t>363846950001340</t>
  </si>
  <si>
    <t>574830891816</t>
  </si>
  <si>
    <t>900833204539897</t>
  </si>
  <si>
    <t>123432516469</t>
  </si>
  <si>
    <t>250595458850354</t>
  </si>
  <si>
    <t>453839620554</t>
  </si>
  <si>
    <t>137529765707476</t>
  </si>
  <si>
    <t>351470240997</t>
  </si>
  <si>
    <t>902535896697554</t>
  </si>
  <si>
    <t>593669663061</t>
  </si>
  <si>
    <t>649106358850393</t>
  </si>
  <si>
    <t>483291629200</t>
  </si>
  <si>
    <t>460990357520787</t>
  </si>
  <si>
    <t>684004445656</t>
  </si>
  <si>
    <t>440764956479893</t>
  </si>
  <si>
    <t>683819294252</t>
  </si>
  <si>
    <t>864377144875610</t>
  </si>
  <si>
    <t>624254990368</t>
  </si>
  <si>
    <t>599418370719989</t>
  </si>
  <si>
    <t>755195927956</t>
  </si>
  <si>
    <t>123722362237420</t>
  </si>
  <si>
    <t>168328542576</t>
  </si>
  <si>
    <t>713007664951911</t>
  </si>
  <si>
    <t>207591200341</t>
  </si>
  <si>
    <t>102033218818705</t>
  </si>
  <si>
    <t>431210007530</t>
  </si>
  <si>
    <t>306348202140769</t>
  </si>
  <si>
    <t>338296498749</t>
  </si>
  <si>
    <t>983439955797203</t>
  </si>
  <si>
    <t>659950199993</t>
  </si>
  <si>
    <t>189486672670025</t>
  </si>
  <si>
    <t>679394429319</t>
  </si>
  <si>
    <t>858073460779172</t>
  </si>
  <si>
    <t>467042617071</t>
  </si>
  <si>
    <t>101264321736874</t>
  </si>
  <si>
    <t>805253693510</t>
  </si>
  <si>
    <t>219074327100393</t>
  </si>
  <si>
    <t>890816669572</t>
  </si>
  <si>
    <t>699178616335882</t>
  </si>
  <si>
    <t>501872326704</t>
  </si>
  <si>
    <t>221888640961940</t>
  </si>
  <si>
    <t>Day 21  —  Daily Entry</t>
  </si>
  <si>
    <t>828751603840</t>
  </si>
  <si>
    <t>208819630943029</t>
  </si>
  <si>
    <t>910971331361</t>
  </si>
  <si>
    <t>167329808255345</t>
  </si>
  <si>
    <t>452922551697</t>
  </si>
  <si>
    <t>414304506537472</t>
  </si>
  <si>
    <t>934877180499</t>
  </si>
  <si>
    <t>329428921963712</t>
  </si>
  <si>
    <t>999567877083</t>
  </si>
  <si>
    <t>109499513947606</t>
  </si>
  <si>
    <t>127887658788</t>
  </si>
  <si>
    <t>768479753393198</t>
  </si>
  <si>
    <t>388972672199</t>
  </si>
  <si>
    <t>293705417700843</t>
  </si>
  <si>
    <t>889409770148</t>
  </si>
  <si>
    <t>269360319667325</t>
  </si>
  <si>
    <t>874621934558</t>
  </si>
  <si>
    <t>445215839184637</t>
  </si>
  <si>
    <t>153894320587</t>
  </si>
  <si>
    <t>273498243510315</t>
  </si>
  <si>
    <t>836273440225</t>
  </si>
  <si>
    <t>962910371980117</t>
  </si>
  <si>
    <t>255540161612</t>
  </si>
  <si>
    <t>756523080973507</t>
  </si>
  <si>
    <t>830383001583</t>
  </si>
  <si>
    <t>801015067503768</t>
  </si>
  <si>
    <t>246401140889</t>
  </si>
  <si>
    <t>109060761993178</t>
  </si>
  <si>
    <t>183896196592</t>
  </si>
  <si>
    <t>965364506027308</t>
  </si>
  <si>
    <t>135170063722</t>
  </si>
  <si>
    <t>777287834049377</t>
  </si>
  <si>
    <t>344833700095</t>
  </si>
  <si>
    <t>973100083159595</t>
  </si>
  <si>
    <t>922368174609</t>
  </si>
  <si>
    <t>865236598661202</t>
  </si>
  <si>
    <t>467617059320</t>
  </si>
  <si>
    <t>216996007877046</t>
  </si>
  <si>
    <t>769655797666</t>
  </si>
  <si>
    <t>293172101524413</t>
  </si>
  <si>
    <t>610016945567</t>
  </si>
  <si>
    <t>659087762112936</t>
  </si>
  <si>
    <t>434713054744</t>
  </si>
  <si>
    <t>510226868724760</t>
  </si>
  <si>
    <t>798759308053</t>
  </si>
  <si>
    <t>129049985517343</t>
  </si>
  <si>
    <t>387109847485</t>
  </si>
  <si>
    <t>112965288945009</t>
  </si>
  <si>
    <t>884613236150</t>
  </si>
  <si>
    <t>495428989648995</t>
  </si>
  <si>
    <t>237646695943</t>
  </si>
  <si>
    <t>545722925529366</t>
  </si>
  <si>
    <t>730843098444</t>
  </si>
  <si>
    <t>142438896695620</t>
  </si>
  <si>
    <t>367406433195</t>
  </si>
  <si>
    <t>574640799450916</t>
  </si>
  <si>
    <t>645851709021</t>
  </si>
  <si>
    <t>916530663424401</t>
  </si>
  <si>
    <t>382230607797</t>
  </si>
  <si>
    <t>420978397734803</t>
  </si>
  <si>
    <t>Day 22  —  Daily Entry</t>
  </si>
  <si>
    <t>817871042997</t>
  </si>
  <si>
    <t>924743284774249</t>
  </si>
  <si>
    <t>444367359630</t>
  </si>
  <si>
    <t>950051360655486</t>
  </si>
  <si>
    <t>747123935603</t>
  </si>
  <si>
    <t>386819450225643</t>
  </si>
  <si>
    <t>926940846842</t>
  </si>
  <si>
    <t>935294210910276</t>
  </si>
  <si>
    <t>980643384655</t>
  </si>
  <si>
    <t>437070879240229</t>
  </si>
  <si>
    <t>826098819838</t>
  </si>
  <si>
    <t>683560921280042</t>
  </si>
  <si>
    <t>486172929498</t>
  </si>
  <si>
    <t>729904872758347</t>
  </si>
  <si>
    <t>582615521699</t>
  </si>
  <si>
    <t>522727256252728</t>
  </si>
  <si>
    <t>651931271802</t>
  </si>
  <si>
    <t>806372579776329</t>
  </si>
  <si>
    <t>330702058308</t>
  </si>
  <si>
    <t>492837730984421</t>
  </si>
  <si>
    <t>773487699062</t>
  </si>
  <si>
    <t>219737806061383</t>
  </si>
  <si>
    <t>277125249570</t>
  </si>
  <si>
    <t>839025159229526</t>
  </si>
  <si>
    <t>132937653506</t>
  </si>
  <si>
    <t>293334447602211</t>
  </si>
  <si>
    <t>200943005277</t>
  </si>
  <si>
    <t>674708519952822</t>
  </si>
  <si>
    <t>437052724881</t>
  </si>
  <si>
    <t>289851350744170</t>
  </si>
  <si>
    <t>269990972680</t>
  </si>
  <si>
    <t>455110380888200</t>
  </si>
  <si>
    <t>266253772025</t>
  </si>
  <si>
    <t>357540184293602</t>
  </si>
  <si>
    <t>515375342531</t>
  </si>
  <si>
    <t>665334270240023</t>
  </si>
  <si>
    <t>719791488383</t>
  </si>
  <si>
    <t>143186512769145</t>
  </si>
  <si>
    <t>404447577617</t>
  </si>
  <si>
    <t>979248550021858</t>
  </si>
  <si>
    <t>506937289389</t>
  </si>
  <si>
    <t>505059813270116</t>
  </si>
  <si>
    <t>Day 23  —  Daily Entry</t>
  </si>
  <si>
    <t>364210257626</t>
  </si>
  <si>
    <t>171341795945448</t>
  </si>
  <si>
    <t>237336102632</t>
  </si>
  <si>
    <t>146806126811629</t>
  </si>
  <si>
    <t>976338348167</t>
  </si>
  <si>
    <t>475917340695324</t>
  </si>
  <si>
    <t>665329077818</t>
  </si>
  <si>
    <t>648951671018109</t>
  </si>
  <si>
    <t>543815983410</t>
  </si>
  <si>
    <t>422758492996551</t>
  </si>
  <si>
    <t>816350937903</t>
  </si>
  <si>
    <t>874887632910971</t>
  </si>
  <si>
    <t>938519072533</t>
  </si>
  <si>
    <t>121271244535855</t>
  </si>
  <si>
    <t>539722922250</t>
  </si>
  <si>
    <t>786806612187431</t>
  </si>
  <si>
    <t>784594276205</t>
  </si>
  <si>
    <t>901439051935550</t>
  </si>
  <si>
    <t>113409696818</t>
  </si>
  <si>
    <t>105225461097965</t>
  </si>
  <si>
    <t>655855545016</t>
  </si>
  <si>
    <t>810435954554386</t>
  </si>
  <si>
    <t>850283031199</t>
  </si>
  <si>
    <t>795287753599724</t>
  </si>
  <si>
    <t>807966902871</t>
  </si>
  <si>
    <t>305584008939544</t>
  </si>
  <si>
    <t>547679406020</t>
  </si>
  <si>
    <t>133656569532664</t>
  </si>
  <si>
    <t>993672202328</t>
  </si>
  <si>
    <t>942390578367157</t>
  </si>
  <si>
    <t>678756288474</t>
  </si>
  <si>
    <t>617694591594572</t>
  </si>
  <si>
    <t>722042283241</t>
  </si>
  <si>
    <t>679208277947146</t>
  </si>
  <si>
    <t>990518105263</t>
  </si>
  <si>
    <t>543392994675897</t>
  </si>
  <si>
    <t>223224598560</t>
  </si>
  <si>
    <t>543529912426799</t>
  </si>
  <si>
    <t>106875510767</t>
  </si>
  <si>
    <t>563729318524279</t>
  </si>
  <si>
    <t>146348941757</t>
  </si>
  <si>
    <t>665461217173765</t>
  </si>
  <si>
    <t>917758875094</t>
  </si>
  <si>
    <t>714833794238993</t>
  </si>
  <si>
    <t>159124767538</t>
  </si>
  <si>
    <t>555076087629617</t>
  </si>
  <si>
    <t>490377309178</t>
  </si>
  <si>
    <t>716958358612154</t>
  </si>
  <si>
    <t>306062676390</t>
  </si>
  <si>
    <t>348886807108873</t>
  </si>
  <si>
    <t>528175032440</t>
  </si>
  <si>
    <t>825378683243619</t>
  </si>
  <si>
    <t>131770054542</t>
  </si>
  <si>
    <t>934638715906027</t>
  </si>
  <si>
    <t>384598379709</t>
  </si>
  <si>
    <t>322175905643808</t>
  </si>
  <si>
    <t>400392400787</t>
  </si>
  <si>
    <t>684619760396111</t>
  </si>
  <si>
    <t>625084810522</t>
  </si>
  <si>
    <t>662456372467831</t>
  </si>
  <si>
    <t>695138481921</t>
  </si>
  <si>
    <t>406737272903463</t>
  </si>
  <si>
    <t>Day 24  —  Daily Entry</t>
  </si>
  <si>
    <t>621256610247</t>
  </si>
  <si>
    <t>365311592869837</t>
  </si>
  <si>
    <t>985797215303</t>
  </si>
  <si>
    <t>840987655682108</t>
  </si>
  <si>
    <t>405198950068</t>
  </si>
  <si>
    <t>931979985342350</t>
  </si>
  <si>
    <t>623222182492</t>
  </si>
  <si>
    <t>144853245915402</t>
  </si>
  <si>
    <t>396252390257</t>
  </si>
  <si>
    <t>602502086306582</t>
  </si>
  <si>
    <t>993401365030</t>
  </si>
  <si>
    <t>721529451971708</t>
  </si>
  <si>
    <t>780973597893</t>
  </si>
  <si>
    <t>877074597625029</t>
  </si>
  <si>
    <t>656661883968</t>
  </si>
  <si>
    <t>936656917907253</t>
  </si>
  <si>
    <t>248992598502</t>
  </si>
  <si>
    <t>197434824773986</t>
  </si>
  <si>
    <t>565207213622</t>
  </si>
  <si>
    <t>534616329729133</t>
  </si>
  <si>
    <t>521743813297</t>
  </si>
  <si>
    <t>215851873846534</t>
  </si>
  <si>
    <t>506295420024</t>
  </si>
  <si>
    <t>722847280677933</t>
  </si>
  <si>
    <t>933040906147</t>
  </si>
  <si>
    <t>519094909608591</t>
  </si>
  <si>
    <t>911046860395</t>
  </si>
  <si>
    <t>617939543041683</t>
  </si>
  <si>
    <t>443837236298</t>
  </si>
  <si>
    <t>941003881419942</t>
  </si>
  <si>
    <t>331523974140</t>
  </si>
  <si>
    <t>237394228956203</t>
  </si>
  <si>
    <t>317622030516</t>
  </si>
  <si>
    <t>687242074420071</t>
  </si>
  <si>
    <t>514097263867</t>
  </si>
  <si>
    <t>910637992044861</t>
  </si>
  <si>
    <t>285657686446</t>
  </si>
  <si>
    <t>188710386041421</t>
  </si>
  <si>
    <t>730877108597</t>
  </si>
  <si>
    <t>488388676449271</t>
  </si>
  <si>
    <t>682816334330</t>
  </si>
  <si>
    <t>910365234916491</t>
  </si>
  <si>
    <t>200616342255</t>
  </si>
  <si>
    <t>996007199385729</t>
  </si>
  <si>
    <t>803955267785</t>
  </si>
  <si>
    <t>851066852999880</t>
  </si>
  <si>
    <t>952150983813</t>
  </si>
  <si>
    <t>861807967460700</t>
  </si>
  <si>
    <t>719042862268</t>
  </si>
  <si>
    <t>176382770410397</t>
  </si>
  <si>
    <t>303866304212</t>
  </si>
  <si>
    <t>579050488894010</t>
  </si>
  <si>
    <t>332206881545</t>
  </si>
  <si>
    <t>725766900100848</t>
  </si>
  <si>
    <t>631498259061</t>
  </si>
  <si>
    <t>279778991974589</t>
  </si>
  <si>
    <t>Day 25  —  Daily Entry</t>
  </si>
  <si>
    <t>588755429470</t>
  </si>
  <si>
    <t>414385611606384</t>
  </si>
  <si>
    <t>705771512280</t>
  </si>
  <si>
    <t>656456799701689</t>
  </si>
  <si>
    <t>354719876094</t>
  </si>
  <si>
    <t>397902453200998</t>
  </si>
  <si>
    <t>926862938872</t>
  </si>
  <si>
    <t>500376294453834</t>
  </si>
  <si>
    <t>732421447070</t>
  </si>
  <si>
    <t>217955349379123</t>
  </si>
  <si>
    <t>898711871100</t>
  </si>
  <si>
    <t>341395825039351</t>
  </si>
  <si>
    <t>678627165524</t>
  </si>
  <si>
    <t>712172265645052</t>
  </si>
  <si>
    <t>388477643023</t>
  </si>
  <si>
    <t>554961065549532</t>
  </si>
  <si>
    <t>174191543614</t>
  </si>
  <si>
    <t>764493297846806</t>
  </si>
  <si>
    <t>633954748979</t>
  </si>
  <si>
    <t>589540985656084</t>
  </si>
  <si>
    <t>297864131022</t>
  </si>
  <si>
    <t>532710537889487</t>
  </si>
  <si>
    <t>501627085598</t>
  </si>
  <si>
    <t>604310943327512</t>
  </si>
  <si>
    <t>350526536760</t>
  </si>
  <si>
    <t>141608303691195</t>
  </si>
  <si>
    <t>274215325856</t>
  </si>
  <si>
    <t>831811548265102</t>
  </si>
  <si>
    <t>270744040235</t>
  </si>
  <si>
    <t>842249109825887</t>
  </si>
  <si>
    <t>389139135572</t>
  </si>
  <si>
    <t>228246026550624</t>
  </si>
  <si>
    <t>995135788733</t>
  </si>
  <si>
    <t>746556024145152</t>
  </si>
  <si>
    <t>953299099169</t>
  </si>
  <si>
    <t>256450083315137</t>
  </si>
  <si>
    <t>810433117674</t>
  </si>
  <si>
    <t>549634059552012</t>
  </si>
  <si>
    <t>576288820630</t>
  </si>
  <si>
    <t>757562771147089</t>
  </si>
  <si>
    <t>264077652184</t>
  </si>
  <si>
    <t>695210636346560</t>
  </si>
  <si>
    <t>769683598382</t>
  </si>
  <si>
    <t>449604809744500</t>
  </si>
  <si>
    <t>639022522942</t>
  </si>
  <si>
    <t>977602021411020</t>
  </si>
  <si>
    <t>359600109627</t>
  </si>
  <si>
    <t>254634217143524</t>
  </si>
  <si>
    <t>832946576230</t>
  </si>
  <si>
    <t>483670872789565</t>
  </si>
  <si>
    <t>729017199019</t>
  </si>
  <si>
    <t>561394896901546</t>
  </si>
  <si>
    <t>200395383140</t>
  </si>
  <si>
    <t>266021901781161</t>
  </si>
  <si>
    <t>128294591547</t>
  </si>
  <si>
    <t>125153118492661</t>
  </si>
  <si>
    <t>Day 26  —  Daily Entry</t>
  </si>
  <si>
    <t>713859943492</t>
  </si>
  <si>
    <t>434671044827214</t>
  </si>
  <si>
    <t>198889458414</t>
  </si>
  <si>
    <t>279594994449592</t>
  </si>
  <si>
    <t>502474120555</t>
  </si>
  <si>
    <t>336828989641077</t>
  </si>
  <si>
    <t>476058147194</t>
  </si>
  <si>
    <t>163460831280076</t>
  </si>
  <si>
    <t>900648379761</t>
  </si>
  <si>
    <t>273569898893516</t>
  </si>
  <si>
    <t>653553097668</t>
  </si>
  <si>
    <t>579592608540311</t>
  </si>
  <si>
    <t>174031667168</t>
  </si>
  <si>
    <t>556843098950916</t>
  </si>
  <si>
    <t>972529093833</t>
  </si>
  <si>
    <t>412359041270318</t>
  </si>
  <si>
    <t>655535269691</t>
  </si>
  <si>
    <t>983298278887506</t>
  </si>
  <si>
    <t>483493996123</t>
  </si>
  <si>
    <t>780280485574462</t>
  </si>
  <si>
    <t>639170069879</t>
  </si>
  <si>
    <t>920001372282019</t>
  </si>
  <si>
    <t>463683086577</t>
  </si>
  <si>
    <t>885440218824061</t>
  </si>
  <si>
    <t>238189100444</t>
  </si>
  <si>
    <t>753582238926343</t>
  </si>
  <si>
    <t>808908828510</t>
  </si>
  <si>
    <t>143513900488790</t>
  </si>
  <si>
    <t>188480359378</t>
  </si>
  <si>
    <t>992625765986088</t>
  </si>
  <si>
    <t>985162968828</t>
  </si>
  <si>
    <t>572691414821813</t>
  </si>
  <si>
    <t>800732797684</t>
  </si>
  <si>
    <t>306199309453094</t>
  </si>
  <si>
    <t>729549774490</t>
  </si>
  <si>
    <t>969053369554218</t>
  </si>
  <si>
    <t>376306540920</t>
  </si>
  <si>
    <t>629911340634793</t>
  </si>
  <si>
    <t>481204789523</t>
  </si>
  <si>
    <t>426800010552169</t>
  </si>
  <si>
    <t>769465264622</t>
  </si>
  <si>
    <t>891654530412548</t>
  </si>
  <si>
    <t>674756609991</t>
  </si>
  <si>
    <t>818865037158960</t>
  </si>
  <si>
    <t>892403402425</t>
  </si>
  <si>
    <t>867550407907541</t>
  </si>
  <si>
    <t>297116147911</t>
  </si>
  <si>
    <t>948504107585309</t>
  </si>
  <si>
    <t>652491374463</t>
  </si>
  <si>
    <t>992113663847130</t>
  </si>
  <si>
    <t>597792584970</t>
  </si>
  <si>
    <t>123347853932288</t>
  </si>
  <si>
    <t>721014714645</t>
  </si>
  <si>
    <t>710823729132107</t>
  </si>
  <si>
    <t>369691701618</t>
  </si>
  <si>
    <t>887703918489889</t>
  </si>
  <si>
    <t>Day 27  —  Daily Entry</t>
  </si>
  <si>
    <t>686079752360</t>
  </si>
  <si>
    <t>640267599281542</t>
  </si>
  <si>
    <t>307997481005</t>
  </si>
  <si>
    <t>301771519859833</t>
  </si>
  <si>
    <t>100303110776</t>
  </si>
  <si>
    <t>828168341699480</t>
  </si>
  <si>
    <t>177181374310</t>
  </si>
  <si>
    <t>800412521461719</t>
  </si>
  <si>
    <t>153136440596</t>
  </si>
  <si>
    <t>845203499880366</t>
  </si>
  <si>
    <t>159847659323</t>
  </si>
  <si>
    <t>234762509113467</t>
  </si>
  <si>
    <t>242773989524</t>
  </si>
  <si>
    <t>324106018980041</t>
  </si>
  <si>
    <t>359135085146</t>
  </si>
  <si>
    <t>172930631415245</t>
  </si>
  <si>
    <t>987966904757</t>
  </si>
  <si>
    <t>947241630419599</t>
  </si>
  <si>
    <t>671635579678</t>
  </si>
  <si>
    <t>256685792087844</t>
  </si>
  <si>
    <t>743064449505</t>
  </si>
  <si>
    <t>696121429879633</t>
  </si>
  <si>
    <t>663529932686</t>
  </si>
  <si>
    <t>709621126754461</t>
  </si>
  <si>
    <t>955814812263</t>
  </si>
  <si>
    <t>371900955919466</t>
  </si>
  <si>
    <t>671777546473</t>
  </si>
  <si>
    <t>404913842882227</t>
  </si>
  <si>
    <t>366157383510</t>
  </si>
  <si>
    <t>354371972679996</t>
  </si>
  <si>
    <t>346929079806</t>
  </si>
  <si>
    <t>738705093135217</t>
  </si>
  <si>
    <t>680517309901</t>
  </si>
  <si>
    <t>953378993671309</t>
  </si>
  <si>
    <t>807675149286</t>
  </si>
  <si>
    <t>992722767300984</t>
  </si>
  <si>
    <t>377667143499</t>
  </si>
  <si>
    <t>367957990258615</t>
  </si>
  <si>
    <t>583012762610</t>
  </si>
  <si>
    <t>388576167224521</t>
  </si>
  <si>
    <t>443592092905</t>
  </si>
  <si>
    <t>607525222153164</t>
  </si>
  <si>
    <t>208112408387</t>
  </si>
  <si>
    <t>620331753931145</t>
  </si>
  <si>
    <t>281885448944</t>
  </si>
  <si>
    <t>571923755675707</t>
  </si>
  <si>
    <t>655831652251</t>
  </si>
  <si>
    <t>748302016804275</t>
  </si>
  <si>
    <t>790250610987</t>
  </si>
  <si>
    <t>591216856916157</t>
  </si>
  <si>
    <t>494677567044</t>
  </si>
  <si>
    <t>328548601105643</t>
  </si>
  <si>
    <t>374982332248</t>
  </si>
  <si>
    <t>935743059586484</t>
  </si>
  <si>
    <t>890639265905</t>
  </si>
  <si>
    <t>554561525020213</t>
  </si>
  <si>
    <t>471519735380</t>
  </si>
  <si>
    <t>358399932912102</t>
  </si>
  <si>
    <t>Day 28  —  Daily Entry</t>
  </si>
  <si>
    <t>210815535563</t>
  </si>
  <si>
    <t>115422520082145</t>
  </si>
  <si>
    <t>819458594181</t>
  </si>
  <si>
    <t>149824647341933</t>
  </si>
  <si>
    <t>800580694147</t>
  </si>
  <si>
    <t>480046071605741</t>
  </si>
  <si>
    <t>835429612832</t>
  </si>
  <si>
    <t>752572220524056</t>
  </si>
  <si>
    <t>589188338365</t>
  </si>
  <si>
    <t>274570615805440</t>
  </si>
  <si>
    <t>607107632115</t>
  </si>
  <si>
    <t>546903288029865</t>
  </si>
  <si>
    <t>110741584791</t>
  </si>
  <si>
    <t>729793595282635</t>
  </si>
  <si>
    <t>677048021554</t>
  </si>
  <si>
    <t>454772440295311</t>
  </si>
  <si>
    <t>338782212698</t>
  </si>
  <si>
    <t>961712997926166</t>
  </si>
  <si>
    <t>538117228021</t>
  </si>
  <si>
    <t>629448638249001</t>
  </si>
  <si>
    <t>374194689898</t>
  </si>
  <si>
    <t>893427937859514</t>
  </si>
  <si>
    <t>268517288399</t>
  </si>
  <si>
    <t>418576385643779</t>
  </si>
  <si>
    <t>212485122613</t>
  </si>
  <si>
    <t>606299421164816</t>
  </si>
  <si>
    <t>465473718659</t>
  </si>
  <si>
    <t>700094753572773</t>
  </si>
  <si>
    <t>796459204923</t>
  </si>
  <si>
    <t>799280706763310</t>
  </si>
  <si>
    <t>344965756187</t>
  </si>
  <si>
    <t>405962707662345</t>
  </si>
  <si>
    <t>476097653434</t>
  </si>
  <si>
    <t>954560347493631</t>
  </si>
  <si>
    <t>319021667909</t>
  </si>
  <si>
    <t>463073171297411</t>
  </si>
  <si>
    <t>440512054403</t>
  </si>
  <si>
    <t>332858945707781</t>
  </si>
  <si>
    <t>419650979933</t>
  </si>
  <si>
    <t>441373719820283</t>
  </si>
  <si>
    <t>330075654748</t>
  </si>
  <si>
    <t>616040001428439</t>
  </si>
  <si>
    <t>709640133444</t>
  </si>
  <si>
    <t>769266710581925</t>
  </si>
  <si>
    <t>737681352848</t>
  </si>
  <si>
    <t>757519757947393</t>
  </si>
  <si>
    <t>871276281109</t>
  </si>
  <si>
    <t>154007259805984</t>
  </si>
  <si>
    <t>511799924959</t>
  </si>
  <si>
    <t>868141075924074</t>
  </si>
  <si>
    <t>Day 29  —  Daily Entry</t>
  </si>
  <si>
    <t>194551784072</t>
  </si>
  <si>
    <t>881699010799571</t>
  </si>
  <si>
    <t>532904782427</t>
  </si>
  <si>
    <t>358918475588192</t>
  </si>
  <si>
    <t>226094861333</t>
  </si>
  <si>
    <t>541983739231782</t>
  </si>
  <si>
    <t>510509170500</t>
  </si>
  <si>
    <t>807823232475859</t>
  </si>
  <si>
    <t>399040835254</t>
  </si>
  <si>
    <t>703966621274749</t>
  </si>
  <si>
    <t>639736702810</t>
  </si>
  <si>
    <t>226739327403767</t>
  </si>
  <si>
    <t>684169509971</t>
  </si>
  <si>
    <t>697268183126376</t>
  </si>
  <si>
    <t>900962131907</t>
  </si>
  <si>
    <t>129738926723921</t>
  </si>
  <si>
    <t>770272141203</t>
  </si>
  <si>
    <t>324668173701057</t>
  </si>
  <si>
    <t>210618183310</t>
  </si>
  <si>
    <t>463677512275521</t>
  </si>
  <si>
    <t>728616461573</t>
  </si>
  <si>
    <t>337282832944028</t>
  </si>
  <si>
    <t>259544589782</t>
  </si>
  <si>
    <t>620786781485628</t>
  </si>
  <si>
    <t>545963913778</t>
  </si>
  <si>
    <t>661295056789567</t>
  </si>
  <si>
    <t>361159831921</t>
  </si>
  <si>
    <t>720831373600020</t>
  </si>
  <si>
    <t>615535263974</t>
  </si>
  <si>
    <t>593169792340150</t>
  </si>
  <si>
    <t>802153246078</t>
  </si>
  <si>
    <t>206212750531568</t>
  </si>
  <si>
    <t>403966832015</t>
  </si>
  <si>
    <t>737057939307252</t>
  </si>
  <si>
    <t>597723423936</t>
  </si>
  <si>
    <t>380620172131179</t>
  </si>
  <si>
    <t>474956284428</t>
  </si>
  <si>
    <t>934095377244805</t>
  </si>
  <si>
    <t>478948825944</t>
  </si>
  <si>
    <t>445146203766905</t>
  </si>
  <si>
    <t>575916893803</t>
  </si>
  <si>
    <t>563068284160085</t>
  </si>
  <si>
    <t>854145218426</t>
  </si>
  <si>
    <t>115523544693659</t>
  </si>
  <si>
    <t>579942276800</t>
  </si>
  <si>
    <t>275573533040566</t>
  </si>
  <si>
    <t>381699185761</t>
  </si>
  <si>
    <t>374821530031313</t>
  </si>
  <si>
    <t>193836162754</t>
  </si>
  <si>
    <t>135663917498524</t>
  </si>
  <si>
    <t>297078482443</t>
  </si>
  <si>
    <t>927699121385169</t>
  </si>
  <si>
    <t>629689189237</t>
  </si>
  <si>
    <t>429878713435172</t>
  </si>
  <si>
    <t>814168892859</t>
  </si>
  <si>
    <t>736380455805361</t>
  </si>
  <si>
    <t>Day 30  —  Daily Entry</t>
  </si>
  <si>
    <t>624281496134</t>
  </si>
  <si>
    <t>434960748641750</t>
  </si>
  <si>
    <t>993481960654</t>
  </si>
  <si>
    <t>541508441126671</t>
  </si>
  <si>
    <t>756522537615</t>
  </si>
  <si>
    <t>726088954570427</t>
  </si>
  <si>
    <t>376573240229</t>
  </si>
  <si>
    <t>217530901449046</t>
  </si>
  <si>
    <t>463064167162</t>
  </si>
  <si>
    <t>525962587359713</t>
  </si>
  <si>
    <t>528150756886</t>
  </si>
  <si>
    <t>669921004170914</t>
  </si>
  <si>
    <t>623478277723</t>
  </si>
  <si>
    <t>380978308801585</t>
  </si>
  <si>
    <t>553673990122</t>
  </si>
  <si>
    <t>722953694416333</t>
  </si>
  <si>
    <t>726473197800</t>
  </si>
  <si>
    <t>904584683791278</t>
  </si>
  <si>
    <t>998796103254</t>
  </si>
  <si>
    <t>342153805434840</t>
  </si>
  <si>
    <t>942289417118</t>
  </si>
  <si>
    <t>420271791122671</t>
  </si>
  <si>
    <t>726861887188</t>
  </si>
  <si>
    <t>409182017975206</t>
  </si>
  <si>
    <t>506465241496</t>
  </si>
  <si>
    <t>446364448549062</t>
  </si>
  <si>
    <t>809497340835</t>
  </si>
  <si>
    <t>149209744232236</t>
  </si>
  <si>
    <t>676208795033</t>
  </si>
  <si>
    <t>123691928356548</t>
  </si>
  <si>
    <t>865778485172</t>
  </si>
  <si>
    <t>375997702735860</t>
  </si>
  <si>
    <t>742022173352</t>
  </si>
  <si>
    <t>669232755262512</t>
  </si>
  <si>
    <t>781628978366</t>
  </si>
  <si>
    <t>308317167512461</t>
  </si>
  <si>
    <t>495326826037</t>
  </si>
  <si>
    <t>143863782646034</t>
  </si>
  <si>
    <t>785578387534</t>
  </si>
  <si>
    <t>265078117582045</t>
  </si>
  <si>
    <t>924424949281</t>
  </si>
  <si>
    <t>405675443297103</t>
  </si>
  <si>
    <t>449925025349</t>
  </si>
  <si>
    <t>978836973561544</t>
  </si>
  <si>
    <t>600298604120</t>
  </si>
  <si>
    <t>326462158610387</t>
  </si>
  <si>
    <t>832036898142</t>
  </si>
  <si>
    <t>801514261896186</t>
  </si>
  <si>
    <t>247609062659</t>
  </si>
  <si>
    <t>592492925387990</t>
  </si>
  <si>
    <t>656033537634</t>
  </si>
  <si>
    <t>109115330419905</t>
  </si>
  <si>
    <t>985410483949</t>
  </si>
  <si>
    <t>586743615963792</t>
  </si>
  <si>
    <t>343708373543</t>
  </si>
  <si>
    <t>414399035188702</t>
  </si>
  <si>
    <t>752914970237</t>
  </si>
  <si>
    <t>788937788449713</t>
  </si>
  <si>
    <t>963829265623</t>
  </si>
  <si>
    <t>651039267838857</t>
  </si>
  <si>
    <t>182424284793</t>
  </si>
  <si>
    <t>941343278328977</t>
  </si>
  <si>
    <t>Day 31  —  Daily Entry</t>
  </si>
  <si>
    <t>750583422422</t>
  </si>
  <si>
    <t>155996652051224</t>
  </si>
  <si>
    <t>947391350970</t>
  </si>
  <si>
    <t>427989653635199</t>
  </si>
  <si>
    <t>953127853247</t>
  </si>
  <si>
    <t>752103186137901</t>
  </si>
  <si>
    <t>806766249638</t>
  </si>
  <si>
    <t>817589459026754</t>
  </si>
  <si>
    <t>206043110492</t>
  </si>
  <si>
    <t>537062340583182</t>
  </si>
  <si>
    <t>483314637797</t>
  </si>
  <si>
    <t>591325888459654</t>
  </si>
  <si>
    <t>549543054278</t>
  </si>
  <si>
    <t>140674632673451</t>
  </si>
  <si>
    <t>395587724024</t>
  </si>
  <si>
    <t>688215458567587</t>
  </si>
  <si>
    <t>397956421915</t>
  </si>
  <si>
    <t>465841364706866</t>
  </si>
  <si>
    <t>473869871825</t>
  </si>
  <si>
    <t>436538106343066</t>
  </si>
  <si>
    <t>109383150301</t>
  </si>
  <si>
    <t>521550599667891</t>
  </si>
  <si>
    <t>315306205348</t>
  </si>
  <si>
    <t>940249190352530</t>
  </si>
  <si>
    <t>236561995322</t>
  </si>
  <si>
    <t>780451694260640</t>
  </si>
  <si>
    <t>110396042722</t>
  </si>
  <si>
    <t>628415979784409</t>
  </si>
  <si>
    <t>763548158434</t>
  </si>
  <si>
    <t>495617946381693</t>
  </si>
  <si>
    <t>204528372344</t>
  </si>
  <si>
    <t>772905282915310</t>
  </si>
  <si>
    <t>556683946323</t>
  </si>
  <si>
    <t>147960132279976</t>
  </si>
  <si>
    <t>353256039564</t>
  </si>
  <si>
    <t>224705062181304</t>
  </si>
  <si>
    <t>979913335702</t>
  </si>
  <si>
    <t>170698383435773</t>
  </si>
  <si>
    <t>151351220140</t>
  </si>
  <si>
    <t>738707638302561</t>
  </si>
  <si>
    <t>289303952724</t>
  </si>
  <si>
    <t>478492275094372</t>
  </si>
  <si>
    <t>563098977612</t>
  </si>
  <si>
    <t>807060314559383</t>
  </si>
  <si>
    <t>402015305013</t>
  </si>
  <si>
    <t>199308580958871</t>
  </si>
  <si>
    <t>284117544341</t>
  </si>
  <si>
    <t>880707430127618</t>
  </si>
  <si>
    <t>378981475803</t>
  </si>
  <si>
    <t>862756340218687</t>
  </si>
  <si>
    <t>532287631561</t>
  </si>
  <si>
    <t>473712733860799</t>
  </si>
  <si>
    <t>226485713834</t>
  </si>
  <si>
    <t>970086542087076</t>
  </si>
  <si>
    <t>268071484456</t>
  </si>
  <si>
    <t>219808567456736</t>
  </si>
  <si>
    <t>482797476364</t>
  </si>
  <si>
    <t>832602363707469</t>
  </si>
  <si>
    <t>201315769274</t>
  </si>
  <si>
    <t>904444546525814</t>
  </si>
  <si>
    <t>455031351947</t>
  </si>
  <si>
    <t>126228236054066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</si>
</sst>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9"/>
      <color rgb="FFFFFFFF"/>
      <name val="Calibri"/>
    </font>
    <font>
      <i/>
      <sz val="9"/>
      <color rgb="FF777777"/>
      <name val="Calibri"/>
    </font>
    <font>
      <b/>
      <sz val="11"/>
      <color rgb="FFFFFFFF"/>
      <name val="Calibri"/>
    </font>
    <font>
      <b/>
      <sz val="11"/>
      <name val="Calibri"/>
    </font>
    <font>
      <i/>
      <sz val="9"/>
      <color rgb="FF888888"/>
      <name val="Calibri"/>
    </font>
    <font>
      <b/>
      <sz val="20"/>
      <color rgb="FF1A1A1A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E20074"/>
      </patternFill>
    </fill>
    <fill>
      <patternFill patternType="solid">
        <fgColor rgb="FFFCE4EF"/>
      </patternFill>
    </fill>
    <fill>
      <patternFill patternType="solid">
        <fgColor rgb="FFF4F4F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0" borderId="0" xfId="0" applyFont="1"/>
    <xf numFmtId="0" fontId="0" fillId="0" borderId="1" xfId="0" applyBorder="1"/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5" fontId="0" fillId="0" borderId="1" xfId="0" applyNumberFormat="1" applyBorder="1"/>
    <xf numFmtId="9" fontId="0" fillId="0" borderId="1" xfId="0" applyNumberFormat="1" applyBorder="1"/>
    <xf numFmtId="0" fontId="3" fillId="0" borderId="0" xfId="0" applyFont="1"/>
    <xf numFmtId="164" fontId="0" fillId="0" borderId="1" xfId="0" applyNumberFormat="1" applyBorder="1"/>
    <xf numFmtId="0" fontId="4" fillId="3" borderId="0" xfId="0" applyFont="1" applyFill="1"/>
    <xf numFmtId="0" fontId="5" fillId="4" borderId="1" xfId="0" applyFont="1" applyFill="1" applyBorder="1"/>
    <xf numFmtId="164" fontId="5" fillId="4" borderId="1" xfId="0" applyNumberFormat="1" applyFont="1" applyFill="1" applyBorder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3" fontId="7" fillId="5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9" fontId="7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Daily Acts + Pre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Dashboard!$O$1</c:f>
              <c:strCache>
                <c:ptCount val="1"/>
                <c:pt idx="0">
                  <c:v>Acts+Pre</c:v>
                </c:pt>
              </c:strCache>
            </c:strRef>
          </c:tx>
          <c:spPr>
            <a:ln w="28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Dashboard!$N$2:$N$32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Dashboard!$O$2:$O$32</c:f>
              <c:numCache>
                <c:formatCode>General</c:formatCode>
                <c:ptCount val="31"/>
                <c:pt idx="0">
                  <c:v>16</c:v>
                </c:pt>
                <c:pt idx="1">
                  <c:v>18</c:v>
                </c:pt>
                <c:pt idx="2">
                  <c:v>18</c:v>
                </c:pt>
                <c:pt idx="3">
                  <c:v>24</c:v>
                </c:pt>
                <c:pt idx="4">
                  <c:v>18</c:v>
                </c:pt>
                <c:pt idx="5">
                  <c:v>20</c:v>
                </c:pt>
                <c:pt idx="6">
                  <c:v>20</c:v>
                </c:pt>
                <c:pt idx="7">
                  <c:v>13</c:v>
                </c:pt>
                <c:pt idx="8">
                  <c:v>18</c:v>
                </c:pt>
                <c:pt idx="9">
                  <c:v>19</c:v>
                </c:pt>
                <c:pt idx="10">
                  <c:v>19</c:v>
                </c:pt>
                <c:pt idx="11">
                  <c:v>23</c:v>
                </c:pt>
                <c:pt idx="12">
                  <c:v>14</c:v>
                </c:pt>
                <c:pt idx="13">
                  <c:v>17</c:v>
                </c:pt>
                <c:pt idx="14">
                  <c:v>16</c:v>
                </c:pt>
                <c:pt idx="15">
                  <c:v>19</c:v>
                </c:pt>
                <c:pt idx="16">
                  <c:v>19</c:v>
                </c:pt>
                <c:pt idx="17">
                  <c:v>13</c:v>
                </c:pt>
                <c:pt idx="18">
                  <c:v>22</c:v>
                </c:pt>
                <c:pt idx="19">
                  <c:v>26</c:v>
                </c:pt>
                <c:pt idx="20">
                  <c:v>19</c:v>
                </c:pt>
                <c:pt idx="21">
                  <c:v>16</c:v>
                </c:pt>
                <c:pt idx="22">
                  <c:v>22</c:v>
                </c:pt>
                <c:pt idx="23">
                  <c:v>20</c:v>
                </c:pt>
                <c:pt idx="24">
                  <c:v>19</c:v>
                </c:pt>
                <c:pt idx="25">
                  <c:v>22</c:v>
                </c:pt>
                <c:pt idx="26">
                  <c:v>21</c:v>
                </c:pt>
                <c:pt idx="27">
                  <c:v>20</c:v>
                </c:pt>
                <c:pt idx="28">
                  <c:v>23</c:v>
                </c:pt>
                <c:pt idx="29">
                  <c:v>25</c:v>
                </c:pt>
                <c:pt idx="30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D2-49F1-AF21-B2AC14C85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Acts + Pre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</xdr:row>
      <xdr:rowOff>0</xdr:rowOff>
    </xdr:from>
    <xdr:ext cx="72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showGridLines="0" workbookViewId="0"/>
  </sheetViews>
  <sheetFormatPr defaultRowHeight="15" x14ac:dyDescent="0.25"/>
  <cols>
    <col min="1" max="12" width="9" customWidth="1"/>
  </cols>
  <sheetData>
    <row r="1" spans="1:15" ht="24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N1" t="s">
        <v>1</v>
      </c>
      <c r="O1" t="s">
        <v>2</v>
      </c>
    </row>
    <row r="2" spans="1:15" x14ac:dyDescent="0.25">
      <c r="A2" s="1" t="s">
        <v>3</v>
      </c>
      <c r="N2">
        <v>1</v>
      </c>
      <c r="O2">
        <f>'1'!Q16+'1'!R16</f>
        <v>16</v>
      </c>
    </row>
    <row r="3" spans="1:15" x14ac:dyDescent="0.25">
      <c r="N3">
        <v>2</v>
      </c>
      <c r="O3">
        <f>'2'!Q16+'2'!R16</f>
        <v>18</v>
      </c>
    </row>
    <row r="4" spans="1:15" x14ac:dyDescent="0.25">
      <c r="A4" s="12" t="s">
        <v>4</v>
      </c>
      <c r="B4" s="13"/>
      <c r="D4" s="12" t="s">
        <v>5</v>
      </c>
      <c r="E4" s="13"/>
      <c r="G4" s="12" t="s">
        <v>6</v>
      </c>
      <c r="H4" s="13"/>
      <c r="J4" s="12" t="s">
        <v>7</v>
      </c>
      <c r="K4" s="13"/>
      <c r="N4">
        <v>3</v>
      </c>
      <c r="O4">
        <f>'3'!Q16+'3'!R16</f>
        <v>18</v>
      </c>
    </row>
    <row r="5" spans="1:15" x14ac:dyDescent="0.25">
      <c r="A5" s="14">
        <f>'Store Total'!B4</f>
        <v>463</v>
      </c>
      <c r="B5" s="13"/>
      <c r="D5" s="14">
        <f>'Store Total'!B5</f>
        <v>137</v>
      </c>
      <c r="E5" s="13"/>
      <c r="G5" s="14">
        <f>'Store Total'!B4+'Store Total'!B5</f>
        <v>600</v>
      </c>
      <c r="H5" s="13"/>
      <c r="J5" s="17">
        <f>'Store Total'!D4</f>
        <v>1.0522727272727272</v>
      </c>
      <c r="K5" s="13"/>
      <c r="N5">
        <v>4</v>
      </c>
      <c r="O5">
        <f>'4'!Q16+'4'!R16</f>
        <v>24</v>
      </c>
    </row>
    <row r="6" spans="1:15" x14ac:dyDescent="0.25">
      <c r="A6" s="13"/>
      <c r="B6" s="13"/>
      <c r="D6" s="13"/>
      <c r="E6" s="13"/>
      <c r="G6" s="13"/>
      <c r="H6" s="13"/>
      <c r="J6" s="13"/>
      <c r="K6" s="13"/>
      <c r="N6">
        <v>5</v>
      </c>
      <c r="O6">
        <f>'5'!Q16+'5'!R16</f>
        <v>18</v>
      </c>
    </row>
    <row r="7" spans="1:15" x14ac:dyDescent="0.25">
      <c r="N7">
        <v>6</v>
      </c>
      <c r="O7">
        <f>'6'!Q16+'6'!R16</f>
        <v>20</v>
      </c>
    </row>
    <row r="8" spans="1:15" x14ac:dyDescent="0.25">
      <c r="A8" s="12" t="s">
        <v>8</v>
      </c>
      <c r="B8" s="13"/>
      <c r="D8" s="12" t="s">
        <v>9</v>
      </c>
      <c r="E8" s="13"/>
      <c r="G8" s="12" t="s">
        <v>10</v>
      </c>
      <c r="H8" s="13"/>
      <c r="J8" s="12" t="s">
        <v>11</v>
      </c>
      <c r="K8" s="13"/>
      <c r="N8">
        <v>7</v>
      </c>
      <c r="O8">
        <f>'7'!Q16+'7'!R16</f>
        <v>20</v>
      </c>
    </row>
    <row r="9" spans="1:15" x14ac:dyDescent="0.25">
      <c r="A9" s="14">
        <f>'Store Total'!B7</f>
        <v>57</v>
      </c>
      <c r="B9" s="13"/>
      <c r="D9" s="14">
        <f>'Store Total'!B8</f>
        <v>38</v>
      </c>
      <c r="E9" s="13"/>
      <c r="G9" s="18">
        <f>'Store Total'!B11</f>
        <v>42786.140000000014</v>
      </c>
      <c r="H9" s="13"/>
      <c r="J9" s="14">
        <f>'Store Total'!B10</f>
        <v>729</v>
      </c>
      <c r="K9" s="13"/>
      <c r="N9">
        <v>8</v>
      </c>
      <c r="O9">
        <f>'8'!Q16+'8'!R16</f>
        <v>13</v>
      </c>
    </row>
    <row r="10" spans="1:15" x14ac:dyDescent="0.25">
      <c r="A10" s="13"/>
      <c r="B10" s="13"/>
      <c r="D10" s="13"/>
      <c r="E10" s="13"/>
      <c r="G10" s="13"/>
      <c r="H10" s="13"/>
      <c r="J10" s="13"/>
      <c r="K10" s="13"/>
      <c r="N10">
        <v>9</v>
      </c>
      <c r="O10">
        <f>'9'!Q16+'9'!R16</f>
        <v>18</v>
      </c>
    </row>
    <row r="11" spans="1:15" x14ac:dyDescent="0.25">
      <c r="N11">
        <v>10</v>
      </c>
      <c r="O11">
        <f>'10'!Q16+'10'!R16</f>
        <v>19</v>
      </c>
    </row>
    <row r="12" spans="1:15" x14ac:dyDescent="0.25">
      <c r="N12">
        <v>11</v>
      </c>
      <c r="O12">
        <f>'11'!Q16+'11'!R16</f>
        <v>19</v>
      </c>
    </row>
    <row r="13" spans="1:15" x14ac:dyDescent="0.25">
      <c r="N13">
        <v>12</v>
      </c>
      <c r="O13">
        <f>'12'!Q16+'12'!R16</f>
        <v>23</v>
      </c>
    </row>
    <row r="14" spans="1:15" x14ac:dyDescent="0.25">
      <c r="N14">
        <v>13</v>
      </c>
      <c r="O14">
        <f>'13'!Q16+'13'!R16</f>
        <v>14</v>
      </c>
    </row>
    <row r="15" spans="1:15" x14ac:dyDescent="0.25">
      <c r="N15">
        <v>14</v>
      </c>
      <c r="O15">
        <f>'14'!Q16+'14'!R16</f>
        <v>17</v>
      </c>
    </row>
    <row r="16" spans="1:15" x14ac:dyDescent="0.25">
      <c r="N16">
        <v>15</v>
      </c>
      <c r="O16">
        <f>'15'!Q16+'15'!R16</f>
        <v>16</v>
      </c>
    </row>
    <row r="17" spans="14:15" x14ac:dyDescent="0.25">
      <c r="N17">
        <v>16</v>
      </c>
      <c r="O17">
        <f>'16'!Q16+'16'!R16</f>
        <v>19</v>
      </c>
    </row>
    <row r="18" spans="14:15" x14ac:dyDescent="0.25">
      <c r="N18">
        <v>17</v>
      </c>
      <c r="O18">
        <f>'17'!Q16+'17'!R16</f>
        <v>19</v>
      </c>
    </row>
    <row r="19" spans="14:15" x14ac:dyDescent="0.25">
      <c r="N19">
        <v>18</v>
      </c>
      <c r="O19">
        <f>'18'!Q16+'18'!R16</f>
        <v>13</v>
      </c>
    </row>
    <row r="20" spans="14:15" x14ac:dyDescent="0.25">
      <c r="N20">
        <v>19</v>
      </c>
      <c r="O20">
        <f>'19'!Q16+'19'!R16</f>
        <v>22</v>
      </c>
    </row>
    <row r="21" spans="14:15" x14ac:dyDescent="0.25">
      <c r="N21">
        <v>20</v>
      </c>
      <c r="O21">
        <f>'20'!Q16+'20'!R16</f>
        <v>26</v>
      </c>
    </row>
    <row r="22" spans="14:15" x14ac:dyDescent="0.25">
      <c r="N22">
        <v>21</v>
      </c>
      <c r="O22">
        <f>'21'!Q16+'21'!R16</f>
        <v>19</v>
      </c>
    </row>
    <row r="23" spans="14:15" x14ac:dyDescent="0.25">
      <c r="N23">
        <v>22</v>
      </c>
      <c r="O23">
        <f>'22'!Q16+'22'!R16</f>
        <v>16</v>
      </c>
    </row>
    <row r="24" spans="14:15" x14ac:dyDescent="0.25">
      <c r="N24">
        <v>23</v>
      </c>
      <c r="O24">
        <f>'23'!Q16+'23'!R16</f>
        <v>22</v>
      </c>
    </row>
    <row r="25" spans="14:15" x14ac:dyDescent="0.25">
      <c r="N25">
        <v>24</v>
      </c>
      <c r="O25">
        <f>'24'!Q16+'24'!R16</f>
        <v>20</v>
      </c>
    </row>
    <row r="26" spans="14:15" x14ac:dyDescent="0.25">
      <c r="N26">
        <v>25</v>
      </c>
      <c r="O26">
        <f>'25'!Q16+'25'!R16</f>
        <v>19</v>
      </c>
    </row>
    <row r="27" spans="14:15" x14ac:dyDescent="0.25">
      <c r="N27">
        <v>26</v>
      </c>
      <c r="O27">
        <f>'26'!Q16+'26'!R16</f>
        <v>22</v>
      </c>
    </row>
    <row r="28" spans="14:15" x14ac:dyDescent="0.25">
      <c r="N28">
        <v>27</v>
      </c>
      <c r="O28">
        <f>'27'!Q16+'27'!R16</f>
        <v>21</v>
      </c>
    </row>
    <row r="29" spans="14:15" x14ac:dyDescent="0.25">
      <c r="N29">
        <v>28</v>
      </c>
      <c r="O29">
        <f>'28'!Q16+'28'!R16</f>
        <v>20</v>
      </c>
    </row>
    <row r="30" spans="14:15" x14ac:dyDescent="0.25">
      <c r="N30">
        <v>29</v>
      </c>
      <c r="O30">
        <f>'29'!Q16+'29'!R16</f>
        <v>23</v>
      </c>
    </row>
    <row r="31" spans="14:15" x14ac:dyDescent="0.25">
      <c r="N31">
        <v>30</v>
      </c>
      <c r="O31">
        <f>'30'!Q16+'30'!R16</f>
        <v>25</v>
      </c>
    </row>
    <row r="32" spans="14:15" x14ac:dyDescent="0.25">
      <c r="N32">
        <v>31</v>
      </c>
      <c r="O32">
        <f>'31'!Q16+'31'!R16</f>
        <v>21</v>
      </c>
    </row>
  </sheetData>
  <mergeCells count="17">
    <mergeCell ref="A1:L1"/>
    <mergeCell ref="D5:E6"/>
    <mergeCell ref="A5:B6"/>
    <mergeCell ref="G5:H6"/>
    <mergeCell ref="D4:E4"/>
    <mergeCell ref="J5:K6"/>
    <mergeCell ref="A4:B4"/>
    <mergeCell ref="G4:H4"/>
    <mergeCell ref="D8:E8"/>
    <mergeCell ref="J4:K4"/>
    <mergeCell ref="J9:K10"/>
    <mergeCell ref="J8:K8"/>
    <mergeCell ref="G8:H8"/>
    <mergeCell ref="A8:B8"/>
    <mergeCell ref="A9:B10"/>
    <mergeCell ref="G9:H10"/>
    <mergeCell ref="D9:E1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showGridLines="0" workbookViewId="0">
      <selection sqref="A1:F1"/>
    </sheetView>
  </sheetViews>
  <sheetFormatPr defaultRowHeight="15" x14ac:dyDescent="0.25"/>
  <cols>
    <col min="1" max="1" width="12" customWidth="1"/>
    <col min="2" max="2" width="16" customWidth="1"/>
    <col min="3" max="6" width="12" customWidth="1"/>
  </cols>
  <sheetData>
    <row r="1" spans="1:6" ht="24" customHeight="1" x14ac:dyDescent="0.25">
      <c r="A1" s="15" t="s">
        <v>12</v>
      </c>
      <c r="B1" s="16"/>
      <c r="C1" s="16"/>
      <c r="D1" s="16"/>
      <c r="E1" s="16"/>
      <c r="F1" s="16"/>
    </row>
    <row r="3" spans="1:6" x14ac:dyDescent="0.25">
      <c r="A3" s="3" t="s">
        <v>13</v>
      </c>
      <c r="B3" s="3" t="s">
        <v>14</v>
      </c>
      <c r="C3" s="3" t="s">
        <v>15</v>
      </c>
      <c r="D3" s="3" t="s">
        <v>16</v>
      </c>
      <c r="E3" s="3" t="s">
        <v>17</v>
      </c>
      <c r="F3" s="3" t="s">
        <v>18</v>
      </c>
    </row>
    <row r="4" spans="1:6" x14ac:dyDescent="0.25">
      <c r="A4" s="4">
        <f t="shared" ref="A4:A15" si="0">RANK(E4,$E$4:$E$15)</f>
        <v>11</v>
      </c>
      <c r="B4" s="4" t="str">
        <f>Setup!$A$4</f>
        <v>Expert 01</v>
      </c>
      <c r="C4" s="2">
        <f>SUM('1:31'!Q4)</f>
        <v>34</v>
      </c>
      <c r="D4" s="2">
        <f>SUM('1:31'!R4)</f>
        <v>5</v>
      </c>
      <c r="E4" s="2">
        <f t="shared" ref="E4:E15" si="1">C4+D4</f>
        <v>39</v>
      </c>
      <c r="F4" s="5">
        <f>SUM('1:31'!X4)</f>
        <v>2499.2900000000009</v>
      </c>
    </row>
    <row r="5" spans="1:6" x14ac:dyDescent="0.25">
      <c r="A5" s="4">
        <f t="shared" si="0"/>
        <v>6</v>
      </c>
      <c r="B5" s="4" t="str">
        <f>Setup!$A$5</f>
        <v>Expert 02</v>
      </c>
      <c r="C5" s="2">
        <f>SUM('1:31'!Q5)</f>
        <v>41</v>
      </c>
      <c r="D5" s="2">
        <f>SUM('1:31'!R5)</f>
        <v>10</v>
      </c>
      <c r="E5" s="2">
        <f t="shared" si="1"/>
        <v>51</v>
      </c>
      <c r="F5" s="5">
        <f>SUM('1:31'!X5)</f>
        <v>3588.7999999999993</v>
      </c>
    </row>
    <row r="6" spans="1:6" x14ac:dyDescent="0.25">
      <c r="A6" s="4">
        <f t="shared" si="0"/>
        <v>10</v>
      </c>
      <c r="B6" s="4" t="str">
        <f>Setup!$A$6</f>
        <v>Expert 03</v>
      </c>
      <c r="C6" s="2">
        <f>SUM('1:31'!Q6)</f>
        <v>38</v>
      </c>
      <c r="D6" s="2">
        <f>SUM('1:31'!R6)</f>
        <v>8</v>
      </c>
      <c r="E6" s="2">
        <f t="shared" si="1"/>
        <v>46</v>
      </c>
      <c r="F6" s="5">
        <f>SUM('1:31'!X6)</f>
        <v>4037.67</v>
      </c>
    </row>
    <row r="7" spans="1:6" x14ac:dyDescent="0.25">
      <c r="A7" s="4">
        <f t="shared" si="0"/>
        <v>8</v>
      </c>
      <c r="B7" s="4" t="str">
        <f>Setup!$A$7</f>
        <v>Expert 04</v>
      </c>
      <c r="C7" s="2">
        <f>SUM('1:31'!Q7)</f>
        <v>37</v>
      </c>
      <c r="D7" s="2">
        <f>SUM('1:31'!R7)</f>
        <v>11</v>
      </c>
      <c r="E7" s="2">
        <f t="shared" si="1"/>
        <v>48</v>
      </c>
      <c r="F7" s="5">
        <f>SUM('1:31'!X7)</f>
        <v>4060.8199999999997</v>
      </c>
    </row>
    <row r="8" spans="1:6" x14ac:dyDescent="0.25">
      <c r="A8" s="4">
        <f t="shared" si="0"/>
        <v>3</v>
      </c>
      <c r="B8" s="4" t="str">
        <f>Setup!$A$8</f>
        <v>Expert 05</v>
      </c>
      <c r="C8" s="2">
        <f>SUM('1:31'!Q8)</f>
        <v>39</v>
      </c>
      <c r="D8" s="2">
        <f>SUM('1:31'!R8)</f>
        <v>16</v>
      </c>
      <c r="E8" s="2">
        <f t="shared" si="1"/>
        <v>55</v>
      </c>
      <c r="F8" s="5">
        <f>SUM('1:31'!X8)</f>
        <v>2939.6699999999996</v>
      </c>
    </row>
    <row r="9" spans="1:6" x14ac:dyDescent="0.25">
      <c r="A9" s="4">
        <f t="shared" si="0"/>
        <v>4</v>
      </c>
      <c r="B9" s="4" t="str">
        <f>Setup!$A$9</f>
        <v>Expert 06</v>
      </c>
      <c r="C9" s="2">
        <f>SUM('1:31'!Q9)</f>
        <v>39</v>
      </c>
      <c r="D9" s="2">
        <f>SUM('1:31'!R9)</f>
        <v>14</v>
      </c>
      <c r="E9" s="2">
        <f t="shared" si="1"/>
        <v>53</v>
      </c>
      <c r="F9" s="5">
        <f>SUM('1:31'!X9)</f>
        <v>3541.1400000000008</v>
      </c>
    </row>
    <row r="10" spans="1:6" x14ac:dyDescent="0.25">
      <c r="A10" s="4">
        <f t="shared" si="0"/>
        <v>7</v>
      </c>
      <c r="B10" s="4" t="str">
        <f>Setup!$A$10</f>
        <v>Expert 07</v>
      </c>
      <c r="C10" s="2">
        <f>SUM('1:31'!Q10)</f>
        <v>30</v>
      </c>
      <c r="D10" s="2">
        <f>SUM('1:31'!R10)</f>
        <v>19</v>
      </c>
      <c r="E10" s="2">
        <f t="shared" si="1"/>
        <v>49</v>
      </c>
      <c r="F10" s="5">
        <f>SUM('1:31'!X10)</f>
        <v>3215.29</v>
      </c>
    </row>
    <row r="11" spans="1:6" x14ac:dyDescent="0.25">
      <c r="A11" s="4">
        <f t="shared" si="0"/>
        <v>8</v>
      </c>
      <c r="B11" s="4" t="str">
        <f>Setup!$A$11</f>
        <v>Expert 08</v>
      </c>
      <c r="C11" s="2">
        <f>SUM('1:31'!Q11)</f>
        <v>41</v>
      </c>
      <c r="D11" s="2">
        <f>SUM('1:31'!R11)</f>
        <v>7</v>
      </c>
      <c r="E11" s="2">
        <f t="shared" si="1"/>
        <v>48</v>
      </c>
      <c r="F11" s="5">
        <f>SUM('1:31'!X11)</f>
        <v>3830.8199999999997</v>
      </c>
    </row>
    <row r="12" spans="1:6" x14ac:dyDescent="0.25">
      <c r="A12" s="4">
        <f t="shared" si="0"/>
        <v>12</v>
      </c>
      <c r="B12" s="4" t="str">
        <f>Setup!$A$12</f>
        <v>Expert 09</v>
      </c>
      <c r="C12" s="2">
        <f>SUM('1:31'!Q12)</f>
        <v>27</v>
      </c>
      <c r="D12" s="2">
        <f>SUM('1:31'!R12)</f>
        <v>6</v>
      </c>
      <c r="E12" s="2">
        <f t="shared" si="1"/>
        <v>33</v>
      </c>
      <c r="F12" s="5">
        <f>SUM('1:31'!X12)</f>
        <v>3143.78</v>
      </c>
    </row>
    <row r="13" spans="1:6" x14ac:dyDescent="0.25">
      <c r="A13" s="4">
        <f t="shared" si="0"/>
        <v>4</v>
      </c>
      <c r="B13" s="4" t="str">
        <f>Setup!$A$13</f>
        <v>Expert 10</v>
      </c>
      <c r="C13" s="2">
        <f>SUM('1:31'!Q13)</f>
        <v>41</v>
      </c>
      <c r="D13" s="2">
        <f>SUM('1:31'!R13)</f>
        <v>12</v>
      </c>
      <c r="E13" s="2">
        <f t="shared" si="1"/>
        <v>53</v>
      </c>
      <c r="F13" s="5">
        <f>SUM('1:31'!X13)</f>
        <v>3929.0200000000004</v>
      </c>
    </row>
    <row r="14" spans="1:6" x14ac:dyDescent="0.25">
      <c r="A14" s="4">
        <f t="shared" si="0"/>
        <v>2</v>
      </c>
      <c r="B14" s="4" t="str">
        <f>Setup!$A$14</f>
        <v>Expert 11</v>
      </c>
      <c r="C14" s="2">
        <f>SUM('1:31'!Q14)</f>
        <v>43</v>
      </c>
      <c r="D14" s="2">
        <f>SUM('1:31'!R14)</f>
        <v>16</v>
      </c>
      <c r="E14" s="2">
        <f t="shared" si="1"/>
        <v>59</v>
      </c>
      <c r="F14" s="5">
        <f>SUM('1:31'!X14)</f>
        <v>3782.9900000000002</v>
      </c>
    </row>
    <row r="15" spans="1:6" x14ac:dyDescent="0.25">
      <c r="A15" s="4">
        <f t="shared" si="0"/>
        <v>1</v>
      </c>
      <c r="B15" s="4" t="str">
        <f>Setup!$A$15</f>
        <v>Expert 12</v>
      </c>
      <c r="C15" s="2">
        <f>SUM('1:31'!Q15)</f>
        <v>53</v>
      </c>
      <c r="D15" s="2">
        <f>SUM('1:31'!R15)</f>
        <v>13</v>
      </c>
      <c r="E15" s="2">
        <f t="shared" si="1"/>
        <v>66</v>
      </c>
      <c r="F15" s="5">
        <f>SUM('1:31'!X15)</f>
        <v>4216.8499999999995</v>
      </c>
    </row>
  </sheetData>
  <mergeCells count="1">
    <mergeCell ref="A1:F1"/>
  </mergeCells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5" t="s">
        <v>19</v>
      </c>
      <c r="B1" s="16"/>
      <c r="C1" s="16"/>
      <c r="D1" s="16"/>
      <c r="E1" s="16"/>
      <c r="F1" s="16"/>
      <c r="G1" s="16"/>
      <c r="H1" s="16"/>
      <c r="I1" s="16"/>
    </row>
    <row r="3" spans="1:9" x14ac:dyDescent="0.25">
      <c r="A3" s="3" t="s">
        <v>1</v>
      </c>
      <c r="B3" s="3" t="s">
        <v>15</v>
      </c>
      <c r="C3" s="3" t="s">
        <v>16</v>
      </c>
      <c r="D3" s="3" t="s">
        <v>20</v>
      </c>
      <c r="E3" s="3" t="s">
        <v>8</v>
      </c>
      <c r="F3" s="3" t="s">
        <v>21</v>
      </c>
      <c r="G3" s="3" t="s">
        <v>22</v>
      </c>
      <c r="H3" s="3" t="s">
        <v>23</v>
      </c>
      <c r="I3" s="3" t="s">
        <v>18</v>
      </c>
    </row>
    <row r="4" spans="1:9" x14ac:dyDescent="0.25">
      <c r="A4" s="4">
        <v>1</v>
      </c>
      <c r="B4" s="2">
        <f>'1'!Q16</f>
        <v>10</v>
      </c>
      <c r="C4" s="2">
        <f>'1'!R16</f>
        <v>6</v>
      </c>
      <c r="D4" s="2">
        <f>'1'!S16</f>
        <v>2</v>
      </c>
      <c r="E4" s="2">
        <f>'1'!T16</f>
        <v>3</v>
      </c>
      <c r="F4" s="2">
        <f>'1'!U16</f>
        <v>4</v>
      </c>
      <c r="G4" s="5">
        <f>'1'!V16</f>
        <v>384</v>
      </c>
      <c r="H4" s="2">
        <f>'1'!W16</f>
        <v>21</v>
      </c>
      <c r="I4" s="5">
        <f>'1'!X16</f>
        <v>979.80000000000007</v>
      </c>
    </row>
    <row r="5" spans="1:9" x14ac:dyDescent="0.25">
      <c r="A5" s="4">
        <v>2</v>
      </c>
      <c r="B5" s="2">
        <f>'2'!Q16</f>
        <v>14</v>
      </c>
      <c r="C5" s="2">
        <f>'2'!R16</f>
        <v>4</v>
      </c>
      <c r="D5" s="2">
        <f>'2'!S16</f>
        <v>0</v>
      </c>
      <c r="E5" s="2">
        <f>'2'!T16</f>
        <v>1</v>
      </c>
      <c r="F5" s="2">
        <f>'2'!U16</f>
        <v>3</v>
      </c>
      <c r="G5" s="5">
        <f>'2'!V16</f>
        <v>266</v>
      </c>
      <c r="H5" s="2">
        <f>'2'!W16</f>
        <v>20</v>
      </c>
      <c r="I5" s="5">
        <f>'2'!X16</f>
        <v>1330.8400000000001</v>
      </c>
    </row>
    <row r="6" spans="1:9" x14ac:dyDescent="0.25">
      <c r="A6" s="4">
        <v>3</v>
      </c>
      <c r="B6" s="2">
        <f>'3'!Q16</f>
        <v>14</v>
      </c>
      <c r="C6" s="2">
        <f>'3'!R16</f>
        <v>4</v>
      </c>
      <c r="D6" s="2">
        <f>'3'!S16</f>
        <v>2</v>
      </c>
      <c r="E6" s="2">
        <f>'3'!T16</f>
        <v>0</v>
      </c>
      <c r="F6" s="2">
        <f>'3'!U16</f>
        <v>1</v>
      </c>
      <c r="G6" s="5">
        <f>'3'!V16</f>
        <v>234</v>
      </c>
      <c r="H6" s="2">
        <f>'3'!W16</f>
        <v>26</v>
      </c>
      <c r="I6" s="5">
        <f>'3'!X16</f>
        <v>931.15</v>
      </c>
    </row>
    <row r="7" spans="1:9" x14ac:dyDescent="0.25">
      <c r="A7" s="4">
        <v>4</v>
      </c>
      <c r="B7" s="2">
        <f>'4'!Q16</f>
        <v>19</v>
      </c>
      <c r="C7" s="2">
        <f>'4'!R16</f>
        <v>5</v>
      </c>
      <c r="D7" s="2">
        <f>'4'!S16</f>
        <v>1</v>
      </c>
      <c r="E7" s="2">
        <f>'4'!T16</f>
        <v>0</v>
      </c>
      <c r="F7" s="2">
        <f>'4'!U16</f>
        <v>2</v>
      </c>
      <c r="G7" s="5">
        <f>'4'!V16</f>
        <v>477</v>
      </c>
      <c r="H7" s="2">
        <f>'4'!W16</f>
        <v>27</v>
      </c>
      <c r="I7" s="5">
        <f>'4'!X16</f>
        <v>1574.91</v>
      </c>
    </row>
    <row r="8" spans="1:9" x14ac:dyDescent="0.25">
      <c r="A8" s="4">
        <v>5</v>
      </c>
      <c r="B8" s="2">
        <f>'5'!Q16</f>
        <v>14</v>
      </c>
      <c r="C8" s="2">
        <f>'5'!R16</f>
        <v>4</v>
      </c>
      <c r="D8" s="2">
        <f>'5'!S16</f>
        <v>0</v>
      </c>
      <c r="E8" s="2">
        <f>'5'!T16</f>
        <v>1</v>
      </c>
      <c r="F8" s="2">
        <f>'5'!U16</f>
        <v>2</v>
      </c>
      <c r="G8" s="5">
        <f>'5'!V16</f>
        <v>259</v>
      </c>
      <c r="H8" s="2">
        <f>'5'!W16</f>
        <v>21</v>
      </c>
      <c r="I8" s="5">
        <f>'5'!X16</f>
        <v>1565.33</v>
      </c>
    </row>
    <row r="9" spans="1:9" x14ac:dyDescent="0.25">
      <c r="A9" s="4">
        <v>6</v>
      </c>
      <c r="B9" s="2">
        <f>'6'!Q16</f>
        <v>15</v>
      </c>
      <c r="C9" s="2">
        <f>'6'!R16</f>
        <v>5</v>
      </c>
      <c r="D9" s="2">
        <f>'6'!S16</f>
        <v>3</v>
      </c>
      <c r="E9" s="2">
        <f>'6'!T16</f>
        <v>2</v>
      </c>
      <c r="F9" s="2">
        <f>'6'!U16</f>
        <v>0</v>
      </c>
      <c r="G9" s="5">
        <f>'6'!V16</f>
        <v>155</v>
      </c>
      <c r="H9" s="2">
        <f>'6'!W16</f>
        <v>23</v>
      </c>
      <c r="I9" s="5">
        <f>'6'!X16</f>
        <v>1623.08</v>
      </c>
    </row>
    <row r="10" spans="1:9" x14ac:dyDescent="0.25">
      <c r="A10" s="4">
        <v>7</v>
      </c>
      <c r="B10" s="2">
        <f>'7'!Q16</f>
        <v>16</v>
      </c>
      <c r="C10" s="2">
        <f>'7'!R16</f>
        <v>4</v>
      </c>
      <c r="D10" s="2">
        <f>'7'!S16</f>
        <v>0</v>
      </c>
      <c r="E10" s="2">
        <f>'7'!T16</f>
        <v>2</v>
      </c>
      <c r="F10" s="2">
        <f>'7'!U16</f>
        <v>0</v>
      </c>
      <c r="G10" s="5">
        <f>'7'!V16</f>
        <v>260</v>
      </c>
      <c r="H10" s="2">
        <f>'7'!W16</f>
        <v>26</v>
      </c>
      <c r="I10" s="5">
        <f>'7'!X16</f>
        <v>1478.1999999999998</v>
      </c>
    </row>
    <row r="11" spans="1:9" x14ac:dyDescent="0.25">
      <c r="A11" s="4">
        <v>8</v>
      </c>
      <c r="B11" s="2">
        <f>'8'!Q16</f>
        <v>10</v>
      </c>
      <c r="C11" s="2">
        <f>'8'!R16</f>
        <v>3</v>
      </c>
      <c r="D11" s="2">
        <f>'8'!S16</f>
        <v>0</v>
      </c>
      <c r="E11" s="2">
        <f>'8'!T16</f>
        <v>1</v>
      </c>
      <c r="F11" s="2">
        <f>'8'!U16</f>
        <v>1</v>
      </c>
      <c r="G11" s="5">
        <f>'8'!V16</f>
        <v>147</v>
      </c>
      <c r="H11" s="2">
        <f>'8'!W16</f>
        <v>15</v>
      </c>
      <c r="I11" s="5">
        <f>'8'!X16</f>
        <v>997.83999999999992</v>
      </c>
    </row>
    <row r="12" spans="1:9" x14ac:dyDescent="0.25">
      <c r="A12" s="4">
        <v>9</v>
      </c>
      <c r="B12" s="2">
        <f>'9'!Q16</f>
        <v>16</v>
      </c>
      <c r="C12" s="2">
        <f>'9'!R16</f>
        <v>2</v>
      </c>
      <c r="D12" s="2">
        <f>'9'!S16</f>
        <v>1</v>
      </c>
      <c r="E12" s="2">
        <f>'9'!T16</f>
        <v>4</v>
      </c>
      <c r="F12" s="2">
        <f>'9'!U16</f>
        <v>0</v>
      </c>
      <c r="G12" s="5">
        <f>'9'!V16</f>
        <v>226</v>
      </c>
      <c r="H12" s="2">
        <f>'9'!W16</f>
        <v>18</v>
      </c>
      <c r="I12" s="5">
        <f>'9'!X16</f>
        <v>957.56000000000006</v>
      </c>
    </row>
    <row r="13" spans="1:9" x14ac:dyDescent="0.25">
      <c r="A13" s="4">
        <v>10</v>
      </c>
      <c r="B13" s="2">
        <f>'10'!Q16</f>
        <v>14</v>
      </c>
      <c r="C13" s="2">
        <f>'10'!R16</f>
        <v>5</v>
      </c>
      <c r="D13" s="2">
        <f>'10'!S16</f>
        <v>2</v>
      </c>
      <c r="E13" s="2">
        <f>'10'!T16</f>
        <v>0</v>
      </c>
      <c r="F13" s="2">
        <f>'10'!U16</f>
        <v>1</v>
      </c>
      <c r="G13" s="5">
        <f>'10'!V16</f>
        <v>270</v>
      </c>
      <c r="H13" s="2">
        <f>'10'!W16</f>
        <v>23</v>
      </c>
      <c r="I13" s="5">
        <f>'10'!X16</f>
        <v>1728.74</v>
      </c>
    </row>
    <row r="14" spans="1:9" x14ac:dyDescent="0.25">
      <c r="A14" s="4">
        <v>11</v>
      </c>
      <c r="B14" s="2">
        <f>'11'!Q16</f>
        <v>14</v>
      </c>
      <c r="C14" s="2">
        <f>'11'!R16</f>
        <v>5</v>
      </c>
      <c r="D14" s="2">
        <f>'11'!S16</f>
        <v>2</v>
      </c>
      <c r="E14" s="2">
        <f>'11'!T16</f>
        <v>2</v>
      </c>
      <c r="F14" s="2">
        <f>'11'!U16</f>
        <v>2</v>
      </c>
      <c r="G14" s="5">
        <f>'11'!V16</f>
        <v>286</v>
      </c>
      <c r="H14" s="2">
        <f>'11'!W16</f>
        <v>27</v>
      </c>
      <c r="I14" s="5">
        <f>'11'!X16</f>
        <v>1769.45</v>
      </c>
    </row>
    <row r="15" spans="1:9" x14ac:dyDescent="0.25">
      <c r="A15" s="4">
        <v>12</v>
      </c>
      <c r="B15" s="2">
        <f>'12'!Q16</f>
        <v>20</v>
      </c>
      <c r="C15" s="2">
        <f>'12'!R16</f>
        <v>3</v>
      </c>
      <c r="D15" s="2">
        <f>'12'!S16</f>
        <v>2</v>
      </c>
      <c r="E15" s="2">
        <f>'12'!T16</f>
        <v>1</v>
      </c>
      <c r="F15" s="2">
        <f>'12'!U16</f>
        <v>0</v>
      </c>
      <c r="G15" s="5">
        <f>'12'!V16</f>
        <v>278</v>
      </c>
      <c r="H15" s="2">
        <f>'12'!W16</f>
        <v>25</v>
      </c>
      <c r="I15" s="5">
        <f>'12'!X16</f>
        <v>1657.59</v>
      </c>
    </row>
    <row r="16" spans="1:9" x14ac:dyDescent="0.25">
      <c r="A16" s="4">
        <v>13</v>
      </c>
      <c r="B16" s="2">
        <f>'13'!Q16</f>
        <v>12</v>
      </c>
      <c r="C16" s="2">
        <f>'13'!R16</f>
        <v>2</v>
      </c>
      <c r="D16" s="2">
        <f>'13'!S16</f>
        <v>1</v>
      </c>
      <c r="E16" s="2">
        <f>'13'!T16</f>
        <v>3</v>
      </c>
      <c r="F16" s="2">
        <f>'13'!U16</f>
        <v>1</v>
      </c>
      <c r="G16" s="5">
        <f>'13'!V16</f>
        <v>252</v>
      </c>
      <c r="H16" s="2">
        <f>'13'!W16</f>
        <v>17</v>
      </c>
      <c r="I16" s="5">
        <f>'13'!X16</f>
        <v>1012.2400000000001</v>
      </c>
    </row>
    <row r="17" spans="1:9" x14ac:dyDescent="0.25">
      <c r="A17" s="4">
        <v>14</v>
      </c>
      <c r="B17" s="2">
        <f>'14'!Q16</f>
        <v>12</v>
      </c>
      <c r="C17" s="2">
        <f>'14'!R16</f>
        <v>5</v>
      </c>
      <c r="D17" s="2">
        <f>'14'!S16</f>
        <v>1</v>
      </c>
      <c r="E17" s="2">
        <f>'14'!T16</f>
        <v>4</v>
      </c>
      <c r="F17" s="2">
        <f>'14'!U16</f>
        <v>1</v>
      </c>
      <c r="G17" s="5">
        <f>'14'!V16</f>
        <v>306</v>
      </c>
      <c r="H17" s="2">
        <f>'14'!W16</f>
        <v>24</v>
      </c>
      <c r="I17" s="5">
        <f>'14'!X16</f>
        <v>1000.9799999999999</v>
      </c>
    </row>
    <row r="18" spans="1:9" x14ac:dyDescent="0.25">
      <c r="A18" s="4">
        <v>15</v>
      </c>
      <c r="B18" s="2">
        <f>'15'!Q16</f>
        <v>10</v>
      </c>
      <c r="C18" s="2">
        <f>'15'!R16</f>
        <v>6</v>
      </c>
      <c r="D18" s="2">
        <f>'15'!S16</f>
        <v>2</v>
      </c>
      <c r="E18" s="2">
        <f>'15'!T16</f>
        <v>1</v>
      </c>
      <c r="F18" s="2">
        <f>'15'!U16</f>
        <v>3</v>
      </c>
      <c r="G18" s="5">
        <f>'15'!V16</f>
        <v>163</v>
      </c>
      <c r="H18" s="2">
        <f>'15'!W16</f>
        <v>22</v>
      </c>
      <c r="I18" s="5">
        <f>'15'!X16</f>
        <v>1132.2900000000002</v>
      </c>
    </row>
    <row r="19" spans="1:9" x14ac:dyDescent="0.25">
      <c r="A19" s="4">
        <v>16</v>
      </c>
      <c r="B19" s="2">
        <f>'16'!Q16</f>
        <v>13</v>
      </c>
      <c r="C19" s="2">
        <f>'16'!R16</f>
        <v>6</v>
      </c>
      <c r="D19" s="2">
        <f>'16'!S16</f>
        <v>1</v>
      </c>
      <c r="E19" s="2">
        <f>'16'!T16</f>
        <v>2</v>
      </c>
      <c r="F19" s="2">
        <f>'16'!U16</f>
        <v>1</v>
      </c>
      <c r="G19" s="5">
        <f>'16'!V16</f>
        <v>200</v>
      </c>
      <c r="H19" s="2">
        <f>'16'!W16</f>
        <v>19</v>
      </c>
      <c r="I19" s="5">
        <f>'16'!X16</f>
        <v>1295.19</v>
      </c>
    </row>
    <row r="20" spans="1:9" x14ac:dyDescent="0.25">
      <c r="A20" s="4">
        <v>17</v>
      </c>
      <c r="B20" s="2">
        <f>'17'!Q16</f>
        <v>14</v>
      </c>
      <c r="C20" s="2">
        <f>'17'!R16</f>
        <v>5</v>
      </c>
      <c r="D20" s="2">
        <f>'17'!S16</f>
        <v>4</v>
      </c>
      <c r="E20" s="2">
        <f>'17'!T16</f>
        <v>1</v>
      </c>
      <c r="F20" s="2">
        <f>'17'!U16</f>
        <v>1</v>
      </c>
      <c r="G20" s="5">
        <f>'17'!V16</f>
        <v>330</v>
      </c>
      <c r="H20" s="2">
        <f>'17'!W16</f>
        <v>26</v>
      </c>
      <c r="I20" s="5">
        <f>'17'!X16</f>
        <v>1092.6199999999999</v>
      </c>
    </row>
    <row r="21" spans="1:9" x14ac:dyDescent="0.25">
      <c r="A21" s="4">
        <v>18</v>
      </c>
      <c r="B21" s="2">
        <f>'18'!Q16</f>
        <v>10</v>
      </c>
      <c r="C21" s="2">
        <f>'18'!R16</f>
        <v>3</v>
      </c>
      <c r="D21" s="2">
        <f>'18'!S16</f>
        <v>1</v>
      </c>
      <c r="E21" s="2">
        <f>'18'!T16</f>
        <v>0</v>
      </c>
      <c r="F21" s="2">
        <f>'18'!U16</f>
        <v>2</v>
      </c>
      <c r="G21" s="5">
        <f>'18'!V16</f>
        <v>204</v>
      </c>
      <c r="H21" s="2">
        <f>'18'!W16</f>
        <v>17</v>
      </c>
      <c r="I21" s="5">
        <f>'18'!X16</f>
        <v>1379.17</v>
      </c>
    </row>
    <row r="22" spans="1:9" x14ac:dyDescent="0.25">
      <c r="A22" s="4">
        <v>19</v>
      </c>
      <c r="B22" s="2">
        <f>'19'!Q16</f>
        <v>17</v>
      </c>
      <c r="C22" s="2">
        <f>'19'!R16</f>
        <v>5</v>
      </c>
      <c r="D22" s="2">
        <f>'19'!S16</f>
        <v>1</v>
      </c>
      <c r="E22" s="2">
        <f>'19'!T16</f>
        <v>3</v>
      </c>
      <c r="F22" s="2">
        <f>'19'!U16</f>
        <v>1</v>
      </c>
      <c r="G22" s="5">
        <f>'19'!V16</f>
        <v>468</v>
      </c>
      <c r="H22" s="2">
        <f>'19'!W16</f>
        <v>28</v>
      </c>
      <c r="I22" s="5">
        <f>'19'!X16</f>
        <v>1502.49</v>
      </c>
    </row>
    <row r="23" spans="1:9" x14ac:dyDescent="0.25">
      <c r="A23" s="4">
        <v>20</v>
      </c>
      <c r="B23" s="2">
        <f>'20'!Q16</f>
        <v>20</v>
      </c>
      <c r="C23" s="2">
        <f>'20'!R16</f>
        <v>6</v>
      </c>
      <c r="D23" s="2">
        <f>'20'!S16</f>
        <v>2</v>
      </c>
      <c r="E23" s="2">
        <f>'20'!T16</f>
        <v>4</v>
      </c>
      <c r="F23" s="2">
        <f>'20'!U16</f>
        <v>3</v>
      </c>
      <c r="G23" s="5">
        <f>'20'!V16</f>
        <v>353</v>
      </c>
      <c r="H23" s="2">
        <f>'20'!W16</f>
        <v>27</v>
      </c>
      <c r="I23" s="5">
        <f>'20'!X16</f>
        <v>2489.15</v>
      </c>
    </row>
    <row r="24" spans="1:9" x14ac:dyDescent="0.25">
      <c r="A24" s="4">
        <v>21</v>
      </c>
      <c r="B24" s="2">
        <f>'21'!Q16</f>
        <v>14</v>
      </c>
      <c r="C24" s="2">
        <f>'21'!R16</f>
        <v>5</v>
      </c>
      <c r="D24" s="2">
        <f>'21'!S16</f>
        <v>2</v>
      </c>
      <c r="E24" s="2">
        <f>'21'!T16</f>
        <v>2</v>
      </c>
      <c r="F24" s="2">
        <f>'21'!U16</f>
        <v>1</v>
      </c>
      <c r="G24" s="5">
        <f>'21'!V16</f>
        <v>310</v>
      </c>
      <c r="H24" s="2">
        <f>'21'!W16</f>
        <v>27</v>
      </c>
      <c r="I24" s="5">
        <f>'21'!X16</f>
        <v>1197.69</v>
      </c>
    </row>
    <row r="25" spans="1:9" x14ac:dyDescent="0.25">
      <c r="A25" s="4">
        <v>22</v>
      </c>
      <c r="B25" s="2">
        <f>'22'!Q16</f>
        <v>12</v>
      </c>
      <c r="C25" s="2">
        <f>'22'!R16</f>
        <v>4</v>
      </c>
      <c r="D25" s="2">
        <f>'22'!S16</f>
        <v>2</v>
      </c>
      <c r="E25" s="2">
        <f>'22'!T16</f>
        <v>0</v>
      </c>
      <c r="F25" s="2">
        <f>'22'!U16</f>
        <v>0</v>
      </c>
      <c r="G25" s="5">
        <f>'22'!V16</f>
        <v>228</v>
      </c>
      <c r="H25" s="2">
        <f>'22'!W16</f>
        <v>19</v>
      </c>
      <c r="I25" s="5">
        <f>'22'!X16</f>
        <v>1489.97</v>
      </c>
    </row>
    <row r="26" spans="1:9" x14ac:dyDescent="0.25">
      <c r="A26" s="4">
        <v>23</v>
      </c>
      <c r="B26" s="2">
        <f>'23'!Q16</f>
        <v>15</v>
      </c>
      <c r="C26" s="2">
        <f>'23'!R16</f>
        <v>7</v>
      </c>
      <c r="D26" s="2">
        <f>'23'!S16</f>
        <v>0</v>
      </c>
      <c r="E26" s="2">
        <f>'23'!T16</f>
        <v>4</v>
      </c>
      <c r="F26" s="2">
        <f>'23'!U16</f>
        <v>0</v>
      </c>
      <c r="G26" s="5">
        <f>'23'!V16</f>
        <v>300</v>
      </c>
      <c r="H26" s="2">
        <f>'23'!W16</f>
        <v>29</v>
      </c>
      <c r="I26" s="5">
        <f>'23'!X16</f>
        <v>1301.9199999999998</v>
      </c>
    </row>
    <row r="27" spans="1:9" x14ac:dyDescent="0.25">
      <c r="A27" s="4">
        <v>24</v>
      </c>
      <c r="B27" s="2">
        <f>'24'!Q16</f>
        <v>17</v>
      </c>
      <c r="C27" s="2">
        <f>'24'!R16</f>
        <v>3</v>
      </c>
      <c r="D27" s="2">
        <f>'24'!S16</f>
        <v>2</v>
      </c>
      <c r="E27" s="2">
        <f>'24'!T16</f>
        <v>2</v>
      </c>
      <c r="F27" s="2">
        <f>'24'!U16</f>
        <v>1</v>
      </c>
      <c r="G27" s="5">
        <f>'24'!V16</f>
        <v>314</v>
      </c>
      <c r="H27" s="2">
        <f>'24'!W16</f>
        <v>24</v>
      </c>
      <c r="I27" s="5">
        <f>'24'!X16</f>
        <v>2112.1200000000003</v>
      </c>
    </row>
    <row r="28" spans="1:9" x14ac:dyDescent="0.25">
      <c r="A28" s="4">
        <v>25</v>
      </c>
      <c r="B28" s="2">
        <f>'25'!Q16</f>
        <v>18</v>
      </c>
      <c r="C28" s="2">
        <f>'25'!R16</f>
        <v>1</v>
      </c>
      <c r="D28" s="2">
        <f>'25'!S16</f>
        <v>0</v>
      </c>
      <c r="E28" s="2">
        <f>'25'!T16</f>
        <v>0</v>
      </c>
      <c r="F28" s="2">
        <f>'25'!U16</f>
        <v>2</v>
      </c>
      <c r="G28" s="5">
        <f>'25'!V16</f>
        <v>338</v>
      </c>
      <c r="H28" s="2">
        <f>'25'!W16</f>
        <v>24</v>
      </c>
      <c r="I28" s="5">
        <f>'25'!X16</f>
        <v>1024.05</v>
      </c>
    </row>
    <row r="29" spans="1:9" x14ac:dyDescent="0.25">
      <c r="A29" s="4">
        <v>26</v>
      </c>
      <c r="B29" s="2">
        <f>'26'!Q16</f>
        <v>18</v>
      </c>
      <c r="C29" s="2">
        <f>'26'!R16</f>
        <v>4</v>
      </c>
      <c r="D29" s="2">
        <f>'26'!S16</f>
        <v>2</v>
      </c>
      <c r="E29" s="2">
        <f>'26'!T16</f>
        <v>2</v>
      </c>
      <c r="F29" s="2">
        <f>'26'!U16</f>
        <v>0</v>
      </c>
      <c r="G29" s="5">
        <f>'26'!V16</f>
        <v>341</v>
      </c>
      <c r="H29" s="2">
        <f>'26'!W16</f>
        <v>26</v>
      </c>
      <c r="I29" s="5">
        <f>'26'!X16</f>
        <v>1052.8699999999999</v>
      </c>
    </row>
    <row r="30" spans="1:9" x14ac:dyDescent="0.25">
      <c r="A30" s="4">
        <v>27</v>
      </c>
      <c r="B30" s="2">
        <f>'27'!Q16</f>
        <v>19</v>
      </c>
      <c r="C30" s="2">
        <f>'27'!R16</f>
        <v>2</v>
      </c>
      <c r="D30" s="2">
        <f>'27'!S16</f>
        <v>1</v>
      </c>
      <c r="E30" s="2">
        <f>'27'!T16</f>
        <v>4</v>
      </c>
      <c r="F30" s="2">
        <f>'27'!U16</f>
        <v>2</v>
      </c>
      <c r="G30" s="5">
        <f>'27'!V16</f>
        <v>373</v>
      </c>
      <c r="H30" s="2">
        <f>'27'!W16</f>
        <v>25</v>
      </c>
      <c r="I30" s="5">
        <f>'27'!X16</f>
        <v>1390.3600000000001</v>
      </c>
    </row>
    <row r="31" spans="1:9" x14ac:dyDescent="0.25">
      <c r="A31" s="4">
        <v>28</v>
      </c>
      <c r="B31" s="2">
        <f>'28'!Q16</f>
        <v>14</v>
      </c>
      <c r="C31" s="2">
        <f>'28'!R16</f>
        <v>6</v>
      </c>
      <c r="D31" s="2">
        <f>'28'!S16</f>
        <v>0</v>
      </c>
      <c r="E31" s="2">
        <f>'28'!T16</f>
        <v>0</v>
      </c>
      <c r="F31" s="2">
        <f>'28'!U16</f>
        <v>1</v>
      </c>
      <c r="G31" s="5">
        <f>'28'!V16</f>
        <v>168</v>
      </c>
      <c r="H31" s="2">
        <f>'28'!W16</f>
        <v>21</v>
      </c>
      <c r="I31" s="5">
        <f>'28'!X16</f>
        <v>1491.08</v>
      </c>
    </row>
    <row r="32" spans="1:9" x14ac:dyDescent="0.25">
      <c r="A32" s="4">
        <v>29</v>
      </c>
      <c r="B32" s="2">
        <f>'29'!Q16</f>
        <v>20</v>
      </c>
      <c r="C32" s="2">
        <f>'29'!R16</f>
        <v>3</v>
      </c>
      <c r="D32" s="2">
        <f>'29'!S16</f>
        <v>2</v>
      </c>
      <c r="E32" s="2">
        <f>'29'!T16</f>
        <v>3</v>
      </c>
      <c r="F32" s="2">
        <f>'29'!U16</f>
        <v>0</v>
      </c>
      <c r="G32" s="5">
        <f>'29'!V16</f>
        <v>253</v>
      </c>
      <c r="H32" s="2">
        <f>'29'!W16</f>
        <v>25</v>
      </c>
      <c r="I32" s="5">
        <f>'29'!X16</f>
        <v>1258.8800000000001</v>
      </c>
    </row>
    <row r="33" spans="1:9" x14ac:dyDescent="0.25">
      <c r="A33" s="4">
        <v>30</v>
      </c>
      <c r="B33" s="2">
        <f>'30'!Q16</f>
        <v>16</v>
      </c>
      <c r="C33" s="2">
        <f>'30'!R16</f>
        <v>9</v>
      </c>
      <c r="D33" s="2">
        <f>'30'!S16</f>
        <v>1</v>
      </c>
      <c r="E33" s="2">
        <f>'30'!T16</f>
        <v>2</v>
      </c>
      <c r="F33" s="2">
        <f>'30'!U16</f>
        <v>1</v>
      </c>
      <c r="G33" s="5">
        <f>'30'!V16</f>
        <v>270</v>
      </c>
      <c r="H33" s="2">
        <f>'30'!W16</f>
        <v>28</v>
      </c>
      <c r="I33" s="5">
        <f>'30'!X16</f>
        <v>1601.16</v>
      </c>
    </row>
    <row r="34" spans="1:9" x14ac:dyDescent="0.25">
      <c r="A34" s="4">
        <v>31</v>
      </c>
      <c r="B34" s="2">
        <f>'31'!Q16</f>
        <v>16</v>
      </c>
      <c r="C34" s="2">
        <f>'31'!R16</f>
        <v>5</v>
      </c>
      <c r="D34" s="2">
        <f>'31'!S16</f>
        <v>1</v>
      </c>
      <c r="E34" s="2">
        <f>'31'!T16</f>
        <v>3</v>
      </c>
      <c r="F34" s="2">
        <f>'31'!U16</f>
        <v>1</v>
      </c>
      <c r="G34" s="5">
        <f>'31'!V16</f>
        <v>336</v>
      </c>
      <c r="H34" s="2">
        <f>'31'!W16</f>
        <v>29</v>
      </c>
      <c r="I34" s="5">
        <f>'31'!X16</f>
        <v>1367.42</v>
      </c>
    </row>
  </sheetData>
  <mergeCells count="1">
    <mergeCell ref="A1:I1"/>
  </mergeCells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tabSelected="1" workbookViewId="0">
      <selection sqref="A1:E1"/>
    </sheetView>
  </sheetViews>
  <sheetFormatPr defaultRowHeight="15" x14ac:dyDescent="0.25"/>
  <cols>
    <col min="1" max="5" width="14" customWidth="1"/>
  </cols>
  <sheetData>
    <row r="1" spans="1:5" ht="24" customHeight="1" x14ac:dyDescent="0.25">
      <c r="A1" s="15" t="s">
        <v>24</v>
      </c>
      <c r="B1" s="16"/>
      <c r="C1" s="16"/>
      <c r="D1" s="16"/>
      <c r="E1" s="16"/>
    </row>
    <row r="3" spans="1:5" x14ac:dyDescent="0.25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</row>
    <row r="4" spans="1:5" x14ac:dyDescent="0.25">
      <c r="A4" s="4" t="s">
        <v>15</v>
      </c>
      <c r="B4" s="2">
        <f>SUM('1:31'!Q16)</f>
        <v>463</v>
      </c>
      <c r="C4" s="2">
        <f>Setup!$F$4</f>
        <v>440</v>
      </c>
      <c r="D4" s="6">
        <f t="shared" ref="D4:D11" si="0">IFERROR(B4/C4,0)</f>
        <v>1.0522727272727272</v>
      </c>
      <c r="E4" s="2">
        <f t="shared" ref="E4:E11" si="1">B4-C4</f>
        <v>23</v>
      </c>
    </row>
    <row r="5" spans="1:5" x14ac:dyDescent="0.25">
      <c r="A5" s="4" t="s">
        <v>16</v>
      </c>
      <c r="B5" s="2">
        <f>SUM('1:31'!R16)</f>
        <v>137</v>
      </c>
      <c r="C5" s="2">
        <f>Setup!$F$5</f>
        <v>140</v>
      </c>
      <c r="D5" s="6">
        <f t="shared" si="0"/>
        <v>0.97857142857142854</v>
      </c>
      <c r="E5" s="2">
        <f t="shared" si="1"/>
        <v>-3</v>
      </c>
    </row>
    <row r="6" spans="1:5" x14ac:dyDescent="0.25">
      <c r="A6" s="4" t="s">
        <v>20</v>
      </c>
      <c r="B6" s="2">
        <f>SUM('1:31'!S16)</f>
        <v>41</v>
      </c>
      <c r="C6" s="2">
        <f>Setup!$F$6</f>
        <v>40</v>
      </c>
      <c r="D6" s="6">
        <f t="shared" si="0"/>
        <v>1.0249999999999999</v>
      </c>
      <c r="E6" s="2">
        <f t="shared" si="1"/>
        <v>1</v>
      </c>
    </row>
    <row r="7" spans="1:5" x14ac:dyDescent="0.25">
      <c r="A7" s="4" t="s">
        <v>8</v>
      </c>
      <c r="B7" s="2">
        <f>SUM('1:31'!T16)</f>
        <v>57</v>
      </c>
      <c r="C7" s="2">
        <f>Setup!$F$7</f>
        <v>60</v>
      </c>
      <c r="D7" s="6">
        <f t="shared" si="0"/>
        <v>0.95</v>
      </c>
      <c r="E7" s="2">
        <f t="shared" si="1"/>
        <v>-3</v>
      </c>
    </row>
    <row r="8" spans="1:5" x14ac:dyDescent="0.25">
      <c r="A8" s="4" t="s">
        <v>21</v>
      </c>
      <c r="B8" s="2">
        <f>SUM('1:31'!U16)</f>
        <v>38</v>
      </c>
      <c r="C8" s="2">
        <f>Setup!$F$8</f>
        <v>35</v>
      </c>
      <c r="D8" s="6">
        <f t="shared" si="0"/>
        <v>1.0857142857142856</v>
      </c>
      <c r="E8" s="2">
        <f t="shared" si="1"/>
        <v>3</v>
      </c>
    </row>
    <row r="9" spans="1:5" x14ac:dyDescent="0.25">
      <c r="A9" s="4" t="s">
        <v>22</v>
      </c>
      <c r="B9" s="5">
        <f>SUM('1:31'!V16)</f>
        <v>8749</v>
      </c>
      <c r="C9" s="5">
        <f>Setup!$F$9</f>
        <v>8600</v>
      </c>
      <c r="D9" s="6">
        <f t="shared" si="0"/>
        <v>1.0173255813953488</v>
      </c>
      <c r="E9" s="5">
        <f t="shared" si="1"/>
        <v>149</v>
      </c>
    </row>
    <row r="10" spans="1:5" x14ac:dyDescent="0.25">
      <c r="A10" s="4" t="s">
        <v>23</v>
      </c>
      <c r="B10" s="2">
        <f>SUM('1:31'!W16)</f>
        <v>729</v>
      </c>
      <c r="C10" s="2">
        <f>Setup!$F$10</f>
        <v>690</v>
      </c>
      <c r="D10" s="6">
        <f t="shared" si="0"/>
        <v>1.0565217391304347</v>
      </c>
      <c r="E10" s="2">
        <f t="shared" si="1"/>
        <v>39</v>
      </c>
    </row>
    <row r="11" spans="1:5" x14ac:dyDescent="0.25">
      <c r="A11" s="4" t="s">
        <v>18</v>
      </c>
      <c r="B11" s="5">
        <f>SUM('1:31'!X16)</f>
        <v>42786.140000000014</v>
      </c>
      <c r="C11" s="5">
        <f>Setup!$F$11</f>
        <v>43700</v>
      </c>
      <c r="D11" s="6">
        <f t="shared" si="0"/>
        <v>0.97908787185354718</v>
      </c>
      <c r="E11" s="5">
        <f t="shared" si="1"/>
        <v>-913.85999999998603</v>
      </c>
    </row>
  </sheetData>
  <mergeCells count="1">
    <mergeCell ref="A1:E1"/>
  </mergeCells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showGridLines="0" workbookViewId="0"/>
  </sheetViews>
  <sheetFormatPr defaultRowHeight="15" x14ac:dyDescent="0.25"/>
  <cols>
    <col min="1" max="1" width="18" customWidth="1"/>
    <col min="3" max="3" width="24" customWidth="1"/>
    <col min="5" max="6" width="14" customWidth="1"/>
  </cols>
  <sheetData>
    <row r="1" spans="1:6" ht="24" customHeight="1" x14ac:dyDescent="0.25">
      <c r="A1" s="15" t="s">
        <v>30</v>
      </c>
      <c r="B1" s="16"/>
      <c r="C1" s="16"/>
      <c r="D1" s="16"/>
      <c r="E1" s="16"/>
      <c r="F1" s="16"/>
    </row>
    <row r="3" spans="1:6" x14ac:dyDescent="0.25">
      <c r="A3" s="3" t="s">
        <v>31</v>
      </c>
      <c r="C3" s="3" t="s">
        <v>32</v>
      </c>
      <c r="E3" s="3" t="s">
        <v>25</v>
      </c>
      <c r="F3" s="3" t="s">
        <v>27</v>
      </c>
    </row>
    <row r="4" spans="1:6" x14ac:dyDescent="0.25">
      <c r="A4" s="2" t="s">
        <v>33</v>
      </c>
      <c r="C4" s="2" t="s">
        <v>34</v>
      </c>
      <c r="E4" s="2" t="s">
        <v>15</v>
      </c>
      <c r="F4" s="2">
        <v>440</v>
      </c>
    </row>
    <row r="5" spans="1:6" x14ac:dyDescent="0.25">
      <c r="A5" s="2" t="s">
        <v>35</v>
      </c>
      <c r="C5" s="2" t="s">
        <v>36</v>
      </c>
      <c r="E5" s="2" t="s">
        <v>16</v>
      </c>
      <c r="F5" s="2">
        <v>140</v>
      </c>
    </row>
    <row r="6" spans="1:6" x14ac:dyDescent="0.25">
      <c r="A6" s="2" t="s">
        <v>37</v>
      </c>
      <c r="C6" s="2" t="s">
        <v>38</v>
      </c>
      <c r="E6" s="2" t="s">
        <v>20</v>
      </c>
      <c r="F6" s="2">
        <v>40</v>
      </c>
    </row>
    <row r="7" spans="1:6" x14ac:dyDescent="0.25">
      <c r="A7" s="2" t="s">
        <v>39</v>
      </c>
      <c r="C7" s="2" t="s">
        <v>40</v>
      </c>
      <c r="E7" s="2" t="s">
        <v>8</v>
      </c>
      <c r="F7" s="2">
        <v>60</v>
      </c>
    </row>
    <row r="8" spans="1:6" x14ac:dyDescent="0.25">
      <c r="A8" s="2" t="s">
        <v>41</v>
      </c>
      <c r="C8" s="2" t="s">
        <v>42</v>
      </c>
      <c r="E8" s="2" t="s">
        <v>21</v>
      </c>
      <c r="F8" s="2">
        <v>35</v>
      </c>
    </row>
    <row r="9" spans="1:6" x14ac:dyDescent="0.25">
      <c r="A9" s="2" t="s">
        <v>43</v>
      </c>
      <c r="C9" s="2" t="s">
        <v>44</v>
      </c>
      <c r="E9" s="2" t="s">
        <v>22</v>
      </c>
      <c r="F9" s="5">
        <v>8600</v>
      </c>
    </row>
    <row r="10" spans="1:6" x14ac:dyDescent="0.25">
      <c r="A10" s="2" t="s">
        <v>45</v>
      </c>
      <c r="C10" s="2" t="s">
        <v>46</v>
      </c>
      <c r="E10" s="2" t="s">
        <v>23</v>
      </c>
      <c r="F10" s="2">
        <v>690</v>
      </c>
    </row>
    <row r="11" spans="1:6" x14ac:dyDescent="0.25">
      <c r="A11" s="2" t="s">
        <v>47</v>
      </c>
      <c r="C11" s="2" t="s">
        <v>48</v>
      </c>
      <c r="E11" s="2" t="s">
        <v>18</v>
      </c>
      <c r="F11" s="5">
        <v>43700</v>
      </c>
    </row>
    <row r="12" spans="1:6" x14ac:dyDescent="0.25">
      <c r="A12" s="2" t="s">
        <v>49</v>
      </c>
      <c r="C12" s="2" t="s">
        <v>50</v>
      </c>
    </row>
    <row r="13" spans="1:6" x14ac:dyDescent="0.25">
      <c r="A13" s="2" t="s">
        <v>51</v>
      </c>
      <c r="C13" s="2" t="s">
        <v>52</v>
      </c>
    </row>
    <row r="14" spans="1:6" x14ac:dyDescent="0.25">
      <c r="A14" s="2" t="s">
        <v>53</v>
      </c>
      <c r="C14" s="2" t="s">
        <v>54</v>
      </c>
    </row>
    <row r="15" spans="1:6" x14ac:dyDescent="0.25">
      <c r="A15" s="2" t="s">
        <v>55</v>
      </c>
      <c r="C15" s="2" t="s">
        <v>56</v>
      </c>
    </row>
    <row r="16" spans="1:6" x14ac:dyDescent="0.25">
      <c r="C16" s="2" t="s">
        <v>57</v>
      </c>
    </row>
    <row r="17" spans="1:3" x14ac:dyDescent="0.25">
      <c r="C17" s="2" t="s">
        <v>58</v>
      </c>
    </row>
    <row r="18" spans="1:3" x14ac:dyDescent="0.25">
      <c r="A18" s="7" t="s">
        <v>59</v>
      </c>
      <c r="C18" s="2" t="s">
        <v>60</v>
      </c>
    </row>
    <row r="19" spans="1:3" x14ac:dyDescent="0.25">
      <c r="C19" s="2" t="s">
        <v>61</v>
      </c>
    </row>
    <row r="20" spans="1:3" x14ac:dyDescent="0.25">
      <c r="C20" s="2" t="s">
        <v>62</v>
      </c>
    </row>
    <row r="21" spans="1:3" x14ac:dyDescent="0.25">
      <c r="C21" s="2" t="s">
        <v>63</v>
      </c>
    </row>
    <row r="22" spans="1:3" x14ac:dyDescent="0.25">
      <c r="C22" s="2" t="s">
        <v>64</v>
      </c>
    </row>
    <row r="23" spans="1:3" x14ac:dyDescent="0.25">
      <c r="C23" s="2" t="s">
        <v>65</v>
      </c>
    </row>
    <row r="24" spans="1:3" x14ac:dyDescent="0.25">
      <c r="C24" s="2" t="s">
        <v>66</v>
      </c>
    </row>
    <row r="25" spans="1:3" x14ac:dyDescent="0.25">
      <c r="C25" s="2" t="s">
        <v>67</v>
      </c>
    </row>
    <row r="26" spans="1:3" x14ac:dyDescent="0.25">
      <c r="C26" s="2" t="s">
        <v>68</v>
      </c>
    </row>
    <row r="27" spans="1:3" x14ac:dyDescent="0.25">
      <c r="C27" s="2" t="s">
        <v>69</v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>
      <pane ySplit="3" topLeftCell="A4" activePane="bottomLeft" state="frozen"/>
      <selection pane="bottomLeft" sqref="A1:M1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70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41</v>
      </c>
      <c r="B4" s="2" t="s">
        <v>76</v>
      </c>
      <c r="C4" s="2" t="s">
        <v>77</v>
      </c>
      <c r="D4" s="2" t="s">
        <v>66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8">
        <v>16</v>
      </c>
      <c r="K4" s="2">
        <v>0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33</v>
      </c>
      <c r="W4" s="2">
        <f t="shared" ref="W4:W15" si="6">SUMIF($A$4:$A$43,$P4,K$4:K$43)</f>
        <v>1</v>
      </c>
      <c r="X4" s="8">
        <f t="shared" ref="X4:X15" si="7">SUMIF($A$4:$A$43,$P4,L$4:L$43)</f>
        <v>0</v>
      </c>
    </row>
    <row r="5" spans="1:24" x14ac:dyDescent="0.25">
      <c r="A5" s="2" t="s">
        <v>51</v>
      </c>
      <c r="B5" s="2" t="s">
        <v>79</v>
      </c>
      <c r="C5" s="2" t="s">
        <v>80</v>
      </c>
      <c r="D5" s="2" t="s">
        <v>57</v>
      </c>
      <c r="E5" s="2">
        <v>0</v>
      </c>
      <c r="F5" s="2">
        <v>0</v>
      </c>
      <c r="G5" s="2">
        <v>0</v>
      </c>
      <c r="H5" s="2">
        <v>1</v>
      </c>
      <c r="I5" s="2">
        <v>0</v>
      </c>
      <c r="J5" s="8">
        <v>24</v>
      </c>
      <c r="K5" s="2">
        <v>1</v>
      </c>
      <c r="L5" s="8">
        <v>177.42</v>
      </c>
      <c r="M5" s="2" t="s">
        <v>78</v>
      </c>
      <c r="P5" s="2" t="str">
        <f>Setup!$A$5</f>
        <v>Expert 02</v>
      </c>
      <c r="Q5" s="2">
        <f t="shared" si="0"/>
        <v>0</v>
      </c>
      <c r="R5" s="2">
        <f t="shared" si="1"/>
        <v>1</v>
      </c>
      <c r="S5" s="2">
        <f t="shared" si="2"/>
        <v>0</v>
      </c>
      <c r="T5" s="2">
        <f t="shared" si="3"/>
        <v>0</v>
      </c>
      <c r="U5" s="2">
        <f t="shared" si="4"/>
        <v>1</v>
      </c>
      <c r="V5" s="8">
        <f t="shared" si="5"/>
        <v>49</v>
      </c>
      <c r="W5" s="2">
        <f t="shared" si="6"/>
        <v>2</v>
      </c>
      <c r="X5" s="8">
        <f t="shared" si="7"/>
        <v>140.6</v>
      </c>
    </row>
    <row r="6" spans="1:24" x14ac:dyDescent="0.25">
      <c r="A6" s="2" t="s">
        <v>47</v>
      </c>
      <c r="B6" s="2" t="s">
        <v>81</v>
      </c>
      <c r="C6" s="2" t="s">
        <v>82</v>
      </c>
      <c r="D6" s="2" t="s">
        <v>48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8">
        <v>33</v>
      </c>
      <c r="K6" s="2">
        <v>1</v>
      </c>
      <c r="L6" s="8">
        <v>109.62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1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15</v>
      </c>
      <c r="W6" s="2">
        <f t="shared" si="6"/>
        <v>1</v>
      </c>
      <c r="X6" s="8">
        <f t="shared" si="7"/>
        <v>0</v>
      </c>
    </row>
    <row r="7" spans="1:24" x14ac:dyDescent="0.25">
      <c r="A7" s="2" t="s">
        <v>55</v>
      </c>
      <c r="B7" s="2" t="s">
        <v>83</v>
      </c>
      <c r="C7" s="2" t="s">
        <v>84</v>
      </c>
      <c r="D7" s="2" t="s">
        <v>36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8">
        <v>18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0</v>
      </c>
      <c r="W7" s="2">
        <f t="shared" si="6"/>
        <v>0</v>
      </c>
      <c r="X7" s="8">
        <f t="shared" si="7"/>
        <v>0</v>
      </c>
    </row>
    <row r="8" spans="1:24" x14ac:dyDescent="0.25">
      <c r="A8" s="2" t="s">
        <v>49</v>
      </c>
      <c r="B8" s="2" t="s">
        <v>85</v>
      </c>
      <c r="C8" s="2" t="s">
        <v>86</v>
      </c>
      <c r="D8" s="2" t="s">
        <v>66</v>
      </c>
      <c r="E8" s="2">
        <v>0</v>
      </c>
      <c r="F8" s="2">
        <v>0</v>
      </c>
      <c r="G8" s="2">
        <v>0</v>
      </c>
      <c r="H8" s="2">
        <v>0</v>
      </c>
      <c r="I8" s="2">
        <v>1</v>
      </c>
      <c r="J8" s="8">
        <v>18</v>
      </c>
      <c r="K8" s="2">
        <v>0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1</v>
      </c>
      <c r="S8" s="2">
        <f t="shared" si="2"/>
        <v>0</v>
      </c>
      <c r="T8" s="2">
        <f t="shared" si="3"/>
        <v>0</v>
      </c>
      <c r="U8" s="2">
        <f t="shared" si="4"/>
        <v>2</v>
      </c>
      <c r="V8" s="8">
        <f t="shared" si="5"/>
        <v>47</v>
      </c>
      <c r="W8" s="2">
        <f t="shared" si="6"/>
        <v>2</v>
      </c>
      <c r="X8" s="8">
        <f t="shared" si="7"/>
        <v>142.6</v>
      </c>
    </row>
    <row r="9" spans="1:24" x14ac:dyDescent="0.25">
      <c r="A9" s="2" t="s">
        <v>53</v>
      </c>
      <c r="B9" s="2" t="s">
        <v>87</v>
      </c>
      <c r="C9" s="2" t="s">
        <v>88</v>
      </c>
      <c r="D9" s="2" t="s">
        <v>69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0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0</v>
      </c>
    </row>
    <row r="10" spans="1:24" x14ac:dyDescent="0.25">
      <c r="A10" s="2" t="s">
        <v>35</v>
      </c>
      <c r="B10" s="2" t="s">
        <v>89</v>
      </c>
      <c r="C10" s="2" t="s">
        <v>90</v>
      </c>
      <c r="D10" s="2" t="s">
        <v>57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140.6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24</v>
      </c>
      <c r="W10" s="2">
        <f t="shared" si="6"/>
        <v>1</v>
      </c>
      <c r="X10" s="8">
        <f t="shared" si="7"/>
        <v>159.35</v>
      </c>
    </row>
    <row r="11" spans="1:24" x14ac:dyDescent="0.25">
      <c r="A11" s="2" t="s">
        <v>55</v>
      </c>
      <c r="B11" s="2" t="s">
        <v>91</v>
      </c>
      <c r="C11" s="2" t="s">
        <v>92</v>
      </c>
      <c r="D11" s="2" t="s">
        <v>63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2</v>
      </c>
      <c r="R11" s="2">
        <f t="shared" si="1"/>
        <v>1</v>
      </c>
      <c r="S11" s="2">
        <f t="shared" si="2"/>
        <v>1</v>
      </c>
      <c r="T11" s="2">
        <f t="shared" si="3"/>
        <v>0</v>
      </c>
      <c r="U11" s="2">
        <f t="shared" si="4"/>
        <v>0</v>
      </c>
      <c r="V11" s="8">
        <f t="shared" si="5"/>
        <v>57</v>
      </c>
      <c r="W11" s="2">
        <f t="shared" si="6"/>
        <v>5</v>
      </c>
      <c r="X11" s="8">
        <f t="shared" si="7"/>
        <v>241.45000000000002</v>
      </c>
    </row>
    <row r="12" spans="1:24" x14ac:dyDescent="0.25">
      <c r="A12" s="2" t="s">
        <v>53</v>
      </c>
      <c r="B12" s="2" t="s">
        <v>93</v>
      </c>
      <c r="C12" s="2" t="s">
        <v>94</v>
      </c>
      <c r="D12" s="2" t="s">
        <v>57</v>
      </c>
      <c r="E12" s="2">
        <v>0</v>
      </c>
      <c r="F12" s="2">
        <v>0</v>
      </c>
      <c r="G12" s="2">
        <v>0</v>
      </c>
      <c r="H12" s="2">
        <v>1</v>
      </c>
      <c r="I12" s="2">
        <v>0</v>
      </c>
      <c r="J12" s="8">
        <v>33</v>
      </c>
      <c r="K12" s="2">
        <v>1</v>
      </c>
      <c r="L12" s="8">
        <v>70.11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1</v>
      </c>
      <c r="V12" s="8">
        <f t="shared" si="5"/>
        <v>51</v>
      </c>
      <c r="W12" s="2">
        <f t="shared" si="6"/>
        <v>1</v>
      </c>
      <c r="X12" s="8">
        <f t="shared" si="7"/>
        <v>0</v>
      </c>
    </row>
    <row r="13" spans="1:24" x14ac:dyDescent="0.25">
      <c r="A13" s="2" t="s">
        <v>55</v>
      </c>
      <c r="B13" s="2" t="s">
        <v>95</v>
      </c>
      <c r="C13" s="2" t="s">
        <v>96</v>
      </c>
      <c r="D13" s="2" t="s">
        <v>52</v>
      </c>
      <c r="E13" s="2">
        <v>1</v>
      </c>
      <c r="F13" s="2">
        <v>0</v>
      </c>
      <c r="G13" s="2">
        <v>0</v>
      </c>
      <c r="H13" s="2">
        <v>1</v>
      </c>
      <c r="I13" s="2">
        <v>0</v>
      </c>
      <c r="J13" s="8">
        <v>0</v>
      </c>
      <c r="K13" s="2">
        <v>1</v>
      </c>
      <c r="L13" s="8">
        <v>39.479999999999997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1</v>
      </c>
      <c r="S13" s="2">
        <f t="shared" si="2"/>
        <v>0</v>
      </c>
      <c r="T13" s="2">
        <f t="shared" si="3"/>
        <v>1</v>
      </c>
      <c r="U13" s="2">
        <f t="shared" si="4"/>
        <v>0</v>
      </c>
      <c r="V13" s="8">
        <f t="shared" si="5"/>
        <v>57</v>
      </c>
      <c r="W13" s="2">
        <f t="shared" si="6"/>
        <v>3</v>
      </c>
      <c r="X13" s="8">
        <f t="shared" si="7"/>
        <v>186.20999999999998</v>
      </c>
    </row>
    <row r="14" spans="1:24" x14ac:dyDescent="0.25">
      <c r="A14" s="2" t="s">
        <v>47</v>
      </c>
      <c r="B14" s="2" t="s">
        <v>97</v>
      </c>
      <c r="C14" s="2" t="s">
        <v>98</v>
      </c>
      <c r="D14" s="2" t="s">
        <v>50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131.83000000000001</v>
      </c>
      <c r="M14" s="2" t="s">
        <v>78</v>
      </c>
      <c r="P14" s="2" t="str">
        <f>Setup!$A$14</f>
        <v>Expert 11</v>
      </c>
      <c r="Q14" s="2">
        <f t="shared" si="0"/>
        <v>0</v>
      </c>
      <c r="R14" s="2">
        <f t="shared" si="1"/>
        <v>0</v>
      </c>
      <c r="S14" s="2">
        <f t="shared" si="2"/>
        <v>0</v>
      </c>
      <c r="T14" s="2">
        <f t="shared" si="3"/>
        <v>1</v>
      </c>
      <c r="U14" s="2">
        <f t="shared" si="4"/>
        <v>0</v>
      </c>
      <c r="V14" s="8">
        <f t="shared" si="5"/>
        <v>33</v>
      </c>
      <c r="W14" s="2">
        <f t="shared" si="6"/>
        <v>1</v>
      </c>
      <c r="X14" s="8">
        <f t="shared" si="7"/>
        <v>70.11</v>
      </c>
    </row>
    <row r="15" spans="1:24" x14ac:dyDescent="0.25">
      <c r="A15" s="2" t="s">
        <v>35</v>
      </c>
      <c r="B15" s="2" t="s">
        <v>99</v>
      </c>
      <c r="C15" s="2" t="s">
        <v>100</v>
      </c>
      <c r="D15" s="2" t="s">
        <v>38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33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1</v>
      </c>
      <c r="S15" s="2">
        <f t="shared" si="2"/>
        <v>1</v>
      </c>
      <c r="T15" s="2">
        <f t="shared" si="3"/>
        <v>1</v>
      </c>
      <c r="U15" s="2">
        <f t="shared" si="4"/>
        <v>0</v>
      </c>
      <c r="V15" s="8">
        <f t="shared" si="5"/>
        <v>18</v>
      </c>
      <c r="W15" s="2">
        <f t="shared" si="6"/>
        <v>4</v>
      </c>
      <c r="X15" s="8">
        <f t="shared" si="7"/>
        <v>39.479999999999997</v>
      </c>
    </row>
    <row r="16" spans="1:24" x14ac:dyDescent="0.25">
      <c r="A16" s="2" t="s">
        <v>41</v>
      </c>
      <c r="B16" s="2" t="s">
        <v>101</v>
      </c>
      <c r="C16" s="2" t="s">
        <v>102</v>
      </c>
      <c r="D16" s="2" t="s">
        <v>34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16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10</v>
      </c>
      <c r="R16" s="10">
        <f t="shared" si="8"/>
        <v>6</v>
      </c>
      <c r="S16" s="10">
        <f t="shared" si="8"/>
        <v>2</v>
      </c>
      <c r="T16" s="10">
        <f t="shared" si="8"/>
        <v>3</v>
      </c>
      <c r="U16" s="10">
        <f t="shared" si="8"/>
        <v>4</v>
      </c>
      <c r="V16" s="11">
        <f t="shared" si="8"/>
        <v>384</v>
      </c>
      <c r="W16" s="10">
        <f t="shared" si="8"/>
        <v>21</v>
      </c>
      <c r="X16" s="11">
        <f t="shared" si="8"/>
        <v>979.80000000000007</v>
      </c>
    </row>
    <row r="17" spans="1:13" x14ac:dyDescent="0.25">
      <c r="A17" s="2" t="s">
        <v>49</v>
      </c>
      <c r="B17" s="2" t="s">
        <v>104</v>
      </c>
      <c r="C17" s="2" t="s">
        <v>105</v>
      </c>
      <c r="D17" s="2" t="s">
        <v>36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33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51</v>
      </c>
      <c r="B18" s="2" t="s">
        <v>106</v>
      </c>
      <c r="C18" s="2" t="s">
        <v>107</v>
      </c>
      <c r="D18" s="2" t="s">
        <v>50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8.7899999999999991</v>
      </c>
      <c r="M18" s="2" t="s">
        <v>78</v>
      </c>
    </row>
    <row r="19" spans="1:13" x14ac:dyDescent="0.25">
      <c r="A19" s="2" t="s">
        <v>41</v>
      </c>
      <c r="B19" s="2" t="s">
        <v>108</v>
      </c>
      <c r="C19" s="2" t="s">
        <v>109</v>
      </c>
      <c r="D19" s="2" t="s">
        <v>66</v>
      </c>
      <c r="E19" s="2">
        <v>0</v>
      </c>
      <c r="F19" s="2">
        <v>1</v>
      </c>
      <c r="G19" s="2">
        <v>0</v>
      </c>
      <c r="H19" s="2">
        <v>0</v>
      </c>
      <c r="I19" s="2">
        <v>1</v>
      </c>
      <c r="J19" s="8">
        <v>15</v>
      </c>
      <c r="K19" s="2">
        <v>0</v>
      </c>
      <c r="L19" s="8">
        <v>142.6</v>
      </c>
      <c r="M19" s="2" t="s">
        <v>78</v>
      </c>
    </row>
    <row r="20" spans="1:13" x14ac:dyDescent="0.25">
      <c r="A20" s="2" t="s">
        <v>47</v>
      </c>
      <c r="B20" s="2" t="s">
        <v>110</v>
      </c>
      <c r="C20" s="2" t="s">
        <v>111</v>
      </c>
      <c r="D20" s="2" t="s">
        <v>67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0</v>
      </c>
      <c r="L20" s="8">
        <v>0</v>
      </c>
      <c r="M20" s="2" t="s">
        <v>78</v>
      </c>
    </row>
    <row r="21" spans="1:13" x14ac:dyDescent="0.25">
      <c r="A21" s="2" t="s">
        <v>33</v>
      </c>
      <c r="B21" s="2" t="s">
        <v>112</v>
      </c>
      <c r="C21" s="2" t="s">
        <v>113</v>
      </c>
      <c r="D21" s="2" t="s">
        <v>56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33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41</v>
      </c>
      <c r="B22" s="2" t="s">
        <v>114</v>
      </c>
      <c r="C22" s="2" t="s">
        <v>115</v>
      </c>
      <c r="D22" s="2" t="s">
        <v>54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47</v>
      </c>
      <c r="B23" s="2" t="s">
        <v>116</v>
      </c>
      <c r="C23" s="2" t="s">
        <v>117</v>
      </c>
      <c r="D23" s="2" t="s">
        <v>50</v>
      </c>
      <c r="E23" s="2">
        <v>1</v>
      </c>
      <c r="F23" s="2">
        <v>0</v>
      </c>
      <c r="G23" s="2">
        <v>1</v>
      </c>
      <c r="H23" s="2">
        <v>0</v>
      </c>
      <c r="I23" s="2">
        <v>0</v>
      </c>
      <c r="J23" s="8">
        <v>24</v>
      </c>
      <c r="K23" s="2">
        <v>1</v>
      </c>
      <c r="L23" s="8">
        <v>0</v>
      </c>
      <c r="M23" s="2" t="s">
        <v>118</v>
      </c>
    </row>
    <row r="24" spans="1:13" x14ac:dyDescent="0.25">
      <c r="A24" s="2" t="s">
        <v>51</v>
      </c>
      <c r="B24" s="2" t="s">
        <v>119</v>
      </c>
      <c r="C24" s="2" t="s">
        <v>120</v>
      </c>
      <c r="D24" s="2" t="s">
        <v>57</v>
      </c>
      <c r="E24" s="2">
        <v>0</v>
      </c>
      <c r="F24" s="2">
        <v>1</v>
      </c>
      <c r="G24" s="2">
        <v>0</v>
      </c>
      <c r="H24" s="2">
        <v>0</v>
      </c>
      <c r="I24" s="2">
        <v>0</v>
      </c>
      <c r="J24" s="8">
        <v>33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55</v>
      </c>
      <c r="B25" s="2" t="s">
        <v>121</v>
      </c>
      <c r="C25" s="2" t="s">
        <v>122</v>
      </c>
      <c r="D25" s="2" t="s">
        <v>64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0</v>
      </c>
      <c r="M25" s="2" t="s">
        <v>118</v>
      </c>
    </row>
    <row r="26" spans="1:13" x14ac:dyDescent="0.25">
      <c r="A26" s="2" t="s">
        <v>35</v>
      </c>
      <c r="B26" s="2" t="s">
        <v>123</v>
      </c>
      <c r="C26" s="2" t="s">
        <v>124</v>
      </c>
      <c r="D26" s="2" t="s">
        <v>66</v>
      </c>
      <c r="E26" s="2">
        <v>0</v>
      </c>
      <c r="F26" s="2">
        <v>0</v>
      </c>
      <c r="G26" s="2">
        <v>0</v>
      </c>
      <c r="H26" s="2">
        <v>0</v>
      </c>
      <c r="I26" s="2">
        <v>1</v>
      </c>
      <c r="J26" s="8">
        <v>16</v>
      </c>
      <c r="K26" s="2">
        <v>0</v>
      </c>
      <c r="L26" s="8">
        <v>0</v>
      </c>
      <c r="M26" s="2" t="s">
        <v>78</v>
      </c>
    </row>
    <row r="27" spans="1:13" x14ac:dyDescent="0.25">
      <c r="A27" s="2" t="s">
        <v>47</v>
      </c>
      <c r="B27" s="2" t="s">
        <v>125</v>
      </c>
      <c r="C27" s="2" t="s">
        <v>126</v>
      </c>
      <c r="D27" s="2" t="s">
        <v>46</v>
      </c>
      <c r="E27" s="2">
        <v>0</v>
      </c>
      <c r="F27" s="2">
        <v>1</v>
      </c>
      <c r="G27" s="2">
        <v>0</v>
      </c>
      <c r="H27" s="2">
        <v>0</v>
      </c>
      <c r="I27" s="2">
        <v>0</v>
      </c>
      <c r="J27" s="8">
        <v>0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45</v>
      </c>
      <c r="B28" s="2" t="s">
        <v>127</v>
      </c>
      <c r="C28" s="2" t="s">
        <v>128</v>
      </c>
      <c r="D28" s="2" t="s">
        <v>56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24</v>
      </c>
      <c r="K28" s="2">
        <v>1</v>
      </c>
      <c r="L28" s="8">
        <v>159.35</v>
      </c>
      <c r="M28" s="2" t="s">
        <v>78</v>
      </c>
    </row>
    <row r="29" spans="1:13" x14ac:dyDescent="0.25">
      <c r="A29" s="2" t="s">
        <v>37</v>
      </c>
      <c r="B29" s="2" t="s">
        <v>129</v>
      </c>
      <c r="C29" s="2" t="s">
        <v>130</v>
      </c>
      <c r="D29" s="2" t="s">
        <v>50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8">
        <v>15</v>
      </c>
      <c r="K29" s="2">
        <v>1</v>
      </c>
      <c r="L29" s="8">
        <v>0</v>
      </c>
      <c r="M29" s="2" t="s">
        <v>78</v>
      </c>
    </row>
    <row r="30" spans="1:13" x14ac:dyDescent="0.25">
      <c r="A30" s="2" t="s">
        <v>47</v>
      </c>
      <c r="B30" s="2" t="s">
        <v>131</v>
      </c>
      <c r="C30" s="2" t="s">
        <v>132</v>
      </c>
      <c r="D30" s="2" t="s">
        <v>52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8">
        <v>0</v>
      </c>
      <c r="K30" s="2">
        <v>1</v>
      </c>
      <c r="L30" s="8">
        <v>0</v>
      </c>
      <c r="M30" s="2" t="s">
        <v>78</v>
      </c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37</v>
      </c>
      <c r="B4" s="2" t="s">
        <v>134</v>
      </c>
      <c r="C4" s="2" t="s">
        <v>135</v>
      </c>
      <c r="D4" s="2" t="s">
        <v>63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24</v>
      </c>
      <c r="K4" s="2">
        <v>1</v>
      </c>
      <c r="L4" s="8">
        <v>120.78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1</v>
      </c>
      <c r="V4" s="8">
        <f t="shared" ref="V4:V15" si="5">SUMIF($A$4:$A$43,$P4,J$4:J$43)</f>
        <v>15</v>
      </c>
      <c r="W4" s="2">
        <f t="shared" ref="W4:W15" si="6">SUMIF($A$4:$A$43,$P4,K$4:K$43)</f>
        <v>0</v>
      </c>
      <c r="X4" s="8">
        <f t="shared" ref="X4:X15" si="7">SUMIF($A$4:$A$43,$P4,L$4:L$43)</f>
        <v>0</v>
      </c>
    </row>
    <row r="5" spans="1:24" x14ac:dyDescent="0.25">
      <c r="A5" s="2" t="s">
        <v>55</v>
      </c>
      <c r="B5" s="2" t="s">
        <v>136</v>
      </c>
      <c r="C5" s="2" t="s">
        <v>137</v>
      </c>
      <c r="D5" s="2" t="s">
        <v>56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33</v>
      </c>
      <c r="K5" s="2">
        <v>1</v>
      </c>
      <c r="L5" s="8">
        <v>166.21</v>
      </c>
      <c r="M5" s="2" t="s">
        <v>78</v>
      </c>
      <c r="P5" s="2" t="str">
        <f>Setup!$A$5</f>
        <v>Expert 02</v>
      </c>
      <c r="Q5" s="2">
        <f t="shared" si="0"/>
        <v>2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3</v>
      </c>
      <c r="X5" s="8">
        <f t="shared" si="7"/>
        <v>0</v>
      </c>
    </row>
    <row r="6" spans="1:24" x14ac:dyDescent="0.25">
      <c r="A6" s="2" t="s">
        <v>55</v>
      </c>
      <c r="B6" s="2" t="s">
        <v>138</v>
      </c>
      <c r="C6" s="2" t="s">
        <v>139</v>
      </c>
      <c r="D6" s="2" t="s">
        <v>63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24</v>
      </c>
      <c r="W6" s="2">
        <f t="shared" si="6"/>
        <v>1</v>
      </c>
      <c r="X6" s="8">
        <f t="shared" si="7"/>
        <v>120.78</v>
      </c>
    </row>
    <row r="7" spans="1:24" x14ac:dyDescent="0.25">
      <c r="A7" s="2" t="s">
        <v>41</v>
      </c>
      <c r="B7" s="2" t="s">
        <v>140</v>
      </c>
      <c r="C7" s="2" t="s">
        <v>141</v>
      </c>
      <c r="D7" s="2" t="s">
        <v>50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24</v>
      </c>
      <c r="K7" s="2">
        <v>1</v>
      </c>
      <c r="L7" s="8">
        <v>115.27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0</v>
      </c>
      <c r="W7" s="2">
        <f t="shared" si="6"/>
        <v>0</v>
      </c>
      <c r="X7" s="8">
        <f t="shared" si="7"/>
        <v>0</v>
      </c>
    </row>
    <row r="8" spans="1:24" x14ac:dyDescent="0.25">
      <c r="A8" s="2" t="s">
        <v>47</v>
      </c>
      <c r="B8" s="2" t="s">
        <v>142</v>
      </c>
      <c r="C8" s="2" t="s">
        <v>143</v>
      </c>
      <c r="D8" s="2" t="s">
        <v>63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55.91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1</v>
      </c>
      <c r="S8" s="2">
        <f t="shared" si="2"/>
        <v>0</v>
      </c>
      <c r="T8" s="2">
        <f t="shared" si="3"/>
        <v>0</v>
      </c>
      <c r="U8" s="2">
        <f t="shared" si="4"/>
        <v>1</v>
      </c>
      <c r="V8" s="8">
        <f t="shared" si="5"/>
        <v>42</v>
      </c>
      <c r="W8" s="2">
        <f t="shared" si="6"/>
        <v>3</v>
      </c>
      <c r="X8" s="8">
        <f t="shared" si="7"/>
        <v>293.7</v>
      </c>
    </row>
    <row r="9" spans="1:24" x14ac:dyDescent="0.25">
      <c r="A9" s="2" t="s">
        <v>55</v>
      </c>
      <c r="B9" s="2" t="s">
        <v>144</v>
      </c>
      <c r="C9" s="2" t="s">
        <v>145</v>
      </c>
      <c r="D9" s="2" t="s">
        <v>34</v>
      </c>
      <c r="E9" s="2">
        <v>0</v>
      </c>
      <c r="F9" s="2">
        <v>1</v>
      </c>
      <c r="G9" s="2">
        <v>0</v>
      </c>
      <c r="H9" s="2">
        <v>1</v>
      </c>
      <c r="I9" s="2">
        <v>0</v>
      </c>
      <c r="J9" s="8">
        <v>0</v>
      </c>
      <c r="K9" s="2">
        <v>1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45.07</v>
      </c>
    </row>
    <row r="10" spans="1:24" x14ac:dyDescent="0.25">
      <c r="A10" s="2" t="s">
        <v>41</v>
      </c>
      <c r="B10" s="2" t="s">
        <v>146</v>
      </c>
      <c r="C10" s="2" t="s">
        <v>147</v>
      </c>
      <c r="D10" s="2" t="s">
        <v>66</v>
      </c>
      <c r="E10" s="2">
        <v>0</v>
      </c>
      <c r="F10" s="2">
        <v>0</v>
      </c>
      <c r="G10" s="2">
        <v>0</v>
      </c>
      <c r="H10" s="2">
        <v>0</v>
      </c>
      <c r="I10" s="2">
        <v>1</v>
      </c>
      <c r="J10" s="8">
        <v>0</v>
      </c>
      <c r="K10" s="2">
        <v>0</v>
      </c>
      <c r="L10" s="8">
        <v>96.5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33</v>
      </c>
      <c r="W10" s="2">
        <f t="shared" si="6"/>
        <v>1</v>
      </c>
      <c r="X10" s="8">
        <f t="shared" si="7"/>
        <v>99.79</v>
      </c>
    </row>
    <row r="11" spans="1:24" x14ac:dyDescent="0.25">
      <c r="A11" s="2" t="s">
        <v>41</v>
      </c>
      <c r="B11" s="2" t="s">
        <v>148</v>
      </c>
      <c r="C11" s="2" t="s">
        <v>149</v>
      </c>
      <c r="D11" s="2" t="s">
        <v>60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81.93</v>
      </c>
      <c r="M11" s="2" t="s">
        <v>118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2</v>
      </c>
      <c r="X11" s="8">
        <f t="shared" si="7"/>
        <v>261.07</v>
      </c>
    </row>
    <row r="12" spans="1:24" x14ac:dyDescent="0.25">
      <c r="A12" s="2" t="s">
        <v>41</v>
      </c>
      <c r="B12" s="2" t="s">
        <v>150</v>
      </c>
      <c r="C12" s="2" t="s">
        <v>151</v>
      </c>
      <c r="D12" s="2" t="s">
        <v>69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8">
        <v>18</v>
      </c>
      <c r="K12" s="2">
        <v>0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0</v>
      </c>
      <c r="X12" s="8">
        <f t="shared" si="7"/>
        <v>0</v>
      </c>
    </row>
    <row r="13" spans="1:24" x14ac:dyDescent="0.25">
      <c r="A13" s="2" t="s">
        <v>55</v>
      </c>
      <c r="B13" s="2" t="s">
        <v>152</v>
      </c>
      <c r="C13" s="2" t="s">
        <v>153</v>
      </c>
      <c r="D13" s="2" t="s">
        <v>48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8">
        <v>15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33</v>
      </c>
      <c r="W13" s="2">
        <f t="shared" si="6"/>
        <v>1</v>
      </c>
      <c r="X13" s="8">
        <f t="shared" si="7"/>
        <v>0</v>
      </c>
    </row>
    <row r="14" spans="1:24" x14ac:dyDescent="0.25">
      <c r="A14" s="2" t="s">
        <v>53</v>
      </c>
      <c r="B14" s="2" t="s">
        <v>154</v>
      </c>
      <c r="C14" s="2" t="s">
        <v>155</v>
      </c>
      <c r="D14" s="2" t="s">
        <v>57</v>
      </c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8">
        <v>15</v>
      </c>
      <c r="K14" s="2">
        <v>1</v>
      </c>
      <c r="L14" s="8">
        <v>128.05000000000001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1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31</v>
      </c>
      <c r="W14" s="2">
        <f t="shared" si="6"/>
        <v>3</v>
      </c>
      <c r="X14" s="8">
        <f t="shared" si="7"/>
        <v>344.22</v>
      </c>
    </row>
    <row r="15" spans="1:24" x14ac:dyDescent="0.25">
      <c r="A15" s="2" t="s">
        <v>51</v>
      </c>
      <c r="B15" s="2" t="s">
        <v>156</v>
      </c>
      <c r="C15" s="2" t="s">
        <v>157</v>
      </c>
      <c r="D15" s="2" t="s">
        <v>52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33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4</v>
      </c>
      <c r="R15" s="2">
        <f t="shared" si="1"/>
        <v>1</v>
      </c>
      <c r="S15" s="2">
        <f t="shared" si="2"/>
        <v>0</v>
      </c>
      <c r="T15" s="2">
        <f t="shared" si="3"/>
        <v>1</v>
      </c>
      <c r="U15" s="2">
        <f t="shared" si="4"/>
        <v>1</v>
      </c>
      <c r="V15" s="8">
        <f t="shared" si="5"/>
        <v>88</v>
      </c>
      <c r="W15" s="2">
        <f t="shared" si="6"/>
        <v>6</v>
      </c>
      <c r="X15" s="8">
        <f t="shared" si="7"/>
        <v>166.21</v>
      </c>
    </row>
    <row r="16" spans="1:24" x14ac:dyDescent="0.25">
      <c r="A16" s="2" t="s">
        <v>35</v>
      </c>
      <c r="B16" s="2" t="s">
        <v>158</v>
      </c>
      <c r="C16" s="2" t="s">
        <v>159</v>
      </c>
      <c r="D16" s="2" t="s">
        <v>36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4</v>
      </c>
      <c r="S16" s="10">
        <f t="shared" si="8"/>
        <v>0</v>
      </c>
      <c r="T16" s="10">
        <f t="shared" si="8"/>
        <v>1</v>
      </c>
      <c r="U16" s="10">
        <f t="shared" si="8"/>
        <v>3</v>
      </c>
      <c r="V16" s="11">
        <f t="shared" si="8"/>
        <v>266</v>
      </c>
      <c r="W16" s="10">
        <f t="shared" si="8"/>
        <v>20</v>
      </c>
      <c r="X16" s="11">
        <f t="shared" si="8"/>
        <v>1330.8400000000001</v>
      </c>
    </row>
    <row r="17" spans="1:13" x14ac:dyDescent="0.25">
      <c r="A17" s="2" t="s">
        <v>45</v>
      </c>
      <c r="B17" s="2" t="s">
        <v>160</v>
      </c>
      <c r="C17" s="2" t="s">
        <v>161</v>
      </c>
      <c r="D17" s="2" t="s">
        <v>38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33</v>
      </c>
      <c r="K17" s="2">
        <v>1</v>
      </c>
      <c r="L17" s="8">
        <v>99.79</v>
      </c>
      <c r="M17" s="2" t="s">
        <v>78</v>
      </c>
    </row>
    <row r="18" spans="1:13" x14ac:dyDescent="0.25">
      <c r="A18" s="2" t="s">
        <v>53</v>
      </c>
      <c r="B18" s="2" t="s">
        <v>162</v>
      </c>
      <c r="C18" s="2" t="s">
        <v>163</v>
      </c>
      <c r="D18" s="2" t="s">
        <v>42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16</v>
      </c>
      <c r="K18" s="2">
        <v>1</v>
      </c>
      <c r="L18" s="8">
        <v>141.36000000000001</v>
      </c>
      <c r="M18" s="2" t="s">
        <v>78</v>
      </c>
    </row>
    <row r="19" spans="1:13" x14ac:dyDescent="0.25">
      <c r="A19" s="2" t="s">
        <v>47</v>
      </c>
      <c r="B19" s="2" t="s">
        <v>164</v>
      </c>
      <c r="C19" s="2" t="s">
        <v>165</v>
      </c>
      <c r="D19" s="2" t="s">
        <v>62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146.57</v>
      </c>
      <c r="M19" s="2" t="s">
        <v>78</v>
      </c>
    </row>
    <row r="20" spans="1:13" x14ac:dyDescent="0.25">
      <c r="A20" s="2" t="s">
        <v>35</v>
      </c>
      <c r="B20" s="2" t="s">
        <v>166</v>
      </c>
      <c r="C20" s="2" t="s">
        <v>167</v>
      </c>
      <c r="D20" s="2" t="s">
        <v>54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33</v>
      </c>
      <c r="B21" s="2" t="s">
        <v>168</v>
      </c>
      <c r="C21" s="2" t="s">
        <v>169</v>
      </c>
      <c r="D21" s="2" t="s">
        <v>66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8">
        <v>15</v>
      </c>
      <c r="K21" s="2">
        <v>0</v>
      </c>
      <c r="L21" s="8">
        <v>0</v>
      </c>
      <c r="M21" s="2" t="s">
        <v>78</v>
      </c>
    </row>
    <row r="22" spans="1:13" x14ac:dyDescent="0.25">
      <c r="A22" s="2" t="s">
        <v>43</v>
      </c>
      <c r="B22" s="2" t="s">
        <v>170</v>
      </c>
      <c r="C22" s="2" t="s">
        <v>171</v>
      </c>
      <c r="D22" s="2" t="s">
        <v>67</v>
      </c>
      <c r="E22" s="2">
        <v>0</v>
      </c>
      <c r="F22" s="2">
        <v>1</v>
      </c>
      <c r="G22" s="2">
        <v>0</v>
      </c>
      <c r="H22" s="2">
        <v>0</v>
      </c>
      <c r="I22" s="2">
        <v>0</v>
      </c>
      <c r="J22" s="8">
        <v>0</v>
      </c>
      <c r="K22" s="2">
        <v>0</v>
      </c>
      <c r="L22" s="8">
        <v>45.07</v>
      </c>
      <c r="M22" s="2" t="s">
        <v>78</v>
      </c>
    </row>
    <row r="23" spans="1:13" x14ac:dyDescent="0.25">
      <c r="A23" s="2" t="s">
        <v>55</v>
      </c>
      <c r="B23" s="2" t="s">
        <v>172</v>
      </c>
      <c r="C23" s="2" t="s">
        <v>173</v>
      </c>
      <c r="D23" s="2" t="s">
        <v>48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41</v>
      </c>
      <c r="B24" s="2" t="s">
        <v>174</v>
      </c>
      <c r="C24" s="2" t="s">
        <v>175</v>
      </c>
      <c r="D24" s="2" t="s">
        <v>61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53</v>
      </c>
      <c r="B25" s="2" t="s">
        <v>176</v>
      </c>
      <c r="C25" s="2" t="s">
        <v>177</v>
      </c>
      <c r="D25" s="2" t="s">
        <v>46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74.81</v>
      </c>
      <c r="M25" s="2" t="s">
        <v>78</v>
      </c>
    </row>
    <row r="26" spans="1:13" x14ac:dyDescent="0.25">
      <c r="A26" s="2" t="s">
        <v>55</v>
      </c>
      <c r="B26" s="2" t="s">
        <v>178</v>
      </c>
      <c r="C26" s="2" t="s">
        <v>179</v>
      </c>
      <c r="D26" s="2" t="s">
        <v>56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24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47</v>
      </c>
      <c r="B27" s="2" t="s">
        <v>180</v>
      </c>
      <c r="C27" s="2" t="s">
        <v>181</v>
      </c>
      <c r="D27" s="2" t="s">
        <v>69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8">
        <v>0</v>
      </c>
      <c r="K27" s="2">
        <v>0</v>
      </c>
      <c r="L27" s="8">
        <v>58.59</v>
      </c>
      <c r="M27" s="2" t="s">
        <v>78</v>
      </c>
    </row>
    <row r="28" spans="1:13" x14ac:dyDescent="0.25">
      <c r="A28" s="2" t="s">
        <v>35</v>
      </c>
      <c r="B28" s="2" t="s">
        <v>182</v>
      </c>
      <c r="C28" s="2" t="s">
        <v>183</v>
      </c>
      <c r="D28" s="2" t="s">
        <v>34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55</v>
      </c>
      <c r="B29" s="2" t="s">
        <v>184</v>
      </c>
      <c r="C29" s="2" t="s">
        <v>185</v>
      </c>
      <c r="D29" s="2" t="s">
        <v>66</v>
      </c>
      <c r="E29" s="2">
        <v>0</v>
      </c>
      <c r="F29" s="2">
        <v>0</v>
      </c>
      <c r="G29" s="2">
        <v>0</v>
      </c>
      <c r="H29" s="2">
        <v>0</v>
      </c>
      <c r="I29" s="2">
        <v>1</v>
      </c>
      <c r="J29" s="8">
        <v>16</v>
      </c>
      <c r="K29" s="2">
        <v>0</v>
      </c>
      <c r="L29" s="8">
        <v>0</v>
      </c>
      <c r="M29" s="2" t="s">
        <v>78</v>
      </c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186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49</v>
      </c>
      <c r="B4" s="2" t="s">
        <v>187</v>
      </c>
      <c r="C4" s="2" t="s">
        <v>188</v>
      </c>
      <c r="D4" s="2" t="s">
        <v>36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34</v>
      </c>
      <c r="W4" s="2">
        <f t="shared" ref="W4:W15" si="6">SUMIF($A$4:$A$43,$P4,K$4:K$43)</f>
        <v>4</v>
      </c>
      <c r="X4" s="8">
        <f t="shared" ref="X4:X15" si="7">SUMIF($A$4:$A$43,$P4,L$4:L$43)</f>
        <v>249.54</v>
      </c>
    </row>
    <row r="5" spans="1:24" x14ac:dyDescent="0.25">
      <c r="A5" s="2" t="s">
        <v>35</v>
      </c>
      <c r="B5" s="2" t="s">
        <v>189</v>
      </c>
      <c r="C5" s="2" t="s">
        <v>190</v>
      </c>
      <c r="D5" s="2" t="s">
        <v>46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16</v>
      </c>
      <c r="K5" s="2">
        <v>1</v>
      </c>
      <c r="L5" s="8">
        <v>36.47</v>
      </c>
      <c r="M5" s="2" t="s">
        <v>78</v>
      </c>
      <c r="P5" s="2" t="str">
        <f>Setup!$A$5</f>
        <v>Expert 02</v>
      </c>
      <c r="Q5" s="2">
        <f t="shared" si="0"/>
        <v>3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40</v>
      </c>
      <c r="W5" s="2">
        <f t="shared" si="6"/>
        <v>3</v>
      </c>
      <c r="X5" s="8">
        <f t="shared" si="7"/>
        <v>36.47</v>
      </c>
    </row>
    <row r="6" spans="1:24" x14ac:dyDescent="0.25">
      <c r="A6" s="2" t="s">
        <v>55</v>
      </c>
      <c r="B6" s="2" t="s">
        <v>191</v>
      </c>
      <c r="C6" s="2" t="s">
        <v>192</v>
      </c>
      <c r="D6" s="2" t="s">
        <v>66</v>
      </c>
      <c r="E6" s="2">
        <v>0</v>
      </c>
      <c r="F6" s="2">
        <v>0</v>
      </c>
      <c r="G6" s="2">
        <v>0</v>
      </c>
      <c r="H6" s="2">
        <v>0</v>
      </c>
      <c r="I6" s="2">
        <v>1</v>
      </c>
      <c r="J6" s="8">
        <v>0</v>
      </c>
      <c r="K6" s="2">
        <v>0</v>
      </c>
      <c r="L6" s="8">
        <v>79.55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16</v>
      </c>
      <c r="W6" s="2">
        <f t="shared" si="6"/>
        <v>1</v>
      </c>
      <c r="X6" s="8">
        <f t="shared" si="7"/>
        <v>114.17</v>
      </c>
    </row>
    <row r="7" spans="1:24" x14ac:dyDescent="0.25">
      <c r="A7" s="2" t="s">
        <v>33</v>
      </c>
      <c r="B7" s="2" t="s">
        <v>193</v>
      </c>
      <c r="C7" s="2" t="s">
        <v>194</v>
      </c>
      <c r="D7" s="2" t="s">
        <v>46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8.6199999999999992</v>
      </c>
      <c r="M7" s="2" t="s">
        <v>78</v>
      </c>
      <c r="P7" s="2" t="str">
        <f>Setup!$A$7</f>
        <v>Expert 04</v>
      </c>
      <c r="Q7" s="2">
        <f t="shared" si="0"/>
        <v>2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33</v>
      </c>
      <c r="W7" s="2">
        <f t="shared" si="6"/>
        <v>3</v>
      </c>
      <c r="X7" s="8">
        <f t="shared" si="7"/>
        <v>0</v>
      </c>
    </row>
    <row r="8" spans="1:24" x14ac:dyDescent="0.25">
      <c r="A8" s="2" t="s">
        <v>49</v>
      </c>
      <c r="B8" s="2" t="s">
        <v>195</v>
      </c>
      <c r="C8" s="2" t="s">
        <v>196</v>
      </c>
      <c r="D8" s="2" t="s">
        <v>48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16</v>
      </c>
      <c r="K8" s="2">
        <v>1</v>
      </c>
      <c r="L8" s="8">
        <v>74.510000000000005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2</v>
      </c>
      <c r="S8" s="2">
        <f t="shared" si="2"/>
        <v>1</v>
      </c>
      <c r="T8" s="2">
        <f t="shared" si="3"/>
        <v>0</v>
      </c>
      <c r="U8" s="2">
        <f t="shared" si="4"/>
        <v>0</v>
      </c>
      <c r="V8" s="8">
        <f t="shared" si="5"/>
        <v>34</v>
      </c>
      <c r="W8" s="2">
        <f t="shared" si="6"/>
        <v>4</v>
      </c>
      <c r="X8" s="8">
        <f t="shared" si="7"/>
        <v>53.85</v>
      </c>
    </row>
    <row r="9" spans="1:24" x14ac:dyDescent="0.25">
      <c r="A9" s="2" t="s">
        <v>33</v>
      </c>
      <c r="B9" s="2" t="s">
        <v>197</v>
      </c>
      <c r="C9" s="2" t="s">
        <v>198</v>
      </c>
      <c r="D9" s="2" t="s">
        <v>34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8">
        <v>16</v>
      </c>
      <c r="K9" s="2">
        <v>1</v>
      </c>
      <c r="L9" s="8">
        <v>101.38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0</v>
      </c>
    </row>
    <row r="10" spans="1:24" x14ac:dyDescent="0.25">
      <c r="A10" s="2" t="s">
        <v>53</v>
      </c>
      <c r="B10" s="2" t="s">
        <v>199</v>
      </c>
      <c r="C10" s="2" t="s">
        <v>200</v>
      </c>
      <c r="D10" s="2" t="s">
        <v>50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16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1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123.32</v>
      </c>
    </row>
    <row r="11" spans="1:24" x14ac:dyDescent="0.25">
      <c r="A11" s="2" t="s">
        <v>33</v>
      </c>
      <c r="B11" s="2" t="s">
        <v>201</v>
      </c>
      <c r="C11" s="2" t="s">
        <v>202</v>
      </c>
      <c r="D11" s="2" t="s">
        <v>56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18</v>
      </c>
      <c r="K11" s="2">
        <v>1</v>
      </c>
      <c r="L11" s="8">
        <v>139.54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1</v>
      </c>
      <c r="X11" s="8">
        <f t="shared" si="7"/>
        <v>61.21</v>
      </c>
    </row>
    <row r="12" spans="1:24" x14ac:dyDescent="0.25">
      <c r="A12" s="2" t="s">
        <v>35</v>
      </c>
      <c r="B12" s="2" t="s">
        <v>203</v>
      </c>
      <c r="C12" s="2" t="s">
        <v>204</v>
      </c>
      <c r="D12" s="2" t="s">
        <v>52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16</v>
      </c>
      <c r="W12" s="2">
        <f t="shared" si="6"/>
        <v>2</v>
      </c>
      <c r="X12" s="8">
        <f t="shared" si="7"/>
        <v>74.510000000000005</v>
      </c>
    </row>
    <row r="13" spans="1:24" x14ac:dyDescent="0.25">
      <c r="A13" s="2" t="s">
        <v>41</v>
      </c>
      <c r="B13" s="2" t="s">
        <v>205</v>
      </c>
      <c r="C13" s="2" t="s">
        <v>206</v>
      </c>
      <c r="D13" s="2" t="s">
        <v>38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3</v>
      </c>
      <c r="R13" s="2">
        <f t="shared" si="1"/>
        <v>1</v>
      </c>
      <c r="S13" s="2">
        <f t="shared" si="2"/>
        <v>1</v>
      </c>
      <c r="T13" s="2">
        <f t="shared" si="3"/>
        <v>0</v>
      </c>
      <c r="U13" s="2">
        <f t="shared" si="4"/>
        <v>0</v>
      </c>
      <c r="V13" s="8">
        <f t="shared" si="5"/>
        <v>45</v>
      </c>
      <c r="W13" s="2">
        <f t="shared" si="6"/>
        <v>5</v>
      </c>
      <c r="X13" s="8">
        <f t="shared" si="7"/>
        <v>138.53</v>
      </c>
    </row>
    <row r="14" spans="1:24" x14ac:dyDescent="0.25">
      <c r="A14" s="2" t="s">
        <v>51</v>
      </c>
      <c r="B14" s="2" t="s">
        <v>207</v>
      </c>
      <c r="C14" s="2" t="s">
        <v>208</v>
      </c>
      <c r="D14" s="2" t="s">
        <v>65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16</v>
      </c>
      <c r="W14" s="2">
        <f t="shared" si="6"/>
        <v>1</v>
      </c>
      <c r="X14" s="8">
        <f t="shared" si="7"/>
        <v>0</v>
      </c>
    </row>
    <row r="15" spans="1:24" x14ac:dyDescent="0.25">
      <c r="A15" s="2" t="s">
        <v>51</v>
      </c>
      <c r="B15" s="2" t="s">
        <v>209</v>
      </c>
      <c r="C15" s="2" t="s">
        <v>210</v>
      </c>
      <c r="D15" s="2" t="s">
        <v>48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15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1</v>
      </c>
      <c r="V15" s="8">
        <f t="shared" si="5"/>
        <v>0</v>
      </c>
      <c r="W15" s="2">
        <f t="shared" si="6"/>
        <v>1</v>
      </c>
      <c r="X15" s="8">
        <f t="shared" si="7"/>
        <v>79.55</v>
      </c>
    </row>
    <row r="16" spans="1:24" x14ac:dyDescent="0.25">
      <c r="A16" s="2" t="s">
        <v>55</v>
      </c>
      <c r="B16" s="2" t="s">
        <v>211</v>
      </c>
      <c r="C16" s="2" t="s">
        <v>212</v>
      </c>
      <c r="D16" s="2" t="s">
        <v>40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4</v>
      </c>
      <c r="S16" s="10">
        <f t="shared" si="8"/>
        <v>2</v>
      </c>
      <c r="T16" s="10">
        <f t="shared" si="8"/>
        <v>0</v>
      </c>
      <c r="U16" s="10">
        <f t="shared" si="8"/>
        <v>1</v>
      </c>
      <c r="V16" s="11">
        <f t="shared" si="8"/>
        <v>234</v>
      </c>
      <c r="W16" s="10">
        <f t="shared" si="8"/>
        <v>26</v>
      </c>
      <c r="X16" s="11">
        <f t="shared" si="8"/>
        <v>931.15</v>
      </c>
    </row>
    <row r="17" spans="1:13" x14ac:dyDescent="0.25">
      <c r="A17" s="2" t="s">
        <v>51</v>
      </c>
      <c r="B17" s="2" t="s">
        <v>213</v>
      </c>
      <c r="C17" s="2" t="s">
        <v>214</v>
      </c>
      <c r="D17" s="2" t="s">
        <v>57</v>
      </c>
      <c r="E17" s="2">
        <v>0</v>
      </c>
      <c r="F17" s="2">
        <v>1</v>
      </c>
      <c r="G17" s="2">
        <v>1</v>
      </c>
      <c r="H17" s="2">
        <v>0</v>
      </c>
      <c r="I17" s="2">
        <v>0</v>
      </c>
      <c r="J17" s="8">
        <v>0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39</v>
      </c>
      <c r="B18" s="2" t="s">
        <v>215</v>
      </c>
      <c r="C18" s="2" t="s">
        <v>216</v>
      </c>
      <c r="D18" s="2" t="s">
        <v>63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15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51</v>
      </c>
      <c r="B19" s="2" t="s">
        <v>217</v>
      </c>
      <c r="C19" s="2" t="s">
        <v>218</v>
      </c>
      <c r="D19" s="2" t="s">
        <v>42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15</v>
      </c>
      <c r="K19" s="2">
        <v>1</v>
      </c>
      <c r="L19" s="8">
        <v>72.89</v>
      </c>
      <c r="M19" s="2" t="s">
        <v>78</v>
      </c>
    </row>
    <row r="20" spans="1:13" x14ac:dyDescent="0.25">
      <c r="A20" s="2" t="s">
        <v>33</v>
      </c>
      <c r="B20" s="2" t="s">
        <v>219</v>
      </c>
      <c r="C20" s="2" t="s">
        <v>220</v>
      </c>
      <c r="D20" s="2" t="s">
        <v>56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118</v>
      </c>
    </row>
    <row r="21" spans="1:13" x14ac:dyDescent="0.25">
      <c r="A21" s="2" t="s">
        <v>39</v>
      </c>
      <c r="B21" s="2" t="s">
        <v>221</v>
      </c>
      <c r="C21" s="2" t="s">
        <v>222</v>
      </c>
      <c r="D21" s="2" t="s">
        <v>40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41</v>
      </c>
      <c r="B22" s="2" t="s">
        <v>223</v>
      </c>
      <c r="C22" s="2" t="s">
        <v>224</v>
      </c>
      <c r="D22" s="2" t="s">
        <v>57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53.85</v>
      </c>
      <c r="M22" s="2" t="s">
        <v>78</v>
      </c>
    </row>
    <row r="23" spans="1:13" x14ac:dyDescent="0.25">
      <c r="A23" s="2" t="s">
        <v>41</v>
      </c>
      <c r="B23" s="2" t="s">
        <v>225</v>
      </c>
      <c r="C23" s="2" t="s">
        <v>226</v>
      </c>
      <c r="D23" s="2" t="s">
        <v>52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16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41</v>
      </c>
      <c r="B24" s="2" t="s">
        <v>227</v>
      </c>
      <c r="C24" s="2" t="s">
        <v>228</v>
      </c>
      <c r="D24" s="2" t="s">
        <v>38</v>
      </c>
      <c r="E24" s="2">
        <v>0</v>
      </c>
      <c r="F24" s="2">
        <v>1</v>
      </c>
      <c r="G24" s="2">
        <v>1</v>
      </c>
      <c r="H24" s="2">
        <v>0</v>
      </c>
      <c r="I24" s="2">
        <v>0</v>
      </c>
      <c r="J24" s="8">
        <v>18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45</v>
      </c>
      <c r="B25" s="2" t="s">
        <v>229</v>
      </c>
      <c r="C25" s="2" t="s">
        <v>230</v>
      </c>
      <c r="D25" s="2" t="s">
        <v>44</v>
      </c>
      <c r="E25" s="2">
        <v>0</v>
      </c>
      <c r="F25" s="2">
        <v>1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123.32</v>
      </c>
      <c r="M25" s="2" t="s">
        <v>78</v>
      </c>
    </row>
    <row r="26" spans="1:13" x14ac:dyDescent="0.25">
      <c r="A26" s="2" t="s">
        <v>47</v>
      </c>
      <c r="B26" s="2" t="s">
        <v>231</v>
      </c>
      <c r="C26" s="2" t="s">
        <v>232</v>
      </c>
      <c r="D26" s="2" t="s">
        <v>62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0</v>
      </c>
      <c r="K26" s="2">
        <v>1</v>
      </c>
      <c r="L26" s="8">
        <v>61.21</v>
      </c>
      <c r="M26" s="2" t="s">
        <v>78</v>
      </c>
    </row>
    <row r="27" spans="1:13" x14ac:dyDescent="0.25">
      <c r="A27" s="2" t="s">
        <v>51</v>
      </c>
      <c r="B27" s="2" t="s">
        <v>233</v>
      </c>
      <c r="C27" s="2" t="s">
        <v>234</v>
      </c>
      <c r="D27" s="2" t="s">
        <v>48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8">
        <v>15</v>
      </c>
      <c r="K27" s="2">
        <v>1</v>
      </c>
      <c r="L27" s="8">
        <v>65.64</v>
      </c>
      <c r="M27" s="2" t="s">
        <v>78</v>
      </c>
    </row>
    <row r="28" spans="1:13" x14ac:dyDescent="0.25">
      <c r="A28" s="2" t="s">
        <v>37</v>
      </c>
      <c r="B28" s="2" t="s">
        <v>235</v>
      </c>
      <c r="C28" s="2" t="s">
        <v>236</v>
      </c>
      <c r="D28" s="2" t="s">
        <v>54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16</v>
      </c>
      <c r="K28" s="2">
        <v>1</v>
      </c>
      <c r="L28" s="8">
        <v>114.17</v>
      </c>
      <c r="M28" s="2" t="s">
        <v>78</v>
      </c>
    </row>
    <row r="29" spans="1:13" x14ac:dyDescent="0.25">
      <c r="A29" s="2" t="s">
        <v>35</v>
      </c>
      <c r="B29" s="2" t="s">
        <v>237</v>
      </c>
      <c r="C29" s="2" t="s">
        <v>238</v>
      </c>
      <c r="D29" s="2" t="s">
        <v>50</v>
      </c>
      <c r="E29" s="2">
        <v>1</v>
      </c>
      <c r="F29" s="2">
        <v>0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0</v>
      </c>
      <c r="M29" s="2" t="s">
        <v>118</v>
      </c>
    </row>
    <row r="30" spans="1:13" x14ac:dyDescent="0.25">
      <c r="A30" s="2" t="s">
        <v>35</v>
      </c>
      <c r="B30" s="2" t="s">
        <v>239</v>
      </c>
      <c r="C30" s="2" t="s">
        <v>240</v>
      </c>
      <c r="D30" s="2" t="s">
        <v>69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8">
        <v>24</v>
      </c>
      <c r="K30" s="2">
        <v>0</v>
      </c>
      <c r="L30" s="8">
        <v>0</v>
      </c>
      <c r="M30" s="2" t="s">
        <v>78</v>
      </c>
    </row>
    <row r="31" spans="1:13" x14ac:dyDescent="0.25">
      <c r="A31" s="2" t="s">
        <v>39</v>
      </c>
      <c r="B31" s="2" t="s">
        <v>241</v>
      </c>
      <c r="C31" s="2" t="s">
        <v>242</v>
      </c>
      <c r="D31" s="2" t="s">
        <v>54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18</v>
      </c>
      <c r="K31" s="2">
        <v>1</v>
      </c>
      <c r="L31" s="8">
        <v>0</v>
      </c>
      <c r="M31" s="2" t="s">
        <v>78</v>
      </c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243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55</v>
      </c>
      <c r="B4" s="2" t="s">
        <v>244</v>
      </c>
      <c r="C4" s="2" t="s">
        <v>245</v>
      </c>
      <c r="D4" s="2" t="s">
        <v>67</v>
      </c>
      <c r="E4" s="2">
        <v>1</v>
      </c>
      <c r="F4" s="2">
        <v>0</v>
      </c>
      <c r="G4" s="2">
        <v>1</v>
      </c>
      <c r="H4" s="2">
        <v>0</v>
      </c>
      <c r="I4" s="2">
        <v>0</v>
      </c>
      <c r="J4" s="8">
        <v>18</v>
      </c>
      <c r="K4" s="2">
        <v>0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1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15</v>
      </c>
      <c r="W4" s="2">
        <f t="shared" ref="W4:W15" si="6">SUMIF($A$4:$A$43,$P4,K$4:K$43)</f>
        <v>2</v>
      </c>
      <c r="X4" s="8">
        <f t="shared" ref="X4:X15" si="7">SUMIF($A$4:$A$43,$P4,L$4:L$43)</f>
        <v>0</v>
      </c>
    </row>
    <row r="5" spans="1:24" x14ac:dyDescent="0.25">
      <c r="A5" s="2" t="s">
        <v>47</v>
      </c>
      <c r="B5" s="2" t="s">
        <v>246</v>
      </c>
      <c r="C5" s="2" t="s">
        <v>247</v>
      </c>
      <c r="D5" s="2" t="s">
        <v>34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75.63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1</v>
      </c>
      <c r="X5" s="8">
        <f t="shared" si="7"/>
        <v>0</v>
      </c>
    </row>
    <row r="6" spans="1:24" x14ac:dyDescent="0.25">
      <c r="A6" s="2" t="s">
        <v>37</v>
      </c>
      <c r="B6" s="2" t="s">
        <v>248</v>
      </c>
      <c r="C6" s="2" t="s">
        <v>249</v>
      </c>
      <c r="D6" s="2" t="s">
        <v>60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33</v>
      </c>
      <c r="K6" s="2">
        <v>1</v>
      </c>
      <c r="L6" s="8">
        <v>91.2</v>
      </c>
      <c r="M6" s="2" t="s">
        <v>78</v>
      </c>
      <c r="P6" s="2" t="str">
        <f>Setup!$A$6</f>
        <v>Expert 03</v>
      </c>
      <c r="Q6" s="2">
        <f t="shared" si="0"/>
        <v>3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100</v>
      </c>
      <c r="W6" s="2">
        <f t="shared" si="6"/>
        <v>5</v>
      </c>
      <c r="X6" s="8">
        <f t="shared" si="7"/>
        <v>614.8900000000001</v>
      </c>
    </row>
    <row r="7" spans="1:24" x14ac:dyDescent="0.25">
      <c r="A7" s="2" t="s">
        <v>51</v>
      </c>
      <c r="B7" s="2" t="s">
        <v>250</v>
      </c>
      <c r="C7" s="2" t="s">
        <v>251</v>
      </c>
      <c r="D7" s="2" t="s">
        <v>66</v>
      </c>
      <c r="E7" s="2">
        <v>0</v>
      </c>
      <c r="F7" s="2">
        <v>0</v>
      </c>
      <c r="G7" s="2">
        <v>0</v>
      </c>
      <c r="H7" s="2">
        <v>0</v>
      </c>
      <c r="I7" s="2">
        <v>1</v>
      </c>
      <c r="J7" s="8">
        <v>16</v>
      </c>
      <c r="K7" s="2">
        <v>0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3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39</v>
      </c>
      <c r="W7" s="2">
        <f t="shared" si="6"/>
        <v>3</v>
      </c>
      <c r="X7" s="8">
        <f t="shared" si="7"/>
        <v>66.83</v>
      </c>
    </row>
    <row r="8" spans="1:24" x14ac:dyDescent="0.25">
      <c r="A8" s="2" t="s">
        <v>33</v>
      </c>
      <c r="B8" s="2" t="s">
        <v>252</v>
      </c>
      <c r="C8" s="2" t="s">
        <v>253</v>
      </c>
      <c r="D8" s="2" t="s">
        <v>42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15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24</v>
      </c>
      <c r="W8" s="2">
        <f t="shared" si="6"/>
        <v>1</v>
      </c>
      <c r="X8" s="8">
        <f t="shared" si="7"/>
        <v>164.17</v>
      </c>
    </row>
    <row r="9" spans="1:24" x14ac:dyDescent="0.25">
      <c r="A9" s="2" t="s">
        <v>37</v>
      </c>
      <c r="B9" s="2" t="s">
        <v>254</v>
      </c>
      <c r="C9" s="2" t="s">
        <v>255</v>
      </c>
      <c r="D9" s="2" t="s">
        <v>46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33</v>
      </c>
      <c r="K9" s="2">
        <v>1</v>
      </c>
      <c r="L9" s="8">
        <v>167.52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18</v>
      </c>
      <c r="W9" s="2">
        <f t="shared" si="6"/>
        <v>2</v>
      </c>
      <c r="X9" s="8">
        <f t="shared" si="7"/>
        <v>25.33</v>
      </c>
    </row>
    <row r="10" spans="1:24" x14ac:dyDescent="0.25">
      <c r="A10" s="2" t="s">
        <v>49</v>
      </c>
      <c r="B10" s="2" t="s">
        <v>256</v>
      </c>
      <c r="C10" s="2" t="s">
        <v>257</v>
      </c>
      <c r="D10" s="2" t="s">
        <v>67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0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1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24</v>
      </c>
      <c r="W10" s="2">
        <f t="shared" si="6"/>
        <v>3</v>
      </c>
      <c r="X10" s="8">
        <f t="shared" si="7"/>
        <v>78.489999999999995</v>
      </c>
    </row>
    <row r="11" spans="1:24" x14ac:dyDescent="0.25">
      <c r="A11" s="2" t="s">
        <v>49</v>
      </c>
      <c r="B11" s="2" t="s">
        <v>258</v>
      </c>
      <c r="C11" s="2" t="s">
        <v>259</v>
      </c>
      <c r="D11" s="2" t="s">
        <v>38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170.72</v>
      </c>
      <c r="M11" s="2" t="s">
        <v>118</v>
      </c>
      <c r="P11" s="2" t="str">
        <f>Setup!$A$11</f>
        <v>Expert 08</v>
      </c>
      <c r="Q11" s="2">
        <f t="shared" si="0"/>
        <v>3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1</v>
      </c>
      <c r="V11" s="8">
        <f t="shared" si="5"/>
        <v>99</v>
      </c>
      <c r="W11" s="2">
        <f t="shared" si="6"/>
        <v>3</v>
      </c>
      <c r="X11" s="8">
        <f t="shared" si="7"/>
        <v>112.47999999999999</v>
      </c>
    </row>
    <row r="12" spans="1:24" x14ac:dyDescent="0.25">
      <c r="A12" s="2" t="s">
        <v>47</v>
      </c>
      <c r="B12" s="2" t="s">
        <v>260</v>
      </c>
      <c r="C12" s="2" t="s">
        <v>261</v>
      </c>
      <c r="D12" s="2" t="s">
        <v>66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8">
        <v>33</v>
      </c>
      <c r="K12" s="2">
        <v>0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15</v>
      </c>
      <c r="W12" s="2">
        <f t="shared" si="6"/>
        <v>1</v>
      </c>
      <c r="X12" s="8">
        <f t="shared" si="7"/>
        <v>170.72</v>
      </c>
    </row>
    <row r="13" spans="1:24" x14ac:dyDescent="0.25">
      <c r="A13" s="2" t="s">
        <v>41</v>
      </c>
      <c r="B13" s="2" t="s">
        <v>262</v>
      </c>
      <c r="C13" s="2" t="s">
        <v>263</v>
      </c>
      <c r="D13" s="2" t="s">
        <v>69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8">
        <v>24</v>
      </c>
      <c r="K13" s="2">
        <v>0</v>
      </c>
      <c r="L13" s="8">
        <v>33.51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1</v>
      </c>
      <c r="S13" s="2">
        <f t="shared" si="2"/>
        <v>0</v>
      </c>
      <c r="T13" s="2">
        <f t="shared" si="3"/>
        <v>0</v>
      </c>
      <c r="U13" s="2">
        <f t="shared" si="4"/>
        <v>1</v>
      </c>
      <c r="V13" s="8">
        <f t="shared" si="5"/>
        <v>65</v>
      </c>
      <c r="W13" s="2">
        <f t="shared" si="6"/>
        <v>2</v>
      </c>
      <c r="X13" s="8">
        <f t="shared" si="7"/>
        <v>130.27000000000001</v>
      </c>
    </row>
    <row r="14" spans="1:24" x14ac:dyDescent="0.25">
      <c r="A14" s="2" t="s">
        <v>45</v>
      </c>
      <c r="B14" s="2" t="s">
        <v>264</v>
      </c>
      <c r="C14" s="2" t="s">
        <v>265</v>
      </c>
      <c r="D14" s="2" t="s">
        <v>46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56.41</v>
      </c>
      <c r="M14" s="2" t="s">
        <v>78</v>
      </c>
      <c r="P14" s="2" t="str">
        <f>Setup!$A$14</f>
        <v>Expert 11</v>
      </c>
      <c r="Q14" s="2">
        <f t="shared" si="0"/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0</v>
      </c>
      <c r="X14" s="8">
        <f t="shared" si="7"/>
        <v>0</v>
      </c>
    </row>
    <row r="15" spans="1:24" x14ac:dyDescent="0.25">
      <c r="A15" s="2" t="s">
        <v>43</v>
      </c>
      <c r="B15" s="2" t="s">
        <v>266</v>
      </c>
      <c r="C15" s="2" t="s">
        <v>267</v>
      </c>
      <c r="D15" s="2" t="s">
        <v>42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8">
        <v>18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4</v>
      </c>
      <c r="R15" s="2">
        <f t="shared" si="1"/>
        <v>1</v>
      </c>
      <c r="S15" s="2">
        <f t="shared" si="2"/>
        <v>1</v>
      </c>
      <c r="T15" s="2">
        <f t="shared" si="3"/>
        <v>0</v>
      </c>
      <c r="U15" s="2">
        <f t="shared" si="4"/>
        <v>0</v>
      </c>
      <c r="V15" s="8">
        <f t="shared" si="5"/>
        <v>78</v>
      </c>
      <c r="W15" s="2">
        <f t="shared" si="6"/>
        <v>4</v>
      </c>
      <c r="X15" s="8">
        <f t="shared" si="7"/>
        <v>211.73000000000002</v>
      </c>
    </row>
    <row r="16" spans="1:24" x14ac:dyDescent="0.25">
      <c r="A16" s="2" t="s">
        <v>55</v>
      </c>
      <c r="B16" s="2" t="s">
        <v>268</v>
      </c>
      <c r="C16" s="2" t="s">
        <v>269</v>
      </c>
      <c r="D16" s="2" t="s">
        <v>64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24</v>
      </c>
      <c r="K16" s="2">
        <v>1</v>
      </c>
      <c r="L16" s="8">
        <v>89.58</v>
      </c>
      <c r="M16" s="2" t="s">
        <v>78</v>
      </c>
      <c r="P16" s="9" t="s">
        <v>103</v>
      </c>
      <c r="Q16" s="10">
        <f t="shared" ref="Q16:X16" si="8">SUM(Q4:Q15)</f>
        <v>19</v>
      </c>
      <c r="R16" s="10">
        <f t="shared" si="8"/>
        <v>5</v>
      </c>
      <c r="S16" s="10">
        <f t="shared" si="8"/>
        <v>1</v>
      </c>
      <c r="T16" s="10">
        <f t="shared" si="8"/>
        <v>0</v>
      </c>
      <c r="U16" s="10">
        <f t="shared" si="8"/>
        <v>2</v>
      </c>
      <c r="V16" s="11">
        <f t="shared" si="8"/>
        <v>477</v>
      </c>
      <c r="W16" s="10">
        <f t="shared" si="8"/>
        <v>27</v>
      </c>
      <c r="X16" s="11">
        <f t="shared" si="8"/>
        <v>1574.91</v>
      </c>
    </row>
    <row r="17" spans="1:13" x14ac:dyDescent="0.25">
      <c r="A17" s="2" t="s">
        <v>55</v>
      </c>
      <c r="B17" s="2" t="s">
        <v>270</v>
      </c>
      <c r="C17" s="2" t="s">
        <v>271</v>
      </c>
      <c r="D17" s="2" t="s">
        <v>54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18</v>
      </c>
      <c r="K17" s="2">
        <v>1</v>
      </c>
      <c r="L17" s="8">
        <v>6.12</v>
      </c>
      <c r="M17" s="2" t="s">
        <v>78</v>
      </c>
    </row>
    <row r="18" spans="1:13" x14ac:dyDescent="0.25">
      <c r="A18" s="2" t="s">
        <v>51</v>
      </c>
      <c r="B18" s="2" t="s">
        <v>272</v>
      </c>
      <c r="C18" s="2" t="s">
        <v>273</v>
      </c>
      <c r="D18" s="2" t="s">
        <v>46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8">
        <v>33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35</v>
      </c>
      <c r="B19" s="2" t="s">
        <v>274</v>
      </c>
      <c r="C19" s="2" t="s">
        <v>275</v>
      </c>
      <c r="D19" s="2" t="s">
        <v>61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37</v>
      </c>
      <c r="B20" s="2" t="s">
        <v>276</v>
      </c>
      <c r="C20" s="2" t="s">
        <v>277</v>
      </c>
      <c r="D20" s="2" t="s">
        <v>58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16</v>
      </c>
      <c r="K20" s="2">
        <v>1</v>
      </c>
      <c r="L20" s="8">
        <v>176.37</v>
      </c>
      <c r="M20" s="2" t="s">
        <v>78</v>
      </c>
    </row>
    <row r="21" spans="1:13" x14ac:dyDescent="0.25">
      <c r="A21" s="2" t="s">
        <v>55</v>
      </c>
      <c r="B21" s="2" t="s">
        <v>278</v>
      </c>
      <c r="C21" s="2" t="s">
        <v>279</v>
      </c>
      <c r="D21" s="2" t="s">
        <v>61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0</v>
      </c>
      <c r="M21" s="2" t="s">
        <v>118</v>
      </c>
    </row>
    <row r="22" spans="1:13" x14ac:dyDescent="0.25">
      <c r="A22" s="2" t="s">
        <v>47</v>
      </c>
      <c r="B22" s="2" t="s">
        <v>280</v>
      </c>
      <c r="C22" s="2" t="s">
        <v>281</v>
      </c>
      <c r="D22" s="2" t="s">
        <v>64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33</v>
      </c>
      <c r="K22" s="2">
        <v>1</v>
      </c>
      <c r="L22" s="8">
        <v>36.85</v>
      </c>
      <c r="M22" s="2" t="s">
        <v>118</v>
      </c>
    </row>
    <row r="23" spans="1:13" x14ac:dyDescent="0.25">
      <c r="A23" s="2" t="s">
        <v>39</v>
      </c>
      <c r="B23" s="2" t="s">
        <v>282</v>
      </c>
      <c r="C23" s="2" t="s">
        <v>283</v>
      </c>
      <c r="D23" s="2" t="s">
        <v>65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39</v>
      </c>
      <c r="B24" s="2" t="s">
        <v>284</v>
      </c>
      <c r="C24" s="2" t="s">
        <v>285</v>
      </c>
      <c r="D24" s="2" t="s">
        <v>36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15</v>
      </c>
      <c r="K24" s="2">
        <v>1</v>
      </c>
      <c r="L24" s="8">
        <v>0</v>
      </c>
      <c r="M24" s="2" t="s">
        <v>118</v>
      </c>
    </row>
    <row r="25" spans="1:13" x14ac:dyDescent="0.25">
      <c r="A25" s="2" t="s">
        <v>41</v>
      </c>
      <c r="B25" s="2" t="s">
        <v>286</v>
      </c>
      <c r="C25" s="2" t="s">
        <v>287</v>
      </c>
      <c r="D25" s="2" t="s">
        <v>68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130.66</v>
      </c>
      <c r="M25" s="2" t="s">
        <v>78</v>
      </c>
    </row>
    <row r="26" spans="1:13" x14ac:dyDescent="0.25">
      <c r="A26" s="2" t="s">
        <v>37</v>
      </c>
      <c r="B26" s="2" t="s">
        <v>288</v>
      </c>
      <c r="C26" s="2" t="s">
        <v>289</v>
      </c>
      <c r="D26" s="2" t="s">
        <v>48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8">
        <v>18</v>
      </c>
      <c r="K26" s="2">
        <v>1</v>
      </c>
      <c r="L26" s="8">
        <v>179.8</v>
      </c>
      <c r="M26" s="2" t="s">
        <v>78</v>
      </c>
    </row>
    <row r="27" spans="1:13" x14ac:dyDescent="0.25">
      <c r="A27" s="2" t="s">
        <v>43</v>
      </c>
      <c r="B27" s="2" t="s">
        <v>290</v>
      </c>
      <c r="C27" s="2" t="s">
        <v>291</v>
      </c>
      <c r="D27" s="2" t="s">
        <v>34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0</v>
      </c>
      <c r="K27" s="2">
        <v>1</v>
      </c>
      <c r="L27" s="8">
        <v>25.33</v>
      </c>
      <c r="M27" s="2" t="s">
        <v>78</v>
      </c>
    </row>
    <row r="28" spans="1:13" x14ac:dyDescent="0.25">
      <c r="A28" s="2" t="s">
        <v>45</v>
      </c>
      <c r="B28" s="2" t="s">
        <v>292</v>
      </c>
      <c r="C28" s="2" t="s">
        <v>293</v>
      </c>
      <c r="D28" s="2" t="s">
        <v>63</v>
      </c>
      <c r="E28" s="2">
        <v>0</v>
      </c>
      <c r="F28" s="2">
        <v>1</v>
      </c>
      <c r="G28" s="2">
        <v>0</v>
      </c>
      <c r="H28" s="2">
        <v>0</v>
      </c>
      <c r="I28" s="2">
        <v>0</v>
      </c>
      <c r="J28" s="8">
        <v>24</v>
      </c>
      <c r="K28" s="2">
        <v>1</v>
      </c>
      <c r="L28" s="8">
        <v>22.08</v>
      </c>
      <c r="M28" s="2" t="s">
        <v>78</v>
      </c>
    </row>
    <row r="29" spans="1:13" x14ac:dyDescent="0.25">
      <c r="A29" s="2" t="s">
        <v>45</v>
      </c>
      <c r="B29" s="2" t="s">
        <v>294</v>
      </c>
      <c r="C29" s="2" t="s">
        <v>295</v>
      </c>
      <c r="D29" s="2" t="s">
        <v>64</v>
      </c>
      <c r="E29" s="2">
        <v>1</v>
      </c>
      <c r="F29" s="2">
        <v>0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0</v>
      </c>
      <c r="M29" s="2" t="s">
        <v>78</v>
      </c>
    </row>
    <row r="30" spans="1:13" x14ac:dyDescent="0.25">
      <c r="A30" s="2" t="s">
        <v>39</v>
      </c>
      <c r="B30" s="2" t="s">
        <v>296</v>
      </c>
      <c r="C30" s="2" t="s">
        <v>297</v>
      </c>
      <c r="D30" s="2" t="s">
        <v>44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24</v>
      </c>
      <c r="K30" s="2">
        <v>1</v>
      </c>
      <c r="L30" s="8">
        <v>66.83</v>
      </c>
      <c r="M30" s="2" t="s">
        <v>78</v>
      </c>
    </row>
    <row r="31" spans="1:13" x14ac:dyDescent="0.25">
      <c r="A31" s="2" t="s">
        <v>37</v>
      </c>
      <c r="B31" s="2" t="s">
        <v>298</v>
      </c>
      <c r="C31" s="2" t="s">
        <v>299</v>
      </c>
      <c r="D31" s="2" t="s">
        <v>68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8">
        <v>0</v>
      </c>
      <c r="K31" s="2">
        <v>1</v>
      </c>
      <c r="L31" s="8">
        <v>0</v>
      </c>
      <c r="M31" s="2" t="s">
        <v>78</v>
      </c>
    </row>
    <row r="32" spans="1:13" x14ac:dyDescent="0.25">
      <c r="A32" s="2" t="s">
        <v>33</v>
      </c>
      <c r="B32" s="2" t="s">
        <v>300</v>
      </c>
      <c r="C32" s="2" t="s">
        <v>301</v>
      </c>
      <c r="D32" s="2" t="s">
        <v>50</v>
      </c>
      <c r="E32" s="2">
        <v>0</v>
      </c>
      <c r="F32" s="2">
        <v>1</v>
      </c>
      <c r="G32" s="2">
        <v>0</v>
      </c>
      <c r="H32" s="2">
        <v>0</v>
      </c>
      <c r="I32" s="2">
        <v>0</v>
      </c>
      <c r="J32" s="8">
        <v>0</v>
      </c>
      <c r="K32" s="2">
        <v>1</v>
      </c>
      <c r="L32" s="8">
        <v>0</v>
      </c>
      <c r="M32" s="2" t="s">
        <v>78</v>
      </c>
    </row>
    <row r="33" spans="1:13" x14ac:dyDescent="0.25">
      <c r="A33" s="2" t="s">
        <v>47</v>
      </c>
      <c r="B33" s="2" t="s">
        <v>302</v>
      </c>
      <c r="C33" s="2" t="s">
        <v>303</v>
      </c>
      <c r="D33" s="2" t="s">
        <v>54</v>
      </c>
      <c r="E33" s="2">
        <v>1</v>
      </c>
      <c r="F33" s="2">
        <v>0</v>
      </c>
      <c r="G33" s="2">
        <v>0</v>
      </c>
      <c r="H33" s="2">
        <v>0</v>
      </c>
      <c r="I33" s="2">
        <v>0</v>
      </c>
      <c r="J33" s="8">
        <v>33</v>
      </c>
      <c r="K33" s="2">
        <v>1</v>
      </c>
      <c r="L33" s="8">
        <v>0</v>
      </c>
      <c r="M33" s="2" t="s">
        <v>78</v>
      </c>
    </row>
    <row r="34" spans="1:13" x14ac:dyDescent="0.25">
      <c r="A34" s="2" t="s">
        <v>51</v>
      </c>
      <c r="B34" s="2" t="s">
        <v>304</v>
      </c>
      <c r="C34" s="2" t="s">
        <v>305</v>
      </c>
      <c r="D34" s="2" t="s">
        <v>64</v>
      </c>
      <c r="E34" s="2">
        <v>1</v>
      </c>
      <c r="F34" s="2">
        <v>0</v>
      </c>
      <c r="G34" s="2">
        <v>0</v>
      </c>
      <c r="H34" s="2">
        <v>0</v>
      </c>
      <c r="I34" s="2">
        <v>0</v>
      </c>
      <c r="J34" s="8">
        <v>16</v>
      </c>
      <c r="K34" s="2">
        <v>1</v>
      </c>
      <c r="L34" s="8">
        <v>130.27000000000001</v>
      </c>
      <c r="M34" s="2" t="s">
        <v>78</v>
      </c>
    </row>
    <row r="35" spans="1:13" x14ac:dyDescent="0.25">
      <c r="A35" s="2" t="s">
        <v>53</v>
      </c>
      <c r="B35" s="2" t="s">
        <v>306</v>
      </c>
      <c r="C35" s="2" t="s">
        <v>307</v>
      </c>
      <c r="D35" s="2" t="s">
        <v>67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8">
        <v>0</v>
      </c>
      <c r="K35" s="2">
        <v>0</v>
      </c>
      <c r="L35" s="8">
        <v>0</v>
      </c>
      <c r="M35" s="2" t="s">
        <v>78</v>
      </c>
    </row>
    <row r="36" spans="1:13" x14ac:dyDescent="0.25">
      <c r="A36" s="2" t="s">
        <v>55</v>
      </c>
      <c r="B36" s="2" t="s">
        <v>308</v>
      </c>
      <c r="C36" s="2" t="s">
        <v>309</v>
      </c>
      <c r="D36" s="2" t="s">
        <v>40</v>
      </c>
      <c r="E36" s="2">
        <v>1</v>
      </c>
      <c r="F36" s="2">
        <v>0</v>
      </c>
      <c r="G36" s="2">
        <v>0</v>
      </c>
      <c r="H36" s="2">
        <v>0</v>
      </c>
      <c r="I36" s="2">
        <v>0</v>
      </c>
      <c r="J36" s="8">
        <v>18</v>
      </c>
      <c r="K36" s="2">
        <v>1</v>
      </c>
      <c r="L36" s="8">
        <v>116.03</v>
      </c>
      <c r="M36" s="2" t="s">
        <v>78</v>
      </c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310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37</v>
      </c>
      <c r="B4" s="2" t="s">
        <v>311</v>
      </c>
      <c r="C4" s="2" t="s">
        <v>312</v>
      </c>
      <c r="D4" s="2" t="s">
        <v>65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46.84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15</v>
      </c>
      <c r="W4" s="2">
        <f t="shared" ref="W4:W15" si="6">SUMIF($A$4:$A$43,$P4,K$4:K$43)</f>
        <v>0</v>
      </c>
      <c r="X4" s="8">
        <f t="shared" ref="X4:X15" si="7">SUMIF($A$4:$A$43,$P4,L$4:L$43)</f>
        <v>153.06</v>
      </c>
    </row>
    <row r="5" spans="1:24" x14ac:dyDescent="0.25">
      <c r="A5" s="2" t="s">
        <v>43</v>
      </c>
      <c r="B5" s="2" t="s">
        <v>313</v>
      </c>
      <c r="C5" s="2" t="s">
        <v>314</v>
      </c>
      <c r="D5" s="2" t="s">
        <v>40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18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0</v>
      </c>
      <c r="R5" s="2">
        <f t="shared" si="1"/>
        <v>1</v>
      </c>
      <c r="S5" s="2">
        <f t="shared" si="2"/>
        <v>0</v>
      </c>
      <c r="T5" s="2">
        <f t="shared" si="3"/>
        <v>0</v>
      </c>
      <c r="U5" s="2">
        <f t="shared" si="4"/>
        <v>1</v>
      </c>
      <c r="V5" s="8">
        <f t="shared" si="5"/>
        <v>15</v>
      </c>
      <c r="W5" s="2">
        <f t="shared" si="6"/>
        <v>2</v>
      </c>
      <c r="X5" s="8">
        <f t="shared" si="7"/>
        <v>170.72</v>
      </c>
    </row>
    <row r="6" spans="1:24" x14ac:dyDescent="0.25">
      <c r="A6" s="2" t="s">
        <v>53</v>
      </c>
      <c r="B6" s="2" t="s">
        <v>315</v>
      </c>
      <c r="C6" s="2" t="s">
        <v>316</v>
      </c>
      <c r="D6" s="2" t="s">
        <v>62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91.71</v>
      </c>
      <c r="M6" s="2" t="s">
        <v>78</v>
      </c>
      <c r="P6" s="2" t="str">
        <f>Setup!$A$6</f>
        <v>Expert 03</v>
      </c>
      <c r="Q6" s="2">
        <f t="shared" si="0"/>
        <v>2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18</v>
      </c>
      <c r="W6" s="2">
        <f t="shared" si="6"/>
        <v>2</v>
      </c>
      <c r="X6" s="8">
        <f t="shared" si="7"/>
        <v>77.77000000000001</v>
      </c>
    </row>
    <row r="7" spans="1:24" x14ac:dyDescent="0.25">
      <c r="A7" s="2" t="s">
        <v>37</v>
      </c>
      <c r="B7" s="2" t="s">
        <v>317</v>
      </c>
      <c r="C7" s="2" t="s">
        <v>318</v>
      </c>
      <c r="D7" s="2" t="s">
        <v>40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18</v>
      </c>
      <c r="K7" s="2">
        <v>1</v>
      </c>
      <c r="L7" s="8">
        <v>30.93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1</v>
      </c>
      <c r="U7" s="2">
        <f t="shared" si="4"/>
        <v>1</v>
      </c>
      <c r="V7" s="8">
        <f t="shared" si="5"/>
        <v>15</v>
      </c>
      <c r="W7" s="2">
        <f t="shared" si="6"/>
        <v>0</v>
      </c>
      <c r="X7" s="8">
        <f t="shared" si="7"/>
        <v>112.26</v>
      </c>
    </row>
    <row r="8" spans="1:24" x14ac:dyDescent="0.25">
      <c r="A8" s="2" t="s">
        <v>43</v>
      </c>
      <c r="B8" s="2" t="s">
        <v>319</v>
      </c>
      <c r="C8" s="2" t="s">
        <v>320</v>
      </c>
      <c r="D8" s="2" t="s">
        <v>36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24</v>
      </c>
      <c r="K8" s="2">
        <v>1</v>
      </c>
      <c r="L8" s="8">
        <v>156.15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16</v>
      </c>
      <c r="W8" s="2">
        <f t="shared" si="6"/>
        <v>1</v>
      </c>
      <c r="X8" s="8">
        <f t="shared" si="7"/>
        <v>0</v>
      </c>
    </row>
    <row r="9" spans="1:24" x14ac:dyDescent="0.25">
      <c r="A9" s="2" t="s">
        <v>49</v>
      </c>
      <c r="B9" s="2" t="s">
        <v>321</v>
      </c>
      <c r="C9" s="2" t="s">
        <v>322</v>
      </c>
      <c r="D9" s="2" t="s">
        <v>40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16</v>
      </c>
      <c r="K9" s="2">
        <v>1</v>
      </c>
      <c r="L9" s="8">
        <v>55.54</v>
      </c>
      <c r="M9" s="2" t="s">
        <v>78</v>
      </c>
      <c r="P9" s="2" t="str">
        <f>Setup!$A$9</f>
        <v>Expert 06</v>
      </c>
      <c r="Q9" s="2">
        <f t="shared" si="0"/>
        <v>4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75</v>
      </c>
      <c r="W9" s="2">
        <f t="shared" si="6"/>
        <v>3</v>
      </c>
      <c r="X9" s="8">
        <f t="shared" si="7"/>
        <v>378.11</v>
      </c>
    </row>
    <row r="10" spans="1:24" x14ac:dyDescent="0.25">
      <c r="A10" s="2" t="s">
        <v>41</v>
      </c>
      <c r="B10" s="2" t="s">
        <v>323</v>
      </c>
      <c r="C10" s="2" t="s">
        <v>324</v>
      </c>
      <c r="D10" s="2" t="s">
        <v>54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16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32</v>
      </c>
      <c r="W10" s="2">
        <f t="shared" si="6"/>
        <v>2</v>
      </c>
      <c r="X10" s="8">
        <f t="shared" si="7"/>
        <v>0</v>
      </c>
    </row>
    <row r="11" spans="1:24" x14ac:dyDescent="0.25">
      <c r="A11" s="2" t="s">
        <v>47</v>
      </c>
      <c r="B11" s="2" t="s">
        <v>325</v>
      </c>
      <c r="C11" s="2" t="s">
        <v>326</v>
      </c>
      <c r="D11" s="2" t="s">
        <v>52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0</v>
      </c>
      <c r="M11" s="2" t="s">
        <v>118</v>
      </c>
      <c r="P11" s="2" t="str">
        <f>Setup!$A$11</f>
        <v>Expert 08</v>
      </c>
      <c r="Q11" s="2">
        <f t="shared" si="0"/>
        <v>1</v>
      </c>
      <c r="R11" s="2">
        <f t="shared" si="1"/>
        <v>1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3</v>
      </c>
      <c r="X11" s="8">
        <f t="shared" si="7"/>
        <v>174.95</v>
      </c>
    </row>
    <row r="12" spans="1:24" x14ac:dyDescent="0.25">
      <c r="A12" s="2" t="s">
        <v>55</v>
      </c>
      <c r="B12" s="2" t="s">
        <v>327</v>
      </c>
      <c r="C12" s="2" t="s">
        <v>328</v>
      </c>
      <c r="D12" s="2" t="s">
        <v>50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134.21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40</v>
      </c>
      <c r="W12" s="2">
        <f t="shared" si="6"/>
        <v>2</v>
      </c>
      <c r="X12" s="8">
        <f t="shared" si="7"/>
        <v>164.52</v>
      </c>
    </row>
    <row r="13" spans="1:24" x14ac:dyDescent="0.25">
      <c r="A13" s="2" t="s">
        <v>45</v>
      </c>
      <c r="B13" s="2" t="s">
        <v>329</v>
      </c>
      <c r="C13" s="2" t="s">
        <v>330</v>
      </c>
      <c r="D13" s="2" t="s">
        <v>65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16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0</v>
      </c>
      <c r="W13" s="2">
        <f t="shared" si="6"/>
        <v>2</v>
      </c>
      <c r="X13" s="8">
        <f t="shared" si="7"/>
        <v>6.65</v>
      </c>
    </row>
    <row r="14" spans="1:24" x14ac:dyDescent="0.25">
      <c r="A14" s="2" t="s">
        <v>35</v>
      </c>
      <c r="B14" s="2" t="s">
        <v>331</v>
      </c>
      <c r="C14" s="2" t="s">
        <v>332</v>
      </c>
      <c r="D14" s="2" t="s">
        <v>34</v>
      </c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2</v>
      </c>
      <c r="X14" s="8">
        <f t="shared" si="7"/>
        <v>109.94</v>
      </c>
    </row>
    <row r="15" spans="1:24" x14ac:dyDescent="0.25">
      <c r="A15" s="2" t="s">
        <v>51</v>
      </c>
      <c r="B15" s="2" t="s">
        <v>333</v>
      </c>
      <c r="C15" s="2" t="s">
        <v>334</v>
      </c>
      <c r="D15" s="2" t="s">
        <v>50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6.65</v>
      </c>
      <c r="M15" s="2" t="s">
        <v>118</v>
      </c>
      <c r="P15" s="2" t="str">
        <f>Setup!$A$15</f>
        <v>Expert 12</v>
      </c>
      <c r="Q15" s="2">
        <f t="shared" si="0"/>
        <v>2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33</v>
      </c>
      <c r="W15" s="2">
        <f t="shared" si="6"/>
        <v>2</v>
      </c>
      <c r="X15" s="8">
        <f t="shared" si="7"/>
        <v>217.35000000000002</v>
      </c>
    </row>
    <row r="16" spans="1:24" x14ac:dyDescent="0.25">
      <c r="A16" s="2" t="s">
        <v>47</v>
      </c>
      <c r="B16" s="2" t="s">
        <v>335</v>
      </c>
      <c r="C16" s="2" t="s">
        <v>336</v>
      </c>
      <c r="D16" s="2" t="s">
        <v>50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158.53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4</v>
      </c>
      <c r="S16" s="10">
        <f t="shared" si="8"/>
        <v>0</v>
      </c>
      <c r="T16" s="10">
        <f t="shared" si="8"/>
        <v>1</v>
      </c>
      <c r="U16" s="10">
        <f t="shared" si="8"/>
        <v>2</v>
      </c>
      <c r="V16" s="11">
        <f t="shared" si="8"/>
        <v>259</v>
      </c>
      <c r="W16" s="10">
        <f t="shared" si="8"/>
        <v>21</v>
      </c>
      <c r="X16" s="11">
        <f t="shared" si="8"/>
        <v>1565.33</v>
      </c>
    </row>
    <row r="17" spans="1:13" x14ac:dyDescent="0.25">
      <c r="A17" s="2" t="s">
        <v>49</v>
      </c>
      <c r="B17" s="2" t="s">
        <v>337</v>
      </c>
      <c r="C17" s="2" t="s">
        <v>338</v>
      </c>
      <c r="D17" s="2" t="s">
        <v>58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8">
        <v>24</v>
      </c>
      <c r="K17" s="2">
        <v>1</v>
      </c>
      <c r="L17" s="8">
        <v>108.98</v>
      </c>
      <c r="M17" s="2" t="s">
        <v>78</v>
      </c>
    </row>
    <row r="18" spans="1:13" x14ac:dyDescent="0.25">
      <c r="A18" s="2" t="s">
        <v>51</v>
      </c>
      <c r="B18" s="2" t="s">
        <v>339</v>
      </c>
      <c r="C18" s="2" t="s">
        <v>340</v>
      </c>
      <c r="D18" s="2" t="s">
        <v>40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35</v>
      </c>
      <c r="B19" s="2" t="s">
        <v>341</v>
      </c>
      <c r="C19" s="2" t="s">
        <v>342</v>
      </c>
      <c r="D19" s="2" t="s">
        <v>66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8">
        <v>15</v>
      </c>
      <c r="K19" s="2">
        <v>0</v>
      </c>
      <c r="L19" s="8">
        <v>170.72</v>
      </c>
      <c r="M19" s="2" t="s">
        <v>78</v>
      </c>
    </row>
    <row r="20" spans="1:13" x14ac:dyDescent="0.25">
      <c r="A20" s="2" t="s">
        <v>35</v>
      </c>
      <c r="B20" s="2" t="s">
        <v>343</v>
      </c>
      <c r="C20" s="2" t="s">
        <v>344</v>
      </c>
      <c r="D20" s="2" t="s">
        <v>68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47</v>
      </c>
      <c r="B21" s="2" t="s">
        <v>345</v>
      </c>
      <c r="C21" s="2" t="s">
        <v>346</v>
      </c>
      <c r="D21" s="2" t="s">
        <v>65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16.420000000000002</v>
      </c>
      <c r="M21" s="2" t="s">
        <v>78</v>
      </c>
    </row>
    <row r="22" spans="1:13" x14ac:dyDescent="0.25">
      <c r="A22" s="2" t="s">
        <v>39</v>
      </c>
      <c r="B22" s="2" t="s">
        <v>347</v>
      </c>
      <c r="C22" s="2" t="s">
        <v>348</v>
      </c>
      <c r="D22" s="2" t="s">
        <v>66</v>
      </c>
      <c r="E22" s="2">
        <v>0</v>
      </c>
      <c r="F22" s="2">
        <v>0</v>
      </c>
      <c r="G22" s="2">
        <v>0</v>
      </c>
      <c r="H22" s="2">
        <v>1</v>
      </c>
      <c r="I22" s="2">
        <v>1</v>
      </c>
      <c r="J22" s="8">
        <v>15</v>
      </c>
      <c r="K22" s="2">
        <v>0</v>
      </c>
      <c r="L22" s="8">
        <v>112.26</v>
      </c>
      <c r="M22" s="2" t="s">
        <v>78</v>
      </c>
    </row>
    <row r="23" spans="1:13" x14ac:dyDescent="0.25">
      <c r="A23" s="2" t="s">
        <v>43</v>
      </c>
      <c r="B23" s="2" t="s">
        <v>349</v>
      </c>
      <c r="C23" s="2" t="s">
        <v>350</v>
      </c>
      <c r="D23" s="2" t="s">
        <v>64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33</v>
      </c>
      <c r="K23" s="2">
        <v>1</v>
      </c>
      <c r="L23" s="8">
        <v>59.39</v>
      </c>
      <c r="M23" s="2" t="s">
        <v>78</v>
      </c>
    </row>
    <row r="24" spans="1:13" x14ac:dyDescent="0.25">
      <c r="A24" s="2" t="s">
        <v>53</v>
      </c>
      <c r="B24" s="2" t="s">
        <v>351</v>
      </c>
      <c r="C24" s="2" t="s">
        <v>352</v>
      </c>
      <c r="D24" s="2" t="s">
        <v>38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18.23</v>
      </c>
      <c r="M24" s="2" t="s">
        <v>78</v>
      </c>
    </row>
    <row r="25" spans="1:13" x14ac:dyDescent="0.25">
      <c r="A25" s="2" t="s">
        <v>55</v>
      </c>
      <c r="B25" s="2" t="s">
        <v>353</v>
      </c>
      <c r="C25" s="2" t="s">
        <v>354</v>
      </c>
      <c r="D25" s="2" t="s">
        <v>50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33</v>
      </c>
      <c r="K25" s="2">
        <v>1</v>
      </c>
      <c r="L25" s="8">
        <v>83.14</v>
      </c>
      <c r="M25" s="2" t="s">
        <v>78</v>
      </c>
    </row>
    <row r="26" spans="1:13" x14ac:dyDescent="0.25">
      <c r="A26" s="2" t="s">
        <v>43</v>
      </c>
      <c r="B26" s="2" t="s">
        <v>355</v>
      </c>
      <c r="C26" s="2" t="s">
        <v>356</v>
      </c>
      <c r="D26" s="2" t="s">
        <v>67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0</v>
      </c>
      <c r="K26" s="2">
        <v>0</v>
      </c>
      <c r="L26" s="8">
        <v>162.57</v>
      </c>
      <c r="M26" s="2" t="s">
        <v>78</v>
      </c>
    </row>
    <row r="27" spans="1:13" x14ac:dyDescent="0.25">
      <c r="A27" s="2" t="s">
        <v>33</v>
      </c>
      <c r="B27" s="2" t="s">
        <v>357</v>
      </c>
      <c r="C27" s="2" t="s">
        <v>358</v>
      </c>
      <c r="D27" s="2" t="s">
        <v>67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15</v>
      </c>
      <c r="K27" s="2">
        <v>0</v>
      </c>
      <c r="L27" s="8">
        <v>153.06</v>
      </c>
      <c r="M27" s="2" t="s">
        <v>78</v>
      </c>
    </row>
    <row r="28" spans="1:13" x14ac:dyDescent="0.25">
      <c r="A28" s="2" t="s">
        <v>45</v>
      </c>
      <c r="B28" s="2" t="s">
        <v>359</v>
      </c>
      <c r="C28" s="2" t="s">
        <v>360</v>
      </c>
      <c r="D28" s="2" t="s">
        <v>58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16</v>
      </c>
      <c r="K28" s="2">
        <v>1</v>
      </c>
      <c r="L28" s="8">
        <v>0</v>
      </c>
      <c r="M28" s="2" t="s">
        <v>78</v>
      </c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361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39</v>
      </c>
      <c r="B4" s="2" t="s">
        <v>362</v>
      </c>
      <c r="C4" s="2" t="s">
        <v>363</v>
      </c>
      <c r="D4" s="2" t="s">
        <v>63</v>
      </c>
      <c r="E4" s="2">
        <v>1</v>
      </c>
      <c r="F4" s="2">
        <v>0</v>
      </c>
      <c r="G4" s="2">
        <v>0</v>
      </c>
      <c r="H4" s="2">
        <v>1</v>
      </c>
      <c r="I4" s="2">
        <v>0</v>
      </c>
      <c r="J4" s="8">
        <v>15</v>
      </c>
      <c r="K4" s="2">
        <v>1</v>
      </c>
      <c r="L4" s="8">
        <v>170.25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1</v>
      </c>
      <c r="X4" s="8">
        <f t="shared" ref="X4:X15" si="7">SUMIF($A$4:$A$43,$P4,L$4:L$43)</f>
        <v>0</v>
      </c>
    </row>
    <row r="5" spans="1:24" x14ac:dyDescent="0.25">
      <c r="A5" s="2" t="s">
        <v>35</v>
      </c>
      <c r="B5" s="2" t="s">
        <v>364</v>
      </c>
      <c r="C5" s="2" t="s">
        <v>365</v>
      </c>
      <c r="D5" s="2" t="s">
        <v>42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39.68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1</v>
      </c>
      <c r="S5" s="2">
        <f t="shared" si="2"/>
        <v>1</v>
      </c>
      <c r="T5" s="2">
        <f t="shared" si="3"/>
        <v>0</v>
      </c>
      <c r="U5" s="2">
        <f t="shared" si="4"/>
        <v>0</v>
      </c>
      <c r="V5" s="8">
        <f t="shared" si="5"/>
        <v>24</v>
      </c>
      <c r="W5" s="2">
        <f t="shared" si="6"/>
        <v>2</v>
      </c>
      <c r="X5" s="8">
        <f t="shared" si="7"/>
        <v>39.68</v>
      </c>
    </row>
    <row r="6" spans="1:24" x14ac:dyDescent="0.25">
      <c r="A6" s="2" t="s">
        <v>53</v>
      </c>
      <c r="B6" s="2" t="s">
        <v>366</v>
      </c>
      <c r="C6" s="2" t="s">
        <v>367</v>
      </c>
      <c r="D6" s="2" t="s">
        <v>68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33</v>
      </c>
      <c r="K6" s="2">
        <v>1</v>
      </c>
      <c r="L6" s="8">
        <v>54.7</v>
      </c>
      <c r="M6" s="2" t="s">
        <v>78</v>
      </c>
      <c r="P6" s="2" t="str">
        <f>Setup!$A$6</f>
        <v>Expert 03</v>
      </c>
      <c r="Q6" s="2">
        <f t="shared" si="0"/>
        <v>2</v>
      </c>
      <c r="R6" s="2">
        <f t="shared" si="1"/>
        <v>1</v>
      </c>
      <c r="S6" s="2">
        <f t="shared" si="2"/>
        <v>1</v>
      </c>
      <c r="T6" s="2">
        <f t="shared" si="3"/>
        <v>1</v>
      </c>
      <c r="U6" s="2">
        <f t="shared" si="4"/>
        <v>0</v>
      </c>
      <c r="V6" s="8">
        <f t="shared" si="5"/>
        <v>0</v>
      </c>
      <c r="W6" s="2">
        <f t="shared" si="6"/>
        <v>3</v>
      </c>
      <c r="X6" s="8">
        <f t="shared" si="7"/>
        <v>35.82</v>
      </c>
    </row>
    <row r="7" spans="1:24" x14ac:dyDescent="0.25">
      <c r="A7" s="2" t="s">
        <v>55</v>
      </c>
      <c r="B7" s="2" t="s">
        <v>368</v>
      </c>
      <c r="C7" s="2" t="s">
        <v>369</v>
      </c>
      <c r="D7" s="2" t="s">
        <v>50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86.37</v>
      </c>
      <c r="M7" s="2" t="s">
        <v>118</v>
      </c>
      <c r="P7" s="2" t="str">
        <f>Setup!$A$7</f>
        <v>Expert 04</v>
      </c>
      <c r="Q7" s="2">
        <f t="shared" si="0"/>
        <v>5</v>
      </c>
      <c r="R7" s="2">
        <f t="shared" si="1"/>
        <v>1</v>
      </c>
      <c r="S7" s="2">
        <f t="shared" si="2"/>
        <v>1</v>
      </c>
      <c r="T7" s="2">
        <f t="shared" si="3"/>
        <v>1</v>
      </c>
      <c r="U7" s="2">
        <f t="shared" si="4"/>
        <v>0</v>
      </c>
      <c r="V7" s="8">
        <f t="shared" si="5"/>
        <v>33</v>
      </c>
      <c r="W7" s="2">
        <f t="shared" si="6"/>
        <v>5</v>
      </c>
      <c r="X7" s="8">
        <f t="shared" si="7"/>
        <v>484.30999999999995</v>
      </c>
    </row>
    <row r="8" spans="1:24" x14ac:dyDescent="0.25">
      <c r="A8" s="2" t="s">
        <v>37</v>
      </c>
      <c r="B8" s="2" t="s">
        <v>370</v>
      </c>
      <c r="C8" s="2" t="s">
        <v>371</v>
      </c>
      <c r="D8" s="2" t="s">
        <v>46</v>
      </c>
      <c r="E8" s="2">
        <v>1</v>
      </c>
      <c r="F8" s="2">
        <v>0</v>
      </c>
      <c r="G8" s="2">
        <v>1</v>
      </c>
      <c r="H8" s="2">
        <v>0</v>
      </c>
      <c r="I8" s="2">
        <v>0</v>
      </c>
      <c r="J8" s="8">
        <v>0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33</v>
      </c>
      <c r="W8" s="2">
        <f t="shared" si="6"/>
        <v>3</v>
      </c>
      <c r="X8" s="8">
        <f t="shared" si="7"/>
        <v>278.89</v>
      </c>
    </row>
    <row r="9" spans="1:24" x14ac:dyDescent="0.25">
      <c r="A9" s="2" t="s">
        <v>41</v>
      </c>
      <c r="B9" s="2" t="s">
        <v>372</v>
      </c>
      <c r="C9" s="2" t="s">
        <v>373</v>
      </c>
      <c r="D9" s="2" t="s">
        <v>57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113.07</v>
      </c>
      <c r="M9" s="2" t="s">
        <v>118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0</v>
      </c>
    </row>
    <row r="10" spans="1:24" x14ac:dyDescent="0.25">
      <c r="A10" s="2" t="s">
        <v>41</v>
      </c>
      <c r="B10" s="2" t="s">
        <v>374</v>
      </c>
      <c r="C10" s="2" t="s">
        <v>375</v>
      </c>
      <c r="D10" s="2" t="s">
        <v>36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165.82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1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16</v>
      </c>
      <c r="W10" s="2">
        <f t="shared" si="6"/>
        <v>1</v>
      </c>
      <c r="X10" s="8">
        <f t="shared" si="7"/>
        <v>57.13</v>
      </c>
    </row>
    <row r="11" spans="1:24" x14ac:dyDescent="0.25">
      <c r="A11" s="2" t="s">
        <v>39</v>
      </c>
      <c r="B11" s="2" t="s">
        <v>376</v>
      </c>
      <c r="C11" s="2" t="s">
        <v>377</v>
      </c>
      <c r="D11" s="2" t="s">
        <v>48</v>
      </c>
      <c r="E11" s="2">
        <v>1</v>
      </c>
      <c r="F11" s="2">
        <v>0</v>
      </c>
      <c r="G11" s="2">
        <v>1</v>
      </c>
      <c r="H11" s="2">
        <v>0</v>
      </c>
      <c r="I11" s="2">
        <v>0</v>
      </c>
      <c r="J11" s="8">
        <v>0</v>
      </c>
      <c r="K11" s="2">
        <v>1</v>
      </c>
      <c r="L11" s="8">
        <v>85.77</v>
      </c>
      <c r="M11" s="2" t="s">
        <v>78</v>
      </c>
      <c r="P11" s="2" t="str">
        <f>Setup!$A$11</f>
        <v>Expert 08</v>
      </c>
      <c r="Q11" s="2">
        <f t="shared" si="0"/>
        <v>0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0</v>
      </c>
      <c r="X11" s="8">
        <f t="shared" si="7"/>
        <v>0</v>
      </c>
    </row>
    <row r="12" spans="1:24" x14ac:dyDescent="0.25">
      <c r="A12" s="2" t="s">
        <v>39</v>
      </c>
      <c r="B12" s="2" t="s">
        <v>378</v>
      </c>
      <c r="C12" s="2" t="s">
        <v>379</v>
      </c>
      <c r="D12" s="2" t="s">
        <v>67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0</v>
      </c>
      <c r="L12" s="8">
        <v>151.41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1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2</v>
      </c>
      <c r="X12" s="8">
        <f t="shared" si="7"/>
        <v>35.9</v>
      </c>
    </row>
    <row r="13" spans="1:24" x14ac:dyDescent="0.25">
      <c r="A13" s="2" t="s">
        <v>37</v>
      </c>
      <c r="B13" s="2" t="s">
        <v>380</v>
      </c>
      <c r="C13" s="2" t="s">
        <v>381</v>
      </c>
      <c r="D13" s="2" t="s">
        <v>57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35.82</v>
      </c>
      <c r="M13" s="2" t="s">
        <v>78</v>
      </c>
      <c r="P13" s="2" t="str">
        <f>Setup!$A$13</f>
        <v>Expert 10</v>
      </c>
      <c r="Q13" s="2">
        <f t="shared" si="0"/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16</v>
      </c>
      <c r="W13" s="2">
        <f t="shared" si="6"/>
        <v>2</v>
      </c>
      <c r="X13" s="8">
        <f t="shared" si="7"/>
        <v>264.25</v>
      </c>
    </row>
    <row r="14" spans="1:24" x14ac:dyDescent="0.25">
      <c r="A14" s="2" t="s">
        <v>45</v>
      </c>
      <c r="B14" s="2" t="s">
        <v>382</v>
      </c>
      <c r="C14" s="2" t="s">
        <v>383</v>
      </c>
      <c r="D14" s="2" t="s">
        <v>69</v>
      </c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8">
        <v>0</v>
      </c>
      <c r="K14" s="2">
        <v>0</v>
      </c>
      <c r="L14" s="8">
        <v>57.13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33</v>
      </c>
      <c r="W14" s="2">
        <f t="shared" si="6"/>
        <v>2</v>
      </c>
      <c r="X14" s="8">
        <f t="shared" si="7"/>
        <v>168.95</v>
      </c>
    </row>
    <row r="15" spans="1:24" x14ac:dyDescent="0.25">
      <c r="A15" s="2" t="s">
        <v>39</v>
      </c>
      <c r="B15" s="2" t="s">
        <v>384</v>
      </c>
      <c r="C15" s="2" t="s">
        <v>385</v>
      </c>
      <c r="D15" s="2" t="s">
        <v>68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72.959999999999994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2</v>
      </c>
      <c r="X15" s="8">
        <f t="shared" si="7"/>
        <v>258.14999999999998</v>
      </c>
    </row>
    <row r="16" spans="1:24" x14ac:dyDescent="0.25">
      <c r="A16" s="2" t="s">
        <v>39</v>
      </c>
      <c r="B16" s="2" t="s">
        <v>386</v>
      </c>
      <c r="C16" s="2" t="s">
        <v>387</v>
      </c>
      <c r="D16" s="2" t="s">
        <v>42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18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15</v>
      </c>
      <c r="R16" s="10">
        <f t="shared" si="8"/>
        <v>5</v>
      </c>
      <c r="S16" s="10">
        <f t="shared" si="8"/>
        <v>3</v>
      </c>
      <c r="T16" s="10">
        <f t="shared" si="8"/>
        <v>2</v>
      </c>
      <c r="U16" s="10">
        <f t="shared" si="8"/>
        <v>0</v>
      </c>
      <c r="V16" s="11">
        <f t="shared" si="8"/>
        <v>155</v>
      </c>
      <c r="W16" s="10">
        <f t="shared" si="8"/>
        <v>23</v>
      </c>
      <c r="X16" s="11">
        <f t="shared" si="8"/>
        <v>1623.08</v>
      </c>
    </row>
    <row r="17" spans="1:13" x14ac:dyDescent="0.25">
      <c r="A17" s="2" t="s">
        <v>39</v>
      </c>
      <c r="B17" s="2" t="s">
        <v>388</v>
      </c>
      <c r="C17" s="2" t="s">
        <v>389</v>
      </c>
      <c r="D17" s="2" t="s">
        <v>54</v>
      </c>
      <c r="E17" s="2">
        <v>0</v>
      </c>
      <c r="F17" s="2">
        <v>1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3.92</v>
      </c>
      <c r="M17" s="2" t="s">
        <v>78</v>
      </c>
    </row>
    <row r="18" spans="1:13" x14ac:dyDescent="0.25">
      <c r="A18" s="2" t="s">
        <v>49</v>
      </c>
      <c r="B18" s="2" t="s">
        <v>390</v>
      </c>
      <c r="C18" s="2" t="s">
        <v>391</v>
      </c>
      <c r="D18" s="2" t="s">
        <v>42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49</v>
      </c>
      <c r="B19" s="2" t="s">
        <v>392</v>
      </c>
      <c r="C19" s="2" t="s">
        <v>393</v>
      </c>
      <c r="D19" s="2" t="s">
        <v>57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35.9</v>
      </c>
      <c r="M19" s="2" t="s">
        <v>78</v>
      </c>
    </row>
    <row r="20" spans="1:13" x14ac:dyDescent="0.25">
      <c r="A20" s="2" t="s">
        <v>53</v>
      </c>
      <c r="B20" s="2" t="s">
        <v>394</v>
      </c>
      <c r="C20" s="2" t="s">
        <v>395</v>
      </c>
      <c r="D20" s="2" t="s">
        <v>65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114.25</v>
      </c>
      <c r="M20" s="2" t="s">
        <v>78</v>
      </c>
    </row>
    <row r="21" spans="1:13" x14ac:dyDescent="0.25">
      <c r="A21" s="2" t="s">
        <v>51</v>
      </c>
      <c r="B21" s="2" t="s">
        <v>396</v>
      </c>
      <c r="C21" s="2" t="s">
        <v>397</v>
      </c>
      <c r="D21" s="2" t="s">
        <v>50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173.66</v>
      </c>
      <c r="M21" s="2" t="s">
        <v>78</v>
      </c>
    </row>
    <row r="22" spans="1:13" x14ac:dyDescent="0.25">
      <c r="A22" s="2" t="s">
        <v>45</v>
      </c>
      <c r="B22" s="2" t="s">
        <v>398</v>
      </c>
      <c r="C22" s="2" t="s">
        <v>399</v>
      </c>
      <c r="D22" s="2" t="s">
        <v>63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16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35</v>
      </c>
      <c r="B23" s="2" t="s">
        <v>400</v>
      </c>
      <c r="C23" s="2" t="s">
        <v>401</v>
      </c>
      <c r="D23" s="2" t="s">
        <v>68</v>
      </c>
      <c r="E23" s="2">
        <v>1</v>
      </c>
      <c r="F23" s="2">
        <v>0</v>
      </c>
      <c r="G23" s="2">
        <v>1</v>
      </c>
      <c r="H23" s="2">
        <v>0</v>
      </c>
      <c r="I23" s="2">
        <v>0</v>
      </c>
      <c r="J23" s="8">
        <v>24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33</v>
      </c>
      <c r="B24" s="2" t="s">
        <v>402</v>
      </c>
      <c r="C24" s="2" t="s">
        <v>403</v>
      </c>
      <c r="D24" s="2" t="s">
        <v>56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55</v>
      </c>
      <c r="B25" s="2" t="s">
        <v>404</v>
      </c>
      <c r="C25" s="2" t="s">
        <v>405</v>
      </c>
      <c r="D25" s="2" t="s">
        <v>46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171.78</v>
      </c>
      <c r="M25" s="2" t="s">
        <v>78</v>
      </c>
    </row>
    <row r="26" spans="1:13" x14ac:dyDescent="0.25">
      <c r="A26" s="2" t="s">
        <v>41</v>
      </c>
      <c r="B26" s="2" t="s">
        <v>406</v>
      </c>
      <c r="C26" s="2" t="s">
        <v>407</v>
      </c>
      <c r="D26" s="2" t="s">
        <v>60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33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37</v>
      </c>
      <c r="B27" s="2" t="s">
        <v>408</v>
      </c>
      <c r="C27" s="2" t="s">
        <v>409</v>
      </c>
      <c r="D27" s="2" t="s">
        <v>60</v>
      </c>
      <c r="E27" s="2">
        <v>1</v>
      </c>
      <c r="F27" s="2">
        <v>0</v>
      </c>
      <c r="G27" s="2">
        <v>0</v>
      </c>
      <c r="H27" s="2">
        <v>1</v>
      </c>
      <c r="I27" s="2">
        <v>0</v>
      </c>
      <c r="J27" s="8">
        <v>0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51</v>
      </c>
      <c r="B28" s="2" t="s">
        <v>410</v>
      </c>
      <c r="C28" s="2" t="s">
        <v>411</v>
      </c>
      <c r="D28" s="2" t="s">
        <v>34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16</v>
      </c>
      <c r="K28" s="2">
        <v>1</v>
      </c>
      <c r="L28" s="8">
        <v>90.59</v>
      </c>
      <c r="M28" s="2" t="s">
        <v>78</v>
      </c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47</v>
      </c>
      <c r="B4" s="2" t="s">
        <v>413</v>
      </c>
      <c r="C4" s="2" t="s">
        <v>414</v>
      </c>
      <c r="D4" s="2" t="s">
        <v>46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19.5</v>
      </c>
      <c r="M4" s="2" t="s">
        <v>78</v>
      </c>
      <c r="P4" s="2" t="str">
        <f>Setup!$A$4</f>
        <v>Expert 01</v>
      </c>
      <c r="Q4" s="2">
        <f t="shared" ref="Q4:Q15" si="0">SUMIF($A$4:$A$43,$P4,E$4:E$43)</f>
        <v>4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57</v>
      </c>
      <c r="W4" s="2">
        <f t="shared" ref="W4:W15" si="6">SUMIF($A$4:$A$43,$P4,K$4:K$43)</f>
        <v>5</v>
      </c>
      <c r="X4" s="8">
        <f t="shared" ref="X4:X15" si="7">SUMIF($A$4:$A$43,$P4,L$4:L$43)</f>
        <v>113</v>
      </c>
    </row>
    <row r="5" spans="1:24" x14ac:dyDescent="0.25">
      <c r="A5" s="2" t="s">
        <v>33</v>
      </c>
      <c r="B5" s="2" t="s">
        <v>415</v>
      </c>
      <c r="C5" s="2" t="s">
        <v>416</v>
      </c>
      <c r="D5" s="2" t="s">
        <v>58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93.54</v>
      </c>
      <c r="M5" s="2" t="s">
        <v>78</v>
      </c>
      <c r="P5" s="2" t="str">
        <f>Setup!$A$5</f>
        <v>Expert 02</v>
      </c>
      <c r="Q5" s="2">
        <f t="shared" si="0"/>
        <v>3</v>
      </c>
      <c r="R5" s="2">
        <f t="shared" si="1"/>
        <v>0</v>
      </c>
      <c r="S5" s="2">
        <f t="shared" si="2"/>
        <v>0</v>
      </c>
      <c r="T5" s="2">
        <f t="shared" si="3"/>
        <v>1</v>
      </c>
      <c r="U5" s="2">
        <f t="shared" si="4"/>
        <v>0</v>
      </c>
      <c r="V5" s="8">
        <f t="shared" si="5"/>
        <v>48</v>
      </c>
      <c r="W5" s="2">
        <f t="shared" si="6"/>
        <v>3</v>
      </c>
      <c r="X5" s="8">
        <f t="shared" si="7"/>
        <v>287.08999999999997</v>
      </c>
    </row>
    <row r="6" spans="1:24" x14ac:dyDescent="0.25">
      <c r="A6" s="2" t="s">
        <v>33</v>
      </c>
      <c r="B6" s="2" t="s">
        <v>417</v>
      </c>
      <c r="C6" s="2" t="s">
        <v>418</v>
      </c>
      <c r="D6" s="2" t="s">
        <v>63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0</v>
      </c>
      <c r="W6" s="2">
        <f t="shared" si="6"/>
        <v>1</v>
      </c>
      <c r="X6" s="8">
        <f t="shared" si="7"/>
        <v>96.27</v>
      </c>
    </row>
    <row r="7" spans="1:24" x14ac:dyDescent="0.25">
      <c r="A7" s="2" t="s">
        <v>55</v>
      </c>
      <c r="B7" s="2" t="s">
        <v>419</v>
      </c>
      <c r="C7" s="2" t="s">
        <v>420</v>
      </c>
      <c r="D7" s="2" t="s">
        <v>54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8">
        <v>18</v>
      </c>
      <c r="K7" s="2">
        <v>1</v>
      </c>
      <c r="L7" s="8">
        <v>52.49</v>
      </c>
      <c r="M7" s="2" t="s">
        <v>78</v>
      </c>
      <c r="P7" s="2" t="str">
        <f>Setup!$A$7</f>
        <v>Expert 04</v>
      </c>
      <c r="Q7" s="2">
        <f t="shared" si="0"/>
        <v>1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24</v>
      </c>
      <c r="W7" s="2">
        <f t="shared" si="6"/>
        <v>2</v>
      </c>
      <c r="X7" s="8">
        <f t="shared" si="7"/>
        <v>191.86</v>
      </c>
    </row>
    <row r="8" spans="1:24" x14ac:dyDescent="0.25">
      <c r="A8" s="2" t="s">
        <v>35</v>
      </c>
      <c r="B8" s="2" t="s">
        <v>421</v>
      </c>
      <c r="C8" s="2" t="s">
        <v>422</v>
      </c>
      <c r="D8" s="2" t="s">
        <v>60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157.85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0</v>
      </c>
      <c r="W8" s="2">
        <f t="shared" si="6"/>
        <v>0</v>
      </c>
      <c r="X8" s="8">
        <f t="shared" si="7"/>
        <v>0</v>
      </c>
    </row>
    <row r="9" spans="1:24" x14ac:dyDescent="0.25">
      <c r="A9" s="2" t="s">
        <v>39</v>
      </c>
      <c r="B9" s="2" t="s">
        <v>423</v>
      </c>
      <c r="C9" s="2" t="s">
        <v>424</v>
      </c>
      <c r="D9" s="2" t="s">
        <v>58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6.21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1</v>
      </c>
      <c r="X9" s="8">
        <f t="shared" si="7"/>
        <v>0</v>
      </c>
    </row>
    <row r="10" spans="1:24" x14ac:dyDescent="0.25">
      <c r="A10" s="2" t="s">
        <v>47</v>
      </c>
      <c r="B10" s="2" t="s">
        <v>425</v>
      </c>
      <c r="C10" s="2" t="s">
        <v>426</v>
      </c>
      <c r="D10" s="2" t="s">
        <v>62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16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3</v>
      </c>
      <c r="X10" s="8">
        <f t="shared" si="7"/>
        <v>151.38</v>
      </c>
    </row>
    <row r="11" spans="1:24" x14ac:dyDescent="0.25">
      <c r="A11" s="2" t="s">
        <v>53</v>
      </c>
      <c r="B11" s="2" t="s">
        <v>427</v>
      </c>
      <c r="C11" s="2" t="s">
        <v>428</v>
      </c>
      <c r="D11" s="2" t="s">
        <v>34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8.76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16</v>
      </c>
      <c r="W11" s="2">
        <f t="shared" si="6"/>
        <v>3</v>
      </c>
      <c r="X11" s="8">
        <f t="shared" si="7"/>
        <v>111.66</v>
      </c>
    </row>
    <row r="12" spans="1:24" x14ac:dyDescent="0.25">
      <c r="A12" s="2" t="s">
        <v>35</v>
      </c>
      <c r="B12" s="2" t="s">
        <v>429</v>
      </c>
      <c r="C12" s="2" t="s">
        <v>430</v>
      </c>
      <c r="D12" s="2" t="s">
        <v>69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0</v>
      </c>
      <c r="L12" s="8">
        <v>26.69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1</v>
      </c>
      <c r="S12" s="2">
        <f t="shared" si="2"/>
        <v>0</v>
      </c>
      <c r="T12" s="2">
        <f t="shared" si="3"/>
        <v>1</v>
      </c>
      <c r="U12" s="2">
        <f t="shared" si="4"/>
        <v>0</v>
      </c>
      <c r="V12" s="8">
        <f t="shared" si="5"/>
        <v>48</v>
      </c>
      <c r="W12" s="2">
        <f t="shared" si="6"/>
        <v>3</v>
      </c>
      <c r="X12" s="8">
        <f t="shared" si="7"/>
        <v>213.07</v>
      </c>
    </row>
    <row r="13" spans="1:24" x14ac:dyDescent="0.25">
      <c r="A13" s="2" t="s">
        <v>51</v>
      </c>
      <c r="B13" s="2" t="s">
        <v>431</v>
      </c>
      <c r="C13" s="2" t="s">
        <v>432</v>
      </c>
      <c r="D13" s="2" t="s">
        <v>46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8">
        <v>33</v>
      </c>
      <c r="K13" s="2">
        <v>1</v>
      </c>
      <c r="L13" s="8">
        <v>4.07</v>
      </c>
      <c r="M13" s="2" t="s">
        <v>78</v>
      </c>
      <c r="P13" s="2" t="str">
        <f>Setup!$A$13</f>
        <v>Expert 10</v>
      </c>
      <c r="Q13" s="2">
        <f t="shared" si="0"/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33</v>
      </c>
      <c r="W13" s="2">
        <f t="shared" si="6"/>
        <v>1</v>
      </c>
      <c r="X13" s="8">
        <f t="shared" si="7"/>
        <v>4.07</v>
      </c>
    </row>
    <row r="14" spans="1:24" x14ac:dyDescent="0.25">
      <c r="A14" s="2" t="s">
        <v>37</v>
      </c>
      <c r="B14" s="2" t="s">
        <v>433</v>
      </c>
      <c r="C14" s="2" t="s">
        <v>434</v>
      </c>
      <c r="D14" s="2" t="s">
        <v>48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96.27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1</v>
      </c>
      <c r="X14" s="8">
        <f t="shared" si="7"/>
        <v>8.76</v>
      </c>
    </row>
    <row r="15" spans="1:24" x14ac:dyDescent="0.25">
      <c r="A15" s="2" t="s">
        <v>43</v>
      </c>
      <c r="B15" s="2" t="s">
        <v>435</v>
      </c>
      <c r="C15" s="2" t="s">
        <v>436</v>
      </c>
      <c r="D15" s="2" t="s">
        <v>68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1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34</v>
      </c>
      <c r="W15" s="2">
        <f t="shared" si="6"/>
        <v>3</v>
      </c>
      <c r="X15" s="8">
        <f t="shared" si="7"/>
        <v>301.03999999999996</v>
      </c>
    </row>
    <row r="16" spans="1:24" x14ac:dyDescent="0.25">
      <c r="A16" s="2" t="s">
        <v>55</v>
      </c>
      <c r="B16" s="2" t="s">
        <v>437</v>
      </c>
      <c r="C16" s="2" t="s">
        <v>438</v>
      </c>
      <c r="D16" s="2" t="s">
        <v>54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16</v>
      </c>
      <c r="K16" s="2">
        <v>1</v>
      </c>
      <c r="L16" s="8">
        <v>108.07</v>
      </c>
      <c r="M16" s="2" t="s">
        <v>78</v>
      </c>
      <c r="P16" s="9" t="s">
        <v>103</v>
      </c>
      <c r="Q16" s="10">
        <f t="shared" ref="Q16:X16" si="8">SUM(Q4:Q15)</f>
        <v>16</v>
      </c>
      <c r="R16" s="10">
        <f t="shared" si="8"/>
        <v>4</v>
      </c>
      <c r="S16" s="10">
        <f t="shared" si="8"/>
        <v>0</v>
      </c>
      <c r="T16" s="10">
        <f t="shared" si="8"/>
        <v>2</v>
      </c>
      <c r="U16" s="10">
        <f t="shared" si="8"/>
        <v>0</v>
      </c>
      <c r="V16" s="11">
        <f t="shared" si="8"/>
        <v>260</v>
      </c>
      <c r="W16" s="10">
        <f t="shared" si="8"/>
        <v>26</v>
      </c>
      <c r="X16" s="11">
        <f t="shared" si="8"/>
        <v>1478.1999999999998</v>
      </c>
    </row>
    <row r="17" spans="1:13" x14ac:dyDescent="0.25">
      <c r="A17" s="2" t="s">
        <v>49</v>
      </c>
      <c r="B17" s="2" t="s">
        <v>439</v>
      </c>
      <c r="C17" s="2" t="s">
        <v>440</v>
      </c>
      <c r="D17" s="2" t="s">
        <v>57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33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33</v>
      </c>
      <c r="B18" s="2" t="s">
        <v>441</v>
      </c>
      <c r="C18" s="2" t="s">
        <v>442</v>
      </c>
      <c r="D18" s="2" t="s">
        <v>50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8">
        <v>24</v>
      </c>
      <c r="K18" s="2">
        <v>1</v>
      </c>
      <c r="L18" s="8">
        <v>5.85</v>
      </c>
      <c r="M18" s="2" t="s">
        <v>78</v>
      </c>
    </row>
    <row r="19" spans="1:13" x14ac:dyDescent="0.25">
      <c r="A19" s="2" t="s">
        <v>39</v>
      </c>
      <c r="B19" s="2" t="s">
        <v>443</v>
      </c>
      <c r="C19" s="2" t="s">
        <v>444</v>
      </c>
      <c r="D19" s="2" t="s">
        <v>67</v>
      </c>
      <c r="E19" s="2">
        <v>0</v>
      </c>
      <c r="F19" s="2">
        <v>1</v>
      </c>
      <c r="G19" s="2">
        <v>0</v>
      </c>
      <c r="H19" s="2">
        <v>0</v>
      </c>
      <c r="I19" s="2">
        <v>0</v>
      </c>
      <c r="J19" s="8">
        <v>24</v>
      </c>
      <c r="K19" s="2">
        <v>0</v>
      </c>
      <c r="L19" s="8">
        <v>148.09</v>
      </c>
      <c r="M19" s="2" t="s">
        <v>78</v>
      </c>
    </row>
    <row r="20" spans="1:13" x14ac:dyDescent="0.25">
      <c r="A20" s="2" t="s">
        <v>45</v>
      </c>
      <c r="B20" s="2" t="s">
        <v>445</v>
      </c>
      <c r="C20" s="2" t="s">
        <v>446</v>
      </c>
      <c r="D20" s="2" t="s">
        <v>48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49</v>
      </c>
      <c r="B21" s="2" t="s">
        <v>447</v>
      </c>
      <c r="C21" s="2" t="s">
        <v>448</v>
      </c>
      <c r="D21" s="2" t="s">
        <v>61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8">
        <v>15</v>
      </c>
      <c r="K21" s="2">
        <v>1</v>
      </c>
      <c r="L21" s="8">
        <v>163.54</v>
      </c>
      <c r="M21" s="2" t="s">
        <v>78</v>
      </c>
    </row>
    <row r="22" spans="1:13" x14ac:dyDescent="0.25">
      <c r="A22" s="2" t="s">
        <v>49</v>
      </c>
      <c r="B22" s="2" t="s">
        <v>449</v>
      </c>
      <c r="C22" s="2" t="s">
        <v>450</v>
      </c>
      <c r="D22" s="2" t="s">
        <v>54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8">
        <v>0</v>
      </c>
      <c r="K22" s="2">
        <v>1</v>
      </c>
      <c r="L22" s="8">
        <v>49.53</v>
      </c>
      <c r="M22" s="2" t="s">
        <v>78</v>
      </c>
    </row>
    <row r="23" spans="1:13" x14ac:dyDescent="0.25">
      <c r="A23" s="2" t="s">
        <v>33</v>
      </c>
      <c r="B23" s="2" t="s">
        <v>451</v>
      </c>
      <c r="C23" s="2" t="s">
        <v>452</v>
      </c>
      <c r="D23" s="2" t="s">
        <v>68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47</v>
      </c>
      <c r="B24" s="2" t="s">
        <v>453</v>
      </c>
      <c r="C24" s="2" t="s">
        <v>454</v>
      </c>
      <c r="D24" s="2" t="s">
        <v>61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92.16</v>
      </c>
      <c r="M24" s="2" t="s">
        <v>118</v>
      </c>
    </row>
    <row r="25" spans="1:13" x14ac:dyDescent="0.25">
      <c r="A25" s="2" t="s">
        <v>55</v>
      </c>
      <c r="B25" s="2" t="s">
        <v>455</v>
      </c>
      <c r="C25" s="2" t="s">
        <v>456</v>
      </c>
      <c r="D25" s="2" t="s">
        <v>52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140.47999999999999</v>
      </c>
      <c r="M25" s="2" t="s">
        <v>78</v>
      </c>
    </row>
    <row r="26" spans="1:13" x14ac:dyDescent="0.25">
      <c r="A26" s="2" t="s">
        <v>33</v>
      </c>
      <c r="B26" s="2" t="s">
        <v>457</v>
      </c>
      <c r="C26" s="2" t="s">
        <v>458</v>
      </c>
      <c r="D26" s="2" t="s">
        <v>44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0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33</v>
      </c>
      <c r="B27" s="2" t="s">
        <v>459</v>
      </c>
      <c r="C27" s="2" t="s">
        <v>460</v>
      </c>
      <c r="D27" s="2" t="s">
        <v>67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33</v>
      </c>
      <c r="K27" s="2">
        <v>0</v>
      </c>
      <c r="L27" s="8">
        <v>13.61</v>
      </c>
      <c r="M27" s="2" t="s">
        <v>78</v>
      </c>
    </row>
    <row r="28" spans="1:13" x14ac:dyDescent="0.25">
      <c r="A28" s="2" t="s">
        <v>35</v>
      </c>
      <c r="B28" s="2" t="s">
        <v>461</v>
      </c>
      <c r="C28" s="2" t="s">
        <v>462</v>
      </c>
      <c r="D28" s="2" t="s">
        <v>50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15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35</v>
      </c>
      <c r="B29" s="2" t="s">
        <v>463</v>
      </c>
      <c r="C29" s="2" t="s">
        <v>464</v>
      </c>
      <c r="D29" s="2" t="s">
        <v>54</v>
      </c>
      <c r="E29" s="2">
        <v>1</v>
      </c>
      <c r="F29" s="2">
        <v>0</v>
      </c>
      <c r="G29" s="2">
        <v>0</v>
      </c>
      <c r="H29" s="2">
        <v>1</v>
      </c>
      <c r="I29" s="2">
        <v>0</v>
      </c>
      <c r="J29" s="8">
        <v>33</v>
      </c>
      <c r="K29" s="2">
        <v>1</v>
      </c>
      <c r="L29" s="8">
        <v>102.55</v>
      </c>
      <c r="M29" s="2" t="s">
        <v>78</v>
      </c>
    </row>
    <row r="30" spans="1:13" x14ac:dyDescent="0.25">
      <c r="A30" s="2" t="s">
        <v>39</v>
      </c>
      <c r="B30" s="2" t="s">
        <v>465</v>
      </c>
      <c r="C30" s="2" t="s">
        <v>466</v>
      </c>
      <c r="D30" s="2" t="s">
        <v>44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8">
        <v>0</v>
      </c>
      <c r="K30" s="2">
        <v>1</v>
      </c>
      <c r="L30" s="8">
        <v>37.56</v>
      </c>
      <c r="M30" s="2" t="s">
        <v>78</v>
      </c>
    </row>
    <row r="31" spans="1:13" x14ac:dyDescent="0.25">
      <c r="A31" s="2" t="s">
        <v>51</v>
      </c>
      <c r="B31" s="2" t="s">
        <v>467</v>
      </c>
      <c r="C31" s="2" t="s">
        <v>468</v>
      </c>
      <c r="D31" s="2" t="s">
        <v>67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8">
        <v>0</v>
      </c>
      <c r="K31" s="2">
        <v>0</v>
      </c>
      <c r="L31" s="8">
        <v>0</v>
      </c>
      <c r="M31" s="2" t="s">
        <v>78</v>
      </c>
    </row>
    <row r="32" spans="1:13" x14ac:dyDescent="0.25">
      <c r="A32" s="2" t="s">
        <v>45</v>
      </c>
      <c r="B32" s="2" t="s">
        <v>469</v>
      </c>
      <c r="C32" s="2" t="s">
        <v>470</v>
      </c>
      <c r="D32" s="2" t="s">
        <v>52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8">
        <v>0</v>
      </c>
      <c r="K32" s="2">
        <v>1</v>
      </c>
      <c r="L32" s="8">
        <v>0</v>
      </c>
      <c r="M32" s="2" t="s">
        <v>78</v>
      </c>
    </row>
    <row r="33" spans="1:13" x14ac:dyDescent="0.25">
      <c r="A33" s="2" t="s">
        <v>45</v>
      </c>
      <c r="B33" s="2" t="s">
        <v>471</v>
      </c>
      <c r="C33" s="2" t="s">
        <v>472</v>
      </c>
      <c r="D33" s="2" t="s">
        <v>62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8">
        <v>0</v>
      </c>
      <c r="K33" s="2">
        <v>1</v>
      </c>
      <c r="L33" s="8">
        <v>151.38</v>
      </c>
      <c r="M33" s="2" t="s">
        <v>78</v>
      </c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473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43</v>
      </c>
      <c r="B4" s="2" t="s">
        <v>474</v>
      </c>
      <c r="C4" s="2" t="s">
        <v>475</v>
      </c>
      <c r="D4" s="2" t="s">
        <v>64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8">
        <v>16</v>
      </c>
      <c r="K4" s="2">
        <v>1</v>
      </c>
      <c r="L4" s="8">
        <v>0</v>
      </c>
      <c r="M4" s="2" t="s">
        <v>118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1</v>
      </c>
      <c r="V4" s="8">
        <f t="shared" ref="V4:V15" si="5">SUMIF($A$4:$A$43,$P4,J$4:J$43)</f>
        <v>0</v>
      </c>
      <c r="W4" s="2">
        <f t="shared" ref="W4:W15" si="6">SUMIF($A$4:$A$43,$P4,K$4:K$43)</f>
        <v>1</v>
      </c>
      <c r="X4" s="8">
        <f t="shared" ref="X4:X15" si="7">SUMIF($A$4:$A$43,$P4,L$4:L$43)</f>
        <v>80.06</v>
      </c>
    </row>
    <row r="5" spans="1:24" x14ac:dyDescent="0.25">
      <c r="A5" s="2" t="s">
        <v>47</v>
      </c>
      <c r="B5" s="2" t="s">
        <v>476</v>
      </c>
      <c r="C5" s="2" t="s">
        <v>477</v>
      </c>
      <c r="D5" s="2" t="s">
        <v>57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88.75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1</v>
      </c>
      <c r="X5" s="8">
        <f t="shared" si="7"/>
        <v>0</v>
      </c>
    </row>
    <row r="6" spans="1:24" x14ac:dyDescent="0.25">
      <c r="A6" s="2" t="s">
        <v>35</v>
      </c>
      <c r="B6" s="2" t="s">
        <v>478</v>
      </c>
      <c r="C6" s="2" t="s">
        <v>479</v>
      </c>
      <c r="D6" s="2" t="s">
        <v>58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1</v>
      </c>
      <c r="U6" s="2">
        <f t="shared" si="4"/>
        <v>0</v>
      </c>
      <c r="V6" s="8">
        <f t="shared" si="5"/>
        <v>24</v>
      </c>
      <c r="W6" s="2">
        <f t="shared" si="6"/>
        <v>1</v>
      </c>
      <c r="X6" s="8">
        <f t="shared" si="7"/>
        <v>136.6</v>
      </c>
    </row>
    <row r="7" spans="1:24" x14ac:dyDescent="0.25">
      <c r="A7" s="2" t="s">
        <v>49</v>
      </c>
      <c r="B7" s="2" t="s">
        <v>480</v>
      </c>
      <c r="C7" s="2" t="s">
        <v>481</v>
      </c>
      <c r="D7" s="2" t="s">
        <v>61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24</v>
      </c>
      <c r="K7" s="2">
        <v>1</v>
      </c>
      <c r="L7" s="8">
        <v>96.57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16</v>
      </c>
      <c r="W7" s="2">
        <f t="shared" si="6"/>
        <v>1</v>
      </c>
      <c r="X7" s="8">
        <f t="shared" si="7"/>
        <v>115.66</v>
      </c>
    </row>
    <row r="8" spans="1:24" x14ac:dyDescent="0.25">
      <c r="A8" s="2" t="s">
        <v>39</v>
      </c>
      <c r="B8" s="2" t="s">
        <v>482</v>
      </c>
      <c r="C8" s="2" t="s">
        <v>483</v>
      </c>
      <c r="D8" s="2" t="s">
        <v>34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16</v>
      </c>
      <c r="K8" s="2">
        <v>1</v>
      </c>
      <c r="L8" s="8">
        <v>115.66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2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0</v>
      </c>
      <c r="W8" s="2">
        <f t="shared" si="6"/>
        <v>2</v>
      </c>
      <c r="X8" s="8">
        <f t="shared" si="7"/>
        <v>292.8</v>
      </c>
    </row>
    <row r="9" spans="1:24" x14ac:dyDescent="0.25">
      <c r="A9" s="2" t="s">
        <v>33</v>
      </c>
      <c r="B9" s="2" t="s">
        <v>484</v>
      </c>
      <c r="C9" s="2" t="s">
        <v>485</v>
      </c>
      <c r="D9" s="2" t="s">
        <v>66</v>
      </c>
      <c r="E9" s="2">
        <v>0</v>
      </c>
      <c r="F9" s="2">
        <v>0</v>
      </c>
      <c r="G9" s="2">
        <v>0</v>
      </c>
      <c r="H9" s="2">
        <v>0</v>
      </c>
      <c r="I9" s="2">
        <v>1</v>
      </c>
      <c r="J9" s="8">
        <v>0</v>
      </c>
      <c r="K9" s="2">
        <v>0</v>
      </c>
      <c r="L9" s="8">
        <v>80.06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16</v>
      </c>
      <c r="W9" s="2">
        <f t="shared" si="6"/>
        <v>2</v>
      </c>
      <c r="X9" s="8">
        <f t="shared" si="7"/>
        <v>16.23</v>
      </c>
    </row>
    <row r="10" spans="1:24" x14ac:dyDescent="0.25">
      <c r="A10" s="2" t="s">
        <v>37</v>
      </c>
      <c r="B10" s="2" t="s">
        <v>486</v>
      </c>
      <c r="C10" s="2" t="s">
        <v>487</v>
      </c>
      <c r="D10" s="2" t="s">
        <v>69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24</v>
      </c>
      <c r="K10" s="2">
        <v>0</v>
      </c>
      <c r="L10" s="8">
        <v>70.41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18</v>
      </c>
      <c r="W10" s="2">
        <f t="shared" si="6"/>
        <v>1</v>
      </c>
      <c r="X10" s="8">
        <f t="shared" si="7"/>
        <v>152.87</v>
      </c>
    </row>
    <row r="11" spans="1:24" x14ac:dyDescent="0.25">
      <c r="A11" s="2" t="s">
        <v>41</v>
      </c>
      <c r="B11" s="2" t="s">
        <v>488</v>
      </c>
      <c r="C11" s="2" t="s">
        <v>489</v>
      </c>
      <c r="D11" s="2" t="s">
        <v>67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0</v>
      </c>
      <c r="L11" s="8">
        <v>108.62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1</v>
      </c>
      <c r="X11" s="8">
        <f t="shared" si="7"/>
        <v>88.75</v>
      </c>
    </row>
    <row r="12" spans="1:24" x14ac:dyDescent="0.25">
      <c r="A12" s="2" t="s">
        <v>37</v>
      </c>
      <c r="B12" s="2" t="s">
        <v>490</v>
      </c>
      <c r="C12" s="2" t="s">
        <v>491</v>
      </c>
      <c r="D12" s="2" t="s">
        <v>68</v>
      </c>
      <c r="E12" s="2">
        <v>1</v>
      </c>
      <c r="F12" s="2">
        <v>0</v>
      </c>
      <c r="G12" s="2">
        <v>0</v>
      </c>
      <c r="H12" s="2">
        <v>1</v>
      </c>
      <c r="I12" s="2">
        <v>0</v>
      </c>
      <c r="J12" s="8">
        <v>0</v>
      </c>
      <c r="K12" s="2">
        <v>1</v>
      </c>
      <c r="L12" s="8">
        <v>66.19</v>
      </c>
      <c r="M12" s="2" t="s">
        <v>78</v>
      </c>
      <c r="P12" s="2" t="str">
        <f>Setup!$A$12</f>
        <v>Expert 09</v>
      </c>
      <c r="Q12" s="2">
        <f t="shared" si="0"/>
        <v>2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57</v>
      </c>
      <c r="W12" s="2">
        <f t="shared" si="6"/>
        <v>2</v>
      </c>
      <c r="X12" s="8">
        <f t="shared" si="7"/>
        <v>96.57</v>
      </c>
    </row>
    <row r="13" spans="1:24" x14ac:dyDescent="0.25">
      <c r="A13" s="2" t="s">
        <v>55</v>
      </c>
      <c r="B13" s="2" t="s">
        <v>492</v>
      </c>
      <c r="C13" s="2" t="s">
        <v>493</v>
      </c>
      <c r="D13" s="2" t="s">
        <v>50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18.3</v>
      </c>
      <c r="M13" s="2" t="s">
        <v>78</v>
      </c>
      <c r="P13" s="2" t="str">
        <f>Setup!$A$13</f>
        <v>Expert 10</v>
      </c>
      <c r="Q13" s="2">
        <f t="shared" si="0"/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16</v>
      </c>
      <c r="W13" s="2">
        <f t="shared" si="6"/>
        <v>1</v>
      </c>
      <c r="X13" s="8">
        <f t="shared" si="7"/>
        <v>0</v>
      </c>
    </row>
    <row r="14" spans="1:24" x14ac:dyDescent="0.25">
      <c r="A14" s="2" t="s">
        <v>41</v>
      </c>
      <c r="B14" s="2" t="s">
        <v>494</v>
      </c>
      <c r="C14" s="2" t="s">
        <v>495</v>
      </c>
      <c r="D14" s="2" t="s">
        <v>40</v>
      </c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87.92</v>
      </c>
      <c r="M14" s="2" t="s">
        <v>78</v>
      </c>
      <c r="P14" s="2" t="str">
        <f>Setup!$A$14</f>
        <v>Expert 11</v>
      </c>
      <c r="Q14" s="2">
        <f t="shared" si="0"/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0</v>
      </c>
      <c r="X14" s="8">
        <f t="shared" si="7"/>
        <v>0</v>
      </c>
    </row>
    <row r="15" spans="1:24" x14ac:dyDescent="0.25">
      <c r="A15" s="2" t="s">
        <v>45</v>
      </c>
      <c r="B15" s="2" t="s">
        <v>496</v>
      </c>
      <c r="C15" s="2" t="s">
        <v>497</v>
      </c>
      <c r="D15" s="2" t="s">
        <v>65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18</v>
      </c>
      <c r="K15" s="2">
        <v>1</v>
      </c>
      <c r="L15" s="8">
        <v>152.87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2</v>
      </c>
      <c r="X15" s="8">
        <f t="shared" si="7"/>
        <v>18.3</v>
      </c>
    </row>
    <row r="16" spans="1:24" x14ac:dyDescent="0.25">
      <c r="A16" s="2" t="s">
        <v>49</v>
      </c>
      <c r="B16" s="2" t="s">
        <v>498</v>
      </c>
      <c r="C16" s="2" t="s">
        <v>499</v>
      </c>
      <c r="D16" s="2" t="s">
        <v>63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33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10</v>
      </c>
      <c r="R16" s="10">
        <f t="shared" si="8"/>
        <v>3</v>
      </c>
      <c r="S16" s="10">
        <f t="shared" si="8"/>
        <v>0</v>
      </c>
      <c r="T16" s="10">
        <f t="shared" si="8"/>
        <v>1</v>
      </c>
      <c r="U16" s="10">
        <f t="shared" si="8"/>
        <v>1</v>
      </c>
      <c r="V16" s="11">
        <f t="shared" si="8"/>
        <v>147</v>
      </c>
      <c r="W16" s="10">
        <f t="shared" si="8"/>
        <v>15</v>
      </c>
      <c r="X16" s="11">
        <f t="shared" si="8"/>
        <v>997.83999999999992</v>
      </c>
    </row>
    <row r="17" spans="1:13" x14ac:dyDescent="0.25">
      <c r="A17" s="2" t="s">
        <v>41</v>
      </c>
      <c r="B17" s="2" t="s">
        <v>500</v>
      </c>
      <c r="C17" s="2" t="s">
        <v>501</v>
      </c>
      <c r="D17" s="2" t="s">
        <v>62</v>
      </c>
      <c r="E17" s="2">
        <v>0</v>
      </c>
      <c r="F17" s="2">
        <v>1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96.26</v>
      </c>
      <c r="M17" s="2" t="s">
        <v>78</v>
      </c>
    </row>
    <row r="18" spans="1:13" x14ac:dyDescent="0.25">
      <c r="A18" s="2" t="s">
        <v>43</v>
      </c>
      <c r="B18" s="2" t="s">
        <v>502</v>
      </c>
      <c r="C18" s="2" t="s">
        <v>503</v>
      </c>
      <c r="D18" s="2" t="s">
        <v>48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16.23</v>
      </c>
      <c r="M18" s="2" t="s">
        <v>78</v>
      </c>
    </row>
    <row r="19" spans="1:13" x14ac:dyDescent="0.25">
      <c r="A19" s="2" t="s">
        <v>33</v>
      </c>
      <c r="B19" s="2" t="s">
        <v>504</v>
      </c>
      <c r="C19" s="2" t="s">
        <v>505</v>
      </c>
      <c r="D19" s="2" t="s">
        <v>52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51</v>
      </c>
      <c r="B20" s="2" t="s">
        <v>506</v>
      </c>
      <c r="C20" s="2" t="s">
        <v>507</v>
      </c>
      <c r="D20" s="2" t="s">
        <v>52</v>
      </c>
      <c r="E20" s="2">
        <v>0</v>
      </c>
      <c r="F20" s="2">
        <v>1</v>
      </c>
      <c r="G20" s="2">
        <v>0</v>
      </c>
      <c r="H20" s="2">
        <v>0</v>
      </c>
      <c r="I20" s="2">
        <v>0</v>
      </c>
      <c r="J20" s="8">
        <v>16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55</v>
      </c>
      <c r="B21" s="2" t="s">
        <v>508</v>
      </c>
      <c r="C21" s="2" t="s">
        <v>509</v>
      </c>
      <c r="D21" s="2" t="s">
        <v>36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0</v>
      </c>
      <c r="M21" s="2" t="s">
        <v>78</v>
      </c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8"/>
      <c r="K22" s="2"/>
      <c r="L22" s="8"/>
      <c r="M22" s="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8"/>
      <c r="K23" s="2"/>
      <c r="L23" s="8"/>
      <c r="M23" s="2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8"/>
      <c r="K24" s="2"/>
      <c r="L24" s="8"/>
      <c r="M24" s="2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8"/>
      <c r="K25" s="2"/>
      <c r="L25" s="8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8"/>
      <c r="K26" s="2"/>
      <c r="L26" s="8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8"/>
      <c r="K27" s="2"/>
      <c r="L27" s="8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8"/>
      <c r="K28" s="2"/>
      <c r="L28" s="8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510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41</v>
      </c>
      <c r="B4" s="2" t="s">
        <v>511</v>
      </c>
      <c r="C4" s="2" t="s">
        <v>512</v>
      </c>
      <c r="D4" s="2" t="s">
        <v>67</v>
      </c>
      <c r="E4" s="2">
        <v>0</v>
      </c>
      <c r="F4" s="2">
        <v>1</v>
      </c>
      <c r="G4" s="2">
        <v>0</v>
      </c>
      <c r="H4" s="2">
        <v>0</v>
      </c>
      <c r="I4" s="2">
        <v>0</v>
      </c>
      <c r="J4" s="8">
        <v>24</v>
      </c>
      <c r="K4" s="2">
        <v>0</v>
      </c>
      <c r="L4" s="8">
        <v>4.07</v>
      </c>
      <c r="M4" s="2" t="s">
        <v>78</v>
      </c>
      <c r="P4" s="2" t="str">
        <f>Setup!$A$4</f>
        <v>Expert 01</v>
      </c>
      <c r="Q4" s="2">
        <f t="shared" ref="Q4:Q15" si="0">SUMIF($A$4:$A$43,$P4,E$4:E$43)</f>
        <v>3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33</v>
      </c>
      <c r="W4" s="2">
        <f t="shared" ref="W4:W15" si="6">SUMIF($A$4:$A$43,$P4,K$4:K$43)</f>
        <v>2</v>
      </c>
      <c r="X4" s="8">
        <f t="shared" ref="X4:X15" si="7">SUMIF($A$4:$A$43,$P4,L$4:L$43)</f>
        <v>212.2</v>
      </c>
    </row>
    <row r="5" spans="1:24" x14ac:dyDescent="0.25">
      <c r="A5" s="2" t="s">
        <v>45</v>
      </c>
      <c r="B5" s="2" t="s">
        <v>513</v>
      </c>
      <c r="C5" s="2" t="s">
        <v>514</v>
      </c>
      <c r="D5" s="2" t="s">
        <v>64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23.26</v>
      </c>
      <c r="M5" s="2" t="s">
        <v>78</v>
      </c>
      <c r="P5" s="2" t="str">
        <f>Setup!$A$5</f>
        <v>Expert 02</v>
      </c>
      <c r="Q5" s="2">
        <f t="shared" si="0"/>
        <v>2</v>
      </c>
      <c r="R5" s="2">
        <f t="shared" si="1"/>
        <v>0</v>
      </c>
      <c r="S5" s="2">
        <f t="shared" si="2"/>
        <v>0</v>
      </c>
      <c r="T5" s="2">
        <f t="shared" si="3"/>
        <v>1</v>
      </c>
      <c r="U5" s="2">
        <f t="shared" si="4"/>
        <v>0</v>
      </c>
      <c r="V5" s="8">
        <f t="shared" si="5"/>
        <v>0</v>
      </c>
      <c r="W5" s="2">
        <f t="shared" si="6"/>
        <v>2</v>
      </c>
      <c r="X5" s="8">
        <f t="shared" si="7"/>
        <v>0</v>
      </c>
    </row>
    <row r="6" spans="1:24" x14ac:dyDescent="0.25">
      <c r="A6" s="2" t="s">
        <v>51</v>
      </c>
      <c r="B6" s="2" t="s">
        <v>515</v>
      </c>
      <c r="C6" s="2" t="s">
        <v>516</v>
      </c>
      <c r="D6" s="2" t="s">
        <v>61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33</v>
      </c>
      <c r="W6" s="2">
        <f t="shared" si="6"/>
        <v>1</v>
      </c>
      <c r="X6" s="8">
        <f t="shared" si="7"/>
        <v>172.14</v>
      </c>
    </row>
    <row r="7" spans="1:24" x14ac:dyDescent="0.25">
      <c r="A7" s="2" t="s">
        <v>33</v>
      </c>
      <c r="B7" s="2" t="s">
        <v>517</v>
      </c>
      <c r="C7" s="2" t="s">
        <v>518</v>
      </c>
      <c r="D7" s="2" t="s">
        <v>58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1</v>
      </c>
      <c r="R7" s="2">
        <f t="shared" si="1"/>
        <v>0</v>
      </c>
      <c r="S7" s="2">
        <f t="shared" si="2"/>
        <v>0</v>
      </c>
      <c r="T7" s="2">
        <f t="shared" si="3"/>
        <v>1</v>
      </c>
      <c r="U7" s="2">
        <f t="shared" si="4"/>
        <v>0</v>
      </c>
      <c r="V7" s="8">
        <f t="shared" si="5"/>
        <v>18</v>
      </c>
      <c r="W7" s="2">
        <f t="shared" si="6"/>
        <v>1</v>
      </c>
      <c r="X7" s="8">
        <f t="shared" si="7"/>
        <v>0</v>
      </c>
    </row>
    <row r="8" spans="1:24" x14ac:dyDescent="0.25">
      <c r="A8" s="2" t="s">
        <v>43</v>
      </c>
      <c r="B8" s="2" t="s">
        <v>519</v>
      </c>
      <c r="C8" s="2" t="s">
        <v>520</v>
      </c>
      <c r="D8" s="2" t="s">
        <v>63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1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42</v>
      </c>
      <c r="W8" s="2">
        <f t="shared" si="6"/>
        <v>2</v>
      </c>
      <c r="X8" s="8">
        <f t="shared" si="7"/>
        <v>4.07</v>
      </c>
    </row>
    <row r="9" spans="1:24" x14ac:dyDescent="0.25">
      <c r="A9" s="2" t="s">
        <v>43</v>
      </c>
      <c r="B9" s="2" t="s">
        <v>521</v>
      </c>
      <c r="C9" s="2" t="s">
        <v>522</v>
      </c>
      <c r="D9" s="2" t="s">
        <v>34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8">
        <v>33</v>
      </c>
      <c r="K9" s="2">
        <v>1</v>
      </c>
      <c r="L9" s="8">
        <v>16.309999999999999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33</v>
      </c>
      <c r="W9" s="2">
        <f t="shared" si="6"/>
        <v>2</v>
      </c>
      <c r="X9" s="8">
        <f t="shared" si="7"/>
        <v>16.309999999999999</v>
      </c>
    </row>
    <row r="10" spans="1:24" x14ac:dyDescent="0.25">
      <c r="A10" s="2" t="s">
        <v>47</v>
      </c>
      <c r="B10" s="2" t="s">
        <v>523</v>
      </c>
      <c r="C10" s="2" t="s">
        <v>524</v>
      </c>
      <c r="D10" s="2" t="s">
        <v>57</v>
      </c>
      <c r="E10" s="2">
        <v>1</v>
      </c>
      <c r="F10" s="2">
        <v>0</v>
      </c>
      <c r="G10" s="2">
        <v>1</v>
      </c>
      <c r="H10" s="2">
        <v>0</v>
      </c>
      <c r="I10" s="2">
        <v>0</v>
      </c>
      <c r="J10" s="8">
        <v>0</v>
      </c>
      <c r="K10" s="2">
        <v>1</v>
      </c>
      <c r="L10" s="8">
        <v>61.64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1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23.26</v>
      </c>
    </row>
    <row r="11" spans="1:24" x14ac:dyDescent="0.25">
      <c r="A11" s="2" t="s">
        <v>33</v>
      </c>
      <c r="B11" s="2" t="s">
        <v>525</v>
      </c>
      <c r="C11" s="2" t="s">
        <v>526</v>
      </c>
      <c r="D11" s="2" t="s">
        <v>62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149.03</v>
      </c>
      <c r="M11" s="2" t="s">
        <v>78</v>
      </c>
      <c r="P11" s="2" t="str">
        <f>Setup!$A$11</f>
        <v>Expert 08</v>
      </c>
      <c r="Q11" s="2">
        <f t="shared" si="0"/>
        <v>3</v>
      </c>
      <c r="R11" s="2">
        <f t="shared" si="1"/>
        <v>0</v>
      </c>
      <c r="S11" s="2">
        <f t="shared" si="2"/>
        <v>1</v>
      </c>
      <c r="T11" s="2">
        <f t="shared" si="3"/>
        <v>0</v>
      </c>
      <c r="U11" s="2">
        <f t="shared" si="4"/>
        <v>0</v>
      </c>
      <c r="V11" s="8">
        <f t="shared" si="5"/>
        <v>18</v>
      </c>
      <c r="W11" s="2">
        <f t="shared" si="6"/>
        <v>3</v>
      </c>
      <c r="X11" s="8">
        <f t="shared" si="7"/>
        <v>209.29000000000002</v>
      </c>
    </row>
    <row r="12" spans="1:24" x14ac:dyDescent="0.25">
      <c r="A12" s="2" t="s">
        <v>53</v>
      </c>
      <c r="B12" s="2" t="s">
        <v>527</v>
      </c>
      <c r="C12" s="2" t="s">
        <v>528</v>
      </c>
      <c r="D12" s="2" t="s">
        <v>61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16</v>
      </c>
      <c r="K12" s="2">
        <v>1</v>
      </c>
      <c r="L12" s="8">
        <v>159.59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2</v>
      </c>
      <c r="U12" s="2">
        <f t="shared" si="4"/>
        <v>0</v>
      </c>
      <c r="V12" s="8">
        <f t="shared" si="5"/>
        <v>33</v>
      </c>
      <c r="W12" s="2">
        <f t="shared" si="6"/>
        <v>2</v>
      </c>
      <c r="X12" s="8">
        <f t="shared" si="7"/>
        <v>160.69999999999999</v>
      </c>
    </row>
    <row r="13" spans="1:24" x14ac:dyDescent="0.25">
      <c r="A13" s="2" t="s">
        <v>41</v>
      </c>
      <c r="B13" s="2" t="s">
        <v>529</v>
      </c>
      <c r="C13" s="2" t="s">
        <v>530</v>
      </c>
      <c r="D13" s="2" t="s">
        <v>62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0</v>
      </c>
      <c r="W13" s="2">
        <f t="shared" si="6"/>
        <v>1</v>
      </c>
      <c r="X13" s="8">
        <f t="shared" si="7"/>
        <v>0</v>
      </c>
    </row>
    <row r="14" spans="1:24" x14ac:dyDescent="0.25">
      <c r="A14" s="2" t="s">
        <v>41</v>
      </c>
      <c r="B14" s="2" t="s">
        <v>531</v>
      </c>
      <c r="C14" s="2" t="s">
        <v>532</v>
      </c>
      <c r="D14" s="2" t="s">
        <v>68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18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16</v>
      </c>
      <c r="W14" s="2">
        <f t="shared" si="6"/>
        <v>1</v>
      </c>
      <c r="X14" s="8">
        <f t="shared" si="7"/>
        <v>159.59</v>
      </c>
    </row>
    <row r="15" spans="1:24" x14ac:dyDescent="0.25">
      <c r="A15" s="2" t="s">
        <v>47</v>
      </c>
      <c r="B15" s="2" t="s">
        <v>533</v>
      </c>
      <c r="C15" s="2" t="s">
        <v>534</v>
      </c>
      <c r="D15" s="2" t="s">
        <v>61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3.69</v>
      </c>
      <c r="M15" s="2" t="s">
        <v>78</v>
      </c>
      <c r="P15" s="2" t="str">
        <f>Setup!$A$15</f>
        <v>Expert 12</v>
      </c>
      <c r="Q15" s="2">
        <f t="shared" si="0"/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0</v>
      </c>
      <c r="X15" s="8">
        <f t="shared" si="7"/>
        <v>0</v>
      </c>
    </row>
    <row r="16" spans="1:24" x14ac:dyDescent="0.25">
      <c r="A16" s="2" t="s">
        <v>47</v>
      </c>
      <c r="B16" s="2" t="s">
        <v>535</v>
      </c>
      <c r="C16" s="2" t="s">
        <v>536</v>
      </c>
      <c r="D16" s="2" t="s">
        <v>64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18</v>
      </c>
      <c r="K16" s="2">
        <v>1</v>
      </c>
      <c r="L16" s="8">
        <v>143.96</v>
      </c>
      <c r="M16" s="2" t="s">
        <v>78</v>
      </c>
      <c r="P16" s="9" t="s">
        <v>103</v>
      </c>
      <c r="Q16" s="10">
        <f t="shared" ref="Q16:X16" si="8">SUM(Q4:Q15)</f>
        <v>16</v>
      </c>
      <c r="R16" s="10">
        <f t="shared" si="8"/>
        <v>2</v>
      </c>
      <c r="S16" s="10">
        <f t="shared" si="8"/>
        <v>1</v>
      </c>
      <c r="T16" s="10">
        <f t="shared" si="8"/>
        <v>4</v>
      </c>
      <c r="U16" s="10">
        <f t="shared" si="8"/>
        <v>0</v>
      </c>
      <c r="V16" s="11">
        <f t="shared" si="8"/>
        <v>226</v>
      </c>
      <c r="W16" s="10">
        <f t="shared" si="8"/>
        <v>18</v>
      </c>
      <c r="X16" s="11">
        <f t="shared" si="8"/>
        <v>957.56000000000006</v>
      </c>
    </row>
    <row r="17" spans="1:13" x14ac:dyDescent="0.25">
      <c r="A17" s="2" t="s">
        <v>35</v>
      </c>
      <c r="B17" s="2" t="s">
        <v>537</v>
      </c>
      <c r="C17" s="2" t="s">
        <v>538</v>
      </c>
      <c r="D17" s="2" t="s">
        <v>44</v>
      </c>
      <c r="E17" s="2">
        <v>1</v>
      </c>
      <c r="F17" s="2">
        <v>0</v>
      </c>
      <c r="G17" s="2">
        <v>0</v>
      </c>
      <c r="H17" s="2">
        <v>1</v>
      </c>
      <c r="I17" s="2">
        <v>0</v>
      </c>
      <c r="J17" s="8">
        <v>0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49</v>
      </c>
      <c r="B18" s="2" t="s">
        <v>539</v>
      </c>
      <c r="C18" s="2" t="s">
        <v>540</v>
      </c>
      <c r="D18" s="2" t="s">
        <v>48</v>
      </c>
      <c r="E18" s="2">
        <v>1</v>
      </c>
      <c r="F18" s="2">
        <v>0</v>
      </c>
      <c r="G18" s="2">
        <v>0</v>
      </c>
      <c r="H18" s="2">
        <v>1</v>
      </c>
      <c r="I18" s="2">
        <v>0</v>
      </c>
      <c r="J18" s="8">
        <v>15</v>
      </c>
      <c r="K18" s="2">
        <v>1</v>
      </c>
      <c r="L18" s="8">
        <v>99.09</v>
      </c>
      <c r="M18" s="2" t="s">
        <v>78</v>
      </c>
    </row>
    <row r="19" spans="1:13" x14ac:dyDescent="0.25">
      <c r="A19" s="2" t="s">
        <v>37</v>
      </c>
      <c r="B19" s="2" t="s">
        <v>541</v>
      </c>
      <c r="C19" s="2" t="s">
        <v>542</v>
      </c>
      <c r="D19" s="2" t="s">
        <v>69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0</v>
      </c>
      <c r="L19" s="8">
        <v>172.14</v>
      </c>
      <c r="M19" s="2" t="s">
        <v>118</v>
      </c>
    </row>
    <row r="20" spans="1:13" x14ac:dyDescent="0.25">
      <c r="A20" s="2" t="s">
        <v>33</v>
      </c>
      <c r="B20" s="2" t="s">
        <v>543</v>
      </c>
      <c r="C20" s="2" t="s">
        <v>544</v>
      </c>
      <c r="D20" s="2" t="s">
        <v>67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33</v>
      </c>
      <c r="K20" s="2">
        <v>0</v>
      </c>
      <c r="L20" s="8">
        <v>63.17</v>
      </c>
      <c r="M20" s="2" t="s">
        <v>78</v>
      </c>
    </row>
    <row r="21" spans="1:13" x14ac:dyDescent="0.25">
      <c r="A21" s="2" t="s">
        <v>49</v>
      </c>
      <c r="B21" s="2" t="s">
        <v>545</v>
      </c>
      <c r="C21" s="2" t="s">
        <v>546</v>
      </c>
      <c r="D21" s="2" t="s">
        <v>57</v>
      </c>
      <c r="E21" s="2">
        <v>0</v>
      </c>
      <c r="F21" s="2">
        <v>0</v>
      </c>
      <c r="G21" s="2">
        <v>0</v>
      </c>
      <c r="H21" s="2">
        <v>1</v>
      </c>
      <c r="I21" s="2">
        <v>0</v>
      </c>
      <c r="J21" s="8">
        <v>18</v>
      </c>
      <c r="K21" s="2">
        <v>1</v>
      </c>
      <c r="L21" s="8">
        <v>61.61</v>
      </c>
      <c r="M21" s="2" t="s">
        <v>78</v>
      </c>
    </row>
    <row r="22" spans="1:13" x14ac:dyDescent="0.25">
      <c r="A22" s="2" t="s">
        <v>39</v>
      </c>
      <c r="B22" s="2" t="s">
        <v>547</v>
      </c>
      <c r="C22" s="2" t="s">
        <v>548</v>
      </c>
      <c r="D22" s="2" t="s">
        <v>64</v>
      </c>
      <c r="E22" s="2">
        <v>1</v>
      </c>
      <c r="F22" s="2">
        <v>0</v>
      </c>
      <c r="G22" s="2">
        <v>0</v>
      </c>
      <c r="H22" s="2">
        <v>1</v>
      </c>
      <c r="I22" s="2">
        <v>0</v>
      </c>
      <c r="J22" s="8">
        <v>18</v>
      </c>
      <c r="K22" s="2">
        <v>1</v>
      </c>
      <c r="L22" s="8">
        <v>0</v>
      </c>
      <c r="M22" s="2" t="s">
        <v>118</v>
      </c>
    </row>
    <row r="23" spans="1:13" x14ac:dyDescent="0.25">
      <c r="A23" s="2" t="s">
        <v>37</v>
      </c>
      <c r="B23" s="2" t="s">
        <v>549</v>
      </c>
      <c r="C23" s="2" t="s">
        <v>550</v>
      </c>
      <c r="D23" s="2" t="s">
        <v>56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33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35</v>
      </c>
      <c r="B24" s="2" t="s">
        <v>551</v>
      </c>
      <c r="C24" s="2" t="s">
        <v>552</v>
      </c>
      <c r="D24" s="2" t="s">
        <v>52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8"/>
      <c r="K25" s="2"/>
      <c r="L25" s="8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8"/>
      <c r="K26" s="2"/>
      <c r="L26" s="8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8"/>
      <c r="K27" s="2"/>
      <c r="L27" s="8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8"/>
      <c r="K28" s="2"/>
      <c r="L28" s="8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37</v>
      </c>
      <c r="B4" s="2" t="s">
        <v>554</v>
      </c>
      <c r="C4" s="2" t="s">
        <v>555</v>
      </c>
      <c r="D4" s="2" t="s">
        <v>64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15</v>
      </c>
      <c r="K4" s="2">
        <v>1</v>
      </c>
      <c r="L4" s="8">
        <v>64.510000000000005</v>
      </c>
      <c r="M4" s="2" t="s">
        <v>78</v>
      </c>
      <c r="P4" s="2" t="str">
        <f>Setup!$A$4</f>
        <v>Expert 01</v>
      </c>
      <c r="Q4" s="2">
        <f t="shared" ref="Q4:Q15" si="0">SUMIF($A$4:$A$43,$P4,E$4:E$43)</f>
        <v>3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24</v>
      </c>
      <c r="W4" s="2">
        <f t="shared" ref="W4:W15" si="6">SUMIF($A$4:$A$43,$P4,K$4:K$43)</f>
        <v>3</v>
      </c>
      <c r="X4" s="8">
        <f t="shared" ref="X4:X15" si="7">SUMIF($A$4:$A$43,$P4,L$4:L$43)</f>
        <v>145.4</v>
      </c>
    </row>
    <row r="5" spans="1:24" x14ac:dyDescent="0.25">
      <c r="A5" s="2" t="s">
        <v>51</v>
      </c>
      <c r="B5" s="2" t="s">
        <v>556</v>
      </c>
      <c r="C5" s="2" t="s">
        <v>557</v>
      </c>
      <c r="D5" s="2" t="s">
        <v>40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16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0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0</v>
      </c>
      <c r="X5" s="8">
        <f t="shared" si="7"/>
        <v>0</v>
      </c>
    </row>
    <row r="6" spans="1:24" x14ac:dyDescent="0.25">
      <c r="A6" s="2" t="s">
        <v>37</v>
      </c>
      <c r="B6" s="2" t="s">
        <v>558</v>
      </c>
      <c r="C6" s="2" t="s">
        <v>559</v>
      </c>
      <c r="D6" s="2" t="s">
        <v>42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141.91999999999999</v>
      </c>
      <c r="M6" s="2" t="s">
        <v>118</v>
      </c>
      <c r="P6" s="2" t="str">
        <f>Setup!$A$6</f>
        <v>Expert 03</v>
      </c>
      <c r="Q6" s="2">
        <f t="shared" si="0"/>
        <v>2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31</v>
      </c>
      <c r="W6" s="2">
        <f t="shared" si="6"/>
        <v>3</v>
      </c>
      <c r="X6" s="8">
        <f t="shared" si="7"/>
        <v>242.67000000000002</v>
      </c>
    </row>
    <row r="7" spans="1:24" x14ac:dyDescent="0.25">
      <c r="A7" s="2" t="s">
        <v>53</v>
      </c>
      <c r="B7" s="2" t="s">
        <v>560</v>
      </c>
      <c r="C7" s="2" t="s">
        <v>561</v>
      </c>
      <c r="D7" s="2" t="s">
        <v>63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24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1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39</v>
      </c>
      <c r="W7" s="2">
        <f t="shared" si="6"/>
        <v>3</v>
      </c>
      <c r="X7" s="8">
        <f t="shared" si="7"/>
        <v>0</v>
      </c>
    </row>
    <row r="8" spans="1:24" x14ac:dyDescent="0.25">
      <c r="A8" s="2" t="s">
        <v>39</v>
      </c>
      <c r="B8" s="2" t="s">
        <v>562</v>
      </c>
      <c r="C8" s="2" t="s">
        <v>563</v>
      </c>
      <c r="D8" s="2" t="s">
        <v>42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1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49</v>
      </c>
      <c r="W8" s="2">
        <f t="shared" si="6"/>
        <v>2</v>
      </c>
      <c r="X8" s="8">
        <f t="shared" si="7"/>
        <v>20.59</v>
      </c>
    </row>
    <row r="9" spans="1:24" x14ac:dyDescent="0.25">
      <c r="A9" s="2" t="s">
        <v>47</v>
      </c>
      <c r="B9" s="2" t="s">
        <v>564</v>
      </c>
      <c r="C9" s="2" t="s">
        <v>565</v>
      </c>
      <c r="D9" s="2" t="s">
        <v>42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102.12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0</v>
      </c>
    </row>
    <row r="10" spans="1:24" x14ac:dyDescent="0.25">
      <c r="A10" s="2" t="s">
        <v>37</v>
      </c>
      <c r="B10" s="2" t="s">
        <v>566</v>
      </c>
      <c r="C10" s="2" t="s">
        <v>567</v>
      </c>
      <c r="D10" s="2" t="s">
        <v>65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16</v>
      </c>
      <c r="K10" s="2">
        <v>1</v>
      </c>
      <c r="L10" s="8">
        <v>36.24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2</v>
      </c>
      <c r="S10" s="2">
        <f t="shared" si="2"/>
        <v>2</v>
      </c>
      <c r="T10" s="2">
        <f t="shared" si="3"/>
        <v>0</v>
      </c>
      <c r="U10" s="2">
        <f t="shared" si="4"/>
        <v>1</v>
      </c>
      <c r="V10" s="8">
        <f t="shared" si="5"/>
        <v>48</v>
      </c>
      <c r="W10" s="2">
        <f t="shared" si="6"/>
        <v>2</v>
      </c>
      <c r="X10" s="8">
        <f t="shared" si="7"/>
        <v>423.56999999999994</v>
      </c>
    </row>
    <row r="11" spans="1:24" x14ac:dyDescent="0.25">
      <c r="A11" s="2" t="s">
        <v>49</v>
      </c>
      <c r="B11" s="2" t="s">
        <v>568</v>
      </c>
      <c r="C11" s="2" t="s">
        <v>569</v>
      </c>
      <c r="D11" s="2" t="s">
        <v>60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149.04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1</v>
      </c>
      <c r="X11" s="8">
        <f t="shared" si="7"/>
        <v>102.12</v>
      </c>
    </row>
    <row r="12" spans="1:24" x14ac:dyDescent="0.25">
      <c r="A12" s="2" t="s">
        <v>49</v>
      </c>
      <c r="B12" s="2" t="s">
        <v>570</v>
      </c>
      <c r="C12" s="2" t="s">
        <v>571</v>
      </c>
      <c r="D12" s="2" t="s">
        <v>61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57.92</v>
      </c>
      <c r="M12" s="2" t="s">
        <v>78</v>
      </c>
      <c r="P12" s="2" t="str">
        <f>Setup!$A$12</f>
        <v>Expert 09</v>
      </c>
      <c r="Q12" s="2">
        <f t="shared" si="0"/>
        <v>3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15</v>
      </c>
      <c r="W12" s="2">
        <f t="shared" si="6"/>
        <v>4</v>
      </c>
      <c r="X12" s="8">
        <f t="shared" si="7"/>
        <v>500.75</v>
      </c>
    </row>
    <row r="13" spans="1:24" x14ac:dyDescent="0.25">
      <c r="A13" s="2" t="s">
        <v>49</v>
      </c>
      <c r="B13" s="2" t="s">
        <v>572</v>
      </c>
      <c r="C13" s="2" t="s">
        <v>573</v>
      </c>
      <c r="D13" s="2" t="s">
        <v>65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153.51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1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16</v>
      </c>
      <c r="W13" s="2">
        <f t="shared" si="6"/>
        <v>3</v>
      </c>
      <c r="X13" s="8">
        <f t="shared" si="7"/>
        <v>141.74</v>
      </c>
    </row>
    <row r="14" spans="1:24" x14ac:dyDescent="0.25">
      <c r="A14" s="2" t="s">
        <v>45</v>
      </c>
      <c r="B14" s="2" t="s">
        <v>574</v>
      </c>
      <c r="C14" s="2" t="s">
        <v>575</v>
      </c>
      <c r="D14" s="2" t="s">
        <v>36</v>
      </c>
      <c r="E14" s="2">
        <v>0</v>
      </c>
      <c r="F14" s="2">
        <v>1</v>
      </c>
      <c r="G14" s="2">
        <v>1</v>
      </c>
      <c r="H14" s="2">
        <v>0</v>
      </c>
      <c r="I14" s="2">
        <v>0</v>
      </c>
      <c r="J14" s="8">
        <v>15</v>
      </c>
      <c r="K14" s="2">
        <v>1</v>
      </c>
      <c r="L14" s="8">
        <v>168.79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24</v>
      </c>
      <c r="W14" s="2">
        <f t="shared" si="6"/>
        <v>1</v>
      </c>
      <c r="X14" s="8">
        <f t="shared" si="7"/>
        <v>0</v>
      </c>
    </row>
    <row r="15" spans="1:24" x14ac:dyDescent="0.25">
      <c r="A15" s="2" t="s">
        <v>33</v>
      </c>
      <c r="B15" s="2" t="s">
        <v>576</v>
      </c>
      <c r="C15" s="2" t="s">
        <v>577</v>
      </c>
      <c r="D15" s="2" t="s">
        <v>57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24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24</v>
      </c>
      <c r="W15" s="2">
        <f t="shared" si="6"/>
        <v>1</v>
      </c>
      <c r="X15" s="8">
        <f t="shared" si="7"/>
        <v>151.9</v>
      </c>
    </row>
    <row r="16" spans="1:24" x14ac:dyDescent="0.25">
      <c r="A16" s="2" t="s">
        <v>45</v>
      </c>
      <c r="B16" s="2" t="s">
        <v>578</v>
      </c>
      <c r="C16" s="2" t="s">
        <v>579</v>
      </c>
      <c r="D16" s="2" t="s">
        <v>54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33</v>
      </c>
      <c r="K16" s="2">
        <v>1</v>
      </c>
      <c r="L16" s="8">
        <v>177.75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5</v>
      </c>
      <c r="S16" s="10">
        <f t="shared" si="8"/>
        <v>2</v>
      </c>
      <c r="T16" s="10">
        <f t="shared" si="8"/>
        <v>0</v>
      </c>
      <c r="U16" s="10">
        <f t="shared" si="8"/>
        <v>1</v>
      </c>
      <c r="V16" s="11">
        <f t="shared" si="8"/>
        <v>270</v>
      </c>
      <c r="W16" s="10">
        <f t="shared" si="8"/>
        <v>23</v>
      </c>
      <c r="X16" s="11">
        <f t="shared" si="8"/>
        <v>1728.74</v>
      </c>
    </row>
    <row r="17" spans="1:13" x14ac:dyDescent="0.25">
      <c r="A17" s="2" t="s">
        <v>51</v>
      </c>
      <c r="B17" s="2" t="s">
        <v>580</v>
      </c>
      <c r="C17" s="2" t="s">
        <v>581</v>
      </c>
      <c r="D17" s="2" t="s">
        <v>52</v>
      </c>
      <c r="E17" s="2">
        <v>0</v>
      </c>
      <c r="F17" s="2">
        <v>1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12.62</v>
      </c>
      <c r="M17" s="2" t="s">
        <v>78</v>
      </c>
    </row>
    <row r="18" spans="1:13" x14ac:dyDescent="0.25">
      <c r="A18" s="2" t="s">
        <v>41</v>
      </c>
      <c r="B18" s="2" t="s">
        <v>582</v>
      </c>
      <c r="C18" s="2" t="s">
        <v>583</v>
      </c>
      <c r="D18" s="2" t="s">
        <v>62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8">
        <v>33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41</v>
      </c>
      <c r="B19" s="2" t="s">
        <v>584</v>
      </c>
      <c r="C19" s="2" t="s">
        <v>585</v>
      </c>
      <c r="D19" s="2" t="s">
        <v>57</v>
      </c>
      <c r="E19" s="2">
        <v>0</v>
      </c>
      <c r="F19" s="2">
        <v>1</v>
      </c>
      <c r="G19" s="2">
        <v>0</v>
      </c>
      <c r="H19" s="2">
        <v>0</v>
      </c>
      <c r="I19" s="2">
        <v>0</v>
      </c>
      <c r="J19" s="8">
        <v>16</v>
      </c>
      <c r="K19" s="2">
        <v>1</v>
      </c>
      <c r="L19" s="8">
        <v>20.59</v>
      </c>
      <c r="M19" s="2" t="s">
        <v>78</v>
      </c>
    </row>
    <row r="20" spans="1:13" x14ac:dyDescent="0.25">
      <c r="A20" s="2" t="s">
        <v>33</v>
      </c>
      <c r="B20" s="2" t="s">
        <v>586</v>
      </c>
      <c r="C20" s="2" t="s">
        <v>587</v>
      </c>
      <c r="D20" s="2" t="s">
        <v>48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13.93</v>
      </c>
      <c r="M20" s="2" t="s">
        <v>78</v>
      </c>
    </row>
    <row r="21" spans="1:13" x14ac:dyDescent="0.25">
      <c r="A21" s="2" t="s">
        <v>55</v>
      </c>
      <c r="B21" s="2" t="s">
        <v>588</v>
      </c>
      <c r="C21" s="2" t="s">
        <v>589</v>
      </c>
      <c r="D21" s="2" t="s">
        <v>68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24</v>
      </c>
      <c r="K21" s="2">
        <v>1</v>
      </c>
      <c r="L21" s="8">
        <v>151.9</v>
      </c>
      <c r="M21" s="2" t="s">
        <v>78</v>
      </c>
    </row>
    <row r="22" spans="1:13" x14ac:dyDescent="0.25">
      <c r="A22" s="2" t="s">
        <v>45</v>
      </c>
      <c r="B22" s="2" t="s">
        <v>590</v>
      </c>
      <c r="C22" s="2" t="s">
        <v>591</v>
      </c>
      <c r="D22" s="2" t="s">
        <v>66</v>
      </c>
      <c r="E22" s="2">
        <v>0</v>
      </c>
      <c r="F22" s="2">
        <v>1</v>
      </c>
      <c r="G22" s="2">
        <v>1</v>
      </c>
      <c r="H22" s="2">
        <v>0</v>
      </c>
      <c r="I22" s="2">
        <v>1</v>
      </c>
      <c r="J22" s="8">
        <v>0</v>
      </c>
      <c r="K22" s="2">
        <v>0</v>
      </c>
      <c r="L22" s="8">
        <v>77.03</v>
      </c>
      <c r="M22" s="2" t="s">
        <v>78</v>
      </c>
    </row>
    <row r="23" spans="1:13" x14ac:dyDescent="0.25">
      <c r="A23" s="2" t="s">
        <v>51</v>
      </c>
      <c r="B23" s="2" t="s">
        <v>592</v>
      </c>
      <c r="C23" s="2" t="s">
        <v>593</v>
      </c>
      <c r="D23" s="2" t="s">
        <v>42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129.12</v>
      </c>
      <c r="M23" s="2" t="s">
        <v>78</v>
      </c>
    </row>
    <row r="24" spans="1:13" x14ac:dyDescent="0.25">
      <c r="A24" s="2" t="s">
        <v>49</v>
      </c>
      <c r="B24" s="2" t="s">
        <v>594</v>
      </c>
      <c r="C24" s="2" t="s">
        <v>595</v>
      </c>
      <c r="D24" s="2" t="s">
        <v>57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15</v>
      </c>
      <c r="K24" s="2">
        <v>1</v>
      </c>
      <c r="L24" s="8">
        <v>140.28</v>
      </c>
      <c r="M24" s="2" t="s">
        <v>78</v>
      </c>
    </row>
    <row r="25" spans="1:13" x14ac:dyDescent="0.25">
      <c r="A25" s="2" t="s">
        <v>33</v>
      </c>
      <c r="B25" s="2" t="s">
        <v>596</v>
      </c>
      <c r="C25" s="2" t="s">
        <v>597</v>
      </c>
      <c r="D25" s="2" t="s">
        <v>57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131.47</v>
      </c>
      <c r="M25" s="2" t="s">
        <v>78</v>
      </c>
    </row>
    <row r="26" spans="1:13" x14ac:dyDescent="0.25">
      <c r="A26" s="2" t="s">
        <v>39</v>
      </c>
      <c r="B26" s="2" t="s">
        <v>598</v>
      </c>
      <c r="C26" s="2" t="s">
        <v>599</v>
      </c>
      <c r="D26" s="2" t="s">
        <v>50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24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39</v>
      </c>
      <c r="B27" s="2" t="s">
        <v>600</v>
      </c>
      <c r="C27" s="2" t="s">
        <v>601</v>
      </c>
      <c r="D27" s="2" t="s">
        <v>64</v>
      </c>
      <c r="E27" s="2">
        <v>0</v>
      </c>
      <c r="F27" s="2">
        <v>1</v>
      </c>
      <c r="G27" s="2">
        <v>0</v>
      </c>
      <c r="H27" s="2">
        <v>0</v>
      </c>
      <c r="I27" s="2">
        <v>0</v>
      </c>
      <c r="J27" s="8">
        <v>15</v>
      </c>
      <c r="K27" s="2">
        <v>1</v>
      </c>
      <c r="L27" s="8">
        <v>0</v>
      </c>
      <c r="M27" s="2" t="s">
        <v>78</v>
      </c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8"/>
      <c r="K28" s="2"/>
      <c r="L28" s="8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602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43</v>
      </c>
      <c r="B4" s="2" t="s">
        <v>603</v>
      </c>
      <c r="C4" s="2" t="s">
        <v>604</v>
      </c>
      <c r="D4" s="2" t="s">
        <v>66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8">
        <v>18</v>
      </c>
      <c r="K4" s="2">
        <v>0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3</v>
      </c>
      <c r="R4" s="2">
        <f t="shared" ref="R4:R15" si="1">SUMIF($A$4:$A$43,$P4,F$4:F$43)</f>
        <v>0</v>
      </c>
      <c r="S4" s="2">
        <f t="shared" ref="S4:S15" si="2">SUMIF($A$4:$A$43,$P4,G$4:G$43)</f>
        <v>1</v>
      </c>
      <c r="T4" s="2">
        <f t="shared" ref="T4:T15" si="3">SUMIF($A$4:$A$43,$P4,H$4:H$43)</f>
        <v>1</v>
      </c>
      <c r="U4" s="2">
        <f t="shared" ref="U4:U15" si="4">SUMIF($A$4:$A$43,$P4,I$4:I$43)</f>
        <v>0</v>
      </c>
      <c r="V4" s="8">
        <f t="shared" ref="V4:V15" si="5">SUMIF($A$4:$A$43,$P4,J$4:J$43)</f>
        <v>15</v>
      </c>
      <c r="W4" s="2">
        <f t="shared" ref="W4:W15" si="6">SUMIF($A$4:$A$43,$P4,K$4:K$43)</f>
        <v>4</v>
      </c>
      <c r="X4" s="8">
        <f t="shared" ref="X4:X15" si="7">SUMIF($A$4:$A$43,$P4,L$4:L$43)</f>
        <v>164.07</v>
      </c>
    </row>
    <row r="5" spans="1:24" x14ac:dyDescent="0.25">
      <c r="A5" s="2" t="s">
        <v>43</v>
      </c>
      <c r="B5" s="2" t="s">
        <v>605</v>
      </c>
      <c r="C5" s="2" t="s">
        <v>606</v>
      </c>
      <c r="D5" s="2" t="s">
        <v>64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1</v>
      </c>
      <c r="X5" s="8">
        <f t="shared" si="7"/>
        <v>178.55</v>
      </c>
    </row>
    <row r="6" spans="1:24" x14ac:dyDescent="0.25">
      <c r="A6" s="2" t="s">
        <v>37</v>
      </c>
      <c r="B6" s="2" t="s">
        <v>607</v>
      </c>
      <c r="C6" s="2" t="s">
        <v>608</v>
      </c>
      <c r="D6" s="2" t="s">
        <v>48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0</v>
      </c>
      <c r="W6" s="2">
        <f t="shared" si="6"/>
        <v>3</v>
      </c>
      <c r="X6" s="8">
        <f t="shared" si="7"/>
        <v>0</v>
      </c>
    </row>
    <row r="7" spans="1:24" x14ac:dyDescent="0.25">
      <c r="A7" s="2" t="s">
        <v>55</v>
      </c>
      <c r="B7" s="2" t="s">
        <v>609</v>
      </c>
      <c r="C7" s="2" t="s">
        <v>610</v>
      </c>
      <c r="D7" s="2" t="s">
        <v>50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8">
        <v>15</v>
      </c>
      <c r="K7" s="2">
        <v>1</v>
      </c>
      <c r="L7" s="8">
        <v>113.31</v>
      </c>
      <c r="M7" s="2" t="s">
        <v>78</v>
      </c>
      <c r="P7" s="2" t="str">
        <f>Setup!$A$7</f>
        <v>Expert 04</v>
      </c>
      <c r="Q7" s="2">
        <f t="shared" si="0"/>
        <v>2</v>
      </c>
      <c r="R7" s="2">
        <f t="shared" si="1"/>
        <v>1</v>
      </c>
      <c r="S7" s="2">
        <f t="shared" si="2"/>
        <v>1</v>
      </c>
      <c r="T7" s="2">
        <f t="shared" si="3"/>
        <v>0</v>
      </c>
      <c r="U7" s="2">
        <f t="shared" si="4"/>
        <v>0</v>
      </c>
      <c r="V7" s="8">
        <f t="shared" si="5"/>
        <v>24</v>
      </c>
      <c r="W7" s="2">
        <f t="shared" si="6"/>
        <v>2</v>
      </c>
      <c r="X7" s="8">
        <f t="shared" si="7"/>
        <v>361.46</v>
      </c>
    </row>
    <row r="8" spans="1:24" x14ac:dyDescent="0.25">
      <c r="A8" s="2" t="s">
        <v>53</v>
      </c>
      <c r="B8" s="2" t="s">
        <v>611</v>
      </c>
      <c r="C8" s="2" t="s">
        <v>612</v>
      </c>
      <c r="D8" s="2" t="s">
        <v>52</v>
      </c>
      <c r="E8" s="2">
        <v>1</v>
      </c>
      <c r="F8" s="2">
        <v>0</v>
      </c>
      <c r="G8" s="2">
        <v>0</v>
      </c>
      <c r="H8" s="2">
        <v>1</v>
      </c>
      <c r="I8" s="2">
        <v>0</v>
      </c>
      <c r="J8" s="8">
        <v>0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33</v>
      </c>
      <c r="W8" s="2">
        <f t="shared" si="6"/>
        <v>2</v>
      </c>
      <c r="X8" s="8">
        <f t="shared" si="7"/>
        <v>141.82</v>
      </c>
    </row>
    <row r="9" spans="1:24" x14ac:dyDescent="0.25">
      <c r="A9" s="2" t="s">
        <v>53</v>
      </c>
      <c r="B9" s="2" t="s">
        <v>613</v>
      </c>
      <c r="C9" s="2" t="s">
        <v>614</v>
      </c>
      <c r="D9" s="2" t="s">
        <v>46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8">
        <v>16</v>
      </c>
      <c r="K9" s="2">
        <v>1</v>
      </c>
      <c r="L9" s="8">
        <v>88.63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2</v>
      </c>
      <c r="V9" s="8">
        <f t="shared" si="5"/>
        <v>92</v>
      </c>
      <c r="W9" s="2">
        <f t="shared" si="6"/>
        <v>3</v>
      </c>
      <c r="X9" s="8">
        <f t="shared" si="7"/>
        <v>223.14999999999998</v>
      </c>
    </row>
    <row r="10" spans="1:24" x14ac:dyDescent="0.25">
      <c r="A10" s="2" t="s">
        <v>43</v>
      </c>
      <c r="B10" s="2" t="s">
        <v>615</v>
      </c>
      <c r="C10" s="2" t="s">
        <v>616</v>
      </c>
      <c r="D10" s="2" t="s">
        <v>36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24</v>
      </c>
      <c r="K10" s="2">
        <v>1</v>
      </c>
      <c r="L10" s="8">
        <v>64.569999999999993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0</v>
      </c>
    </row>
    <row r="11" spans="1:24" x14ac:dyDescent="0.25">
      <c r="A11" s="2" t="s">
        <v>55</v>
      </c>
      <c r="B11" s="2" t="s">
        <v>617</v>
      </c>
      <c r="C11" s="2" t="s">
        <v>618</v>
      </c>
      <c r="D11" s="2" t="s">
        <v>40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9.33</v>
      </c>
      <c r="M11" s="2" t="s">
        <v>78</v>
      </c>
      <c r="P11" s="2" t="str">
        <f>Setup!$A$11</f>
        <v>Expert 08</v>
      </c>
      <c r="Q11" s="2">
        <f t="shared" si="0"/>
        <v>0</v>
      </c>
      <c r="R11" s="2">
        <f t="shared" si="1"/>
        <v>1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24</v>
      </c>
      <c r="W11" s="2">
        <f t="shared" si="6"/>
        <v>1</v>
      </c>
      <c r="X11" s="8">
        <f t="shared" si="7"/>
        <v>91.68</v>
      </c>
    </row>
    <row r="12" spans="1:24" x14ac:dyDescent="0.25">
      <c r="A12" s="2" t="s">
        <v>35</v>
      </c>
      <c r="B12" s="2" t="s">
        <v>619</v>
      </c>
      <c r="C12" s="2" t="s">
        <v>620</v>
      </c>
      <c r="D12" s="2" t="s">
        <v>69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0</v>
      </c>
      <c r="L12" s="8">
        <v>178.55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16</v>
      </c>
      <c r="W12" s="2">
        <f t="shared" si="6"/>
        <v>1</v>
      </c>
      <c r="X12" s="8">
        <f t="shared" si="7"/>
        <v>0</v>
      </c>
    </row>
    <row r="13" spans="1:24" x14ac:dyDescent="0.25">
      <c r="A13" s="2" t="s">
        <v>53</v>
      </c>
      <c r="B13" s="2" t="s">
        <v>621</v>
      </c>
      <c r="C13" s="2" t="s">
        <v>622</v>
      </c>
      <c r="D13" s="2" t="s">
        <v>34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18</v>
      </c>
      <c r="W13" s="2">
        <f t="shared" si="6"/>
        <v>1</v>
      </c>
      <c r="X13" s="8">
        <f t="shared" si="7"/>
        <v>97.67</v>
      </c>
    </row>
    <row r="14" spans="1:24" x14ac:dyDescent="0.25">
      <c r="A14" s="2" t="s">
        <v>33</v>
      </c>
      <c r="B14" s="2" t="s">
        <v>623</v>
      </c>
      <c r="C14" s="2" t="s">
        <v>624</v>
      </c>
      <c r="D14" s="2" t="s">
        <v>42</v>
      </c>
      <c r="E14" s="2">
        <v>1</v>
      </c>
      <c r="F14" s="2">
        <v>0</v>
      </c>
      <c r="G14" s="2">
        <v>0</v>
      </c>
      <c r="H14" s="2">
        <v>1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3</v>
      </c>
      <c r="R14" s="2">
        <f t="shared" si="1"/>
        <v>1</v>
      </c>
      <c r="S14" s="2">
        <f t="shared" si="2"/>
        <v>0</v>
      </c>
      <c r="T14" s="2">
        <f t="shared" si="3"/>
        <v>1</v>
      </c>
      <c r="U14" s="2">
        <f t="shared" si="4"/>
        <v>0</v>
      </c>
      <c r="V14" s="8">
        <f t="shared" si="5"/>
        <v>34</v>
      </c>
      <c r="W14" s="2">
        <f t="shared" si="6"/>
        <v>5</v>
      </c>
      <c r="X14" s="8">
        <f t="shared" si="7"/>
        <v>388.40999999999997</v>
      </c>
    </row>
    <row r="15" spans="1:24" x14ac:dyDescent="0.25">
      <c r="A15" s="2" t="s">
        <v>39</v>
      </c>
      <c r="B15" s="2" t="s">
        <v>625</v>
      </c>
      <c r="C15" s="2" t="s">
        <v>626</v>
      </c>
      <c r="D15" s="2" t="s">
        <v>64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120.13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2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30</v>
      </c>
      <c r="W15" s="2">
        <f t="shared" si="6"/>
        <v>3</v>
      </c>
      <c r="X15" s="8">
        <f t="shared" si="7"/>
        <v>122.64</v>
      </c>
    </row>
    <row r="16" spans="1:24" x14ac:dyDescent="0.25">
      <c r="A16" s="2" t="s">
        <v>51</v>
      </c>
      <c r="B16" s="2" t="s">
        <v>627</v>
      </c>
      <c r="C16" s="2" t="s">
        <v>628</v>
      </c>
      <c r="D16" s="2" t="s">
        <v>54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18</v>
      </c>
      <c r="K16" s="2">
        <v>1</v>
      </c>
      <c r="L16" s="8">
        <v>97.67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5</v>
      </c>
      <c r="S16" s="10">
        <f t="shared" si="8"/>
        <v>2</v>
      </c>
      <c r="T16" s="10">
        <f t="shared" si="8"/>
        <v>2</v>
      </c>
      <c r="U16" s="10">
        <f t="shared" si="8"/>
        <v>2</v>
      </c>
      <c r="V16" s="11">
        <f t="shared" si="8"/>
        <v>286</v>
      </c>
      <c r="W16" s="10">
        <f t="shared" si="8"/>
        <v>27</v>
      </c>
      <c r="X16" s="11">
        <f t="shared" si="8"/>
        <v>1769.45</v>
      </c>
    </row>
    <row r="17" spans="1:13" x14ac:dyDescent="0.25">
      <c r="A17" s="2" t="s">
        <v>39</v>
      </c>
      <c r="B17" s="2" t="s">
        <v>629</v>
      </c>
      <c r="C17" s="2" t="s">
        <v>630</v>
      </c>
      <c r="D17" s="2" t="s">
        <v>60</v>
      </c>
      <c r="E17" s="2">
        <v>0</v>
      </c>
      <c r="F17" s="2">
        <v>1</v>
      </c>
      <c r="G17" s="2">
        <v>0</v>
      </c>
      <c r="H17" s="2">
        <v>0</v>
      </c>
      <c r="I17" s="2">
        <v>0</v>
      </c>
      <c r="J17" s="8">
        <v>24</v>
      </c>
      <c r="K17" s="2">
        <v>1</v>
      </c>
      <c r="L17" s="8">
        <v>70.2</v>
      </c>
      <c r="M17" s="2" t="s">
        <v>78</v>
      </c>
    </row>
    <row r="18" spans="1:13" x14ac:dyDescent="0.25">
      <c r="A18" s="2" t="s">
        <v>53</v>
      </c>
      <c r="B18" s="2" t="s">
        <v>631</v>
      </c>
      <c r="C18" s="2" t="s">
        <v>632</v>
      </c>
      <c r="D18" s="2" t="s">
        <v>61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33</v>
      </c>
      <c r="B19" s="2" t="s">
        <v>633</v>
      </c>
      <c r="C19" s="2" t="s">
        <v>634</v>
      </c>
      <c r="D19" s="2" t="s">
        <v>48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41</v>
      </c>
      <c r="B20" s="2" t="s">
        <v>635</v>
      </c>
      <c r="C20" s="2" t="s">
        <v>636</v>
      </c>
      <c r="D20" s="2" t="s">
        <v>40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47</v>
      </c>
      <c r="B21" s="2" t="s">
        <v>637</v>
      </c>
      <c r="C21" s="2" t="s">
        <v>638</v>
      </c>
      <c r="D21" s="2" t="s">
        <v>42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8">
        <v>24</v>
      </c>
      <c r="K21" s="2">
        <v>1</v>
      </c>
      <c r="L21" s="8">
        <v>91.68</v>
      </c>
      <c r="M21" s="2" t="s">
        <v>118</v>
      </c>
    </row>
    <row r="22" spans="1:13" x14ac:dyDescent="0.25">
      <c r="A22" s="2" t="s">
        <v>35</v>
      </c>
      <c r="B22" s="2" t="s">
        <v>639</v>
      </c>
      <c r="C22" s="2" t="s">
        <v>640</v>
      </c>
      <c r="D22" s="2" t="s">
        <v>38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43</v>
      </c>
      <c r="B23" s="2" t="s">
        <v>641</v>
      </c>
      <c r="C23" s="2" t="s">
        <v>642</v>
      </c>
      <c r="D23" s="2" t="s">
        <v>42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18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53</v>
      </c>
      <c r="B24" s="2" t="s">
        <v>643</v>
      </c>
      <c r="C24" s="2" t="s">
        <v>644</v>
      </c>
      <c r="D24" s="2" t="s">
        <v>64</v>
      </c>
      <c r="E24" s="2">
        <v>0</v>
      </c>
      <c r="F24" s="2">
        <v>1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129.56</v>
      </c>
      <c r="M24" s="2" t="s">
        <v>78</v>
      </c>
    </row>
    <row r="25" spans="1:13" x14ac:dyDescent="0.25">
      <c r="A25" s="2" t="s">
        <v>49</v>
      </c>
      <c r="B25" s="2" t="s">
        <v>645</v>
      </c>
      <c r="C25" s="2" t="s">
        <v>646</v>
      </c>
      <c r="D25" s="2" t="s">
        <v>57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16</v>
      </c>
      <c r="K25" s="2">
        <v>1</v>
      </c>
      <c r="L25" s="8">
        <v>0</v>
      </c>
      <c r="M25" s="2" t="s">
        <v>78</v>
      </c>
    </row>
    <row r="26" spans="1:13" x14ac:dyDescent="0.25">
      <c r="A26" s="2" t="s">
        <v>33</v>
      </c>
      <c r="B26" s="2" t="s">
        <v>647</v>
      </c>
      <c r="C26" s="2" t="s">
        <v>648</v>
      </c>
      <c r="D26" s="2" t="s">
        <v>57</v>
      </c>
      <c r="E26" s="2">
        <v>1</v>
      </c>
      <c r="F26" s="2">
        <v>0</v>
      </c>
      <c r="G26" s="2">
        <v>1</v>
      </c>
      <c r="H26" s="2">
        <v>0</v>
      </c>
      <c r="I26" s="2">
        <v>0</v>
      </c>
      <c r="J26" s="8">
        <v>0</v>
      </c>
      <c r="K26" s="2">
        <v>1</v>
      </c>
      <c r="L26" s="8">
        <v>122.9</v>
      </c>
      <c r="M26" s="2" t="s">
        <v>78</v>
      </c>
    </row>
    <row r="27" spans="1:13" x14ac:dyDescent="0.25">
      <c r="A27" s="2" t="s">
        <v>33</v>
      </c>
      <c r="B27" s="2" t="s">
        <v>649</v>
      </c>
      <c r="C27" s="2" t="s">
        <v>650</v>
      </c>
      <c r="D27" s="2" t="s">
        <v>38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15</v>
      </c>
      <c r="K27" s="2">
        <v>1</v>
      </c>
      <c r="L27" s="8">
        <v>41.17</v>
      </c>
      <c r="M27" s="2" t="s">
        <v>118</v>
      </c>
    </row>
    <row r="28" spans="1:13" x14ac:dyDescent="0.25">
      <c r="A28" s="2" t="s">
        <v>55</v>
      </c>
      <c r="B28" s="2" t="s">
        <v>651</v>
      </c>
      <c r="C28" s="2" t="s">
        <v>652</v>
      </c>
      <c r="D28" s="2" t="s">
        <v>63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15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43</v>
      </c>
      <c r="B29" s="2" t="s">
        <v>653</v>
      </c>
      <c r="C29" s="2" t="s">
        <v>654</v>
      </c>
      <c r="D29" s="2" t="s">
        <v>66</v>
      </c>
      <c r="E29" s="2">
        <v>0</v>
      </c>
      <c r="F29" s="2">
        <v>0</v>
      </c>
      <c r="G29" s="2">
        <v>0</v>
      </c>
      <c r="H29" s="2">
        <v>0</v>
      </c>
      <c r="I29" s="2">
        <v>1</v>
      </c>
      <c r="J29" s="8">
        <v>16</v>
      </c>
      <c r="K29" s="2">
        <v>0</v>
      </c>
      <c r="L29" s="8">
        <v>32.78</v>
      </c>
      <c r="M29" s="2" t="s">
        <v>118</v>
      </c>
    </row>
    <row r="30" spans="1:13" x14ac:dyDescent="0.25">
      <c r="A30" s="2" t="s">
        <v>45</v>
      </c>
      <c r="B30" s="2" t="s">
        <v>655</v>
      </c>
      <c r="C30" s="2" t="s">
        <v>656</v>
      </c>
      <c r="D30" s="2" t="s">
        <v>68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8">
        <v>0</v>
      </c>
      <c r="K30" s="2">
        <v>1</v>
      </c>
      <c r="L30" s="8">
        <v>0</v>
      </c>
      <c r="M30" s="2" t="s">
        <v>78</v>
      </c>
    </row>
    <row r="31" spans="1:13" x14ac:dyDescent="0.25">
      <c r="A31" s="2" t="s">
        <v>39</v>
      </c>
      <c r="B31" s="2" t="s">
        <v>657</v>
      </c>
      <c r="C31" s="2" t="s">
        <v>658</v>
      </c>
      <c r="D31" s="2" t="s">
        <v>67</v>
      </c>
      <c r="E31" s="2">
        <v>1</v>
      </c>
      <c r="F31" s="2">
        <v>0</v>
      </c>
      <c r="G31" s="2">
        <v>1</v>
      </c>
      <c r="H31" s="2">
        <v>0</v>
      </c>
      <c r="I31" s="2">
        <v>0</v>
      </c>
      <c r="J31" s="8">
        <v>0</v>
      </c>
      <c r="K31" s="2">
        <v>0</v>
      </c>
      <c r="L31" s="8">
        <v>171.13</v>
      </c>
      <c r="M31" s="2" t="s">
        <v>78</v>
      </c>
    </row>
    <row r="32" spans="1:13" x14ac:dyDescent="0.25">
      <c r="A32" s="2" t="s">
        <v>43</v>
      </c>
      <c r="B32" s="2" t="s">
        <v>659</v>
      </c>
      <c r="C32" s="2" t="s">
        <v>660</v>
      </c>
      <c r="D32" s="2" t="s">
        <v>69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8">
        <v>16</v>
      </c>
      <c r="K32" s="2">
        <v>0</v>
      </c>
      <c r="L32" s="8">
        <v>125.8</v>
      </c>
      <c r="M32" s="2" t="s">
        <v>78</v>
      </c>
    </row>
    <row r="33" spans="1:13" x14ac:dyDescent="0.25">
      <c r="A33" s="2" t="s">
        <v>41</v>
      </c>
      <c r="B33" s="2" t="s">
        <v>661</v>
      </c>
      <c r="C33" s="2" t="s">
        <v>662</v>
      </c>
      <c r="D33" s="2" t="s">
        <v>63</v>
      </c>
      <c r="E33" s="2">
        <v>1</v>
      </c>
      <c r="F33" s="2">
        <v>0</v>
      </c>
      <c r="G33" s="2">
        <v>0</v>
      </c>
      <c r="H33" s="2">
        <v>0</v>
      </c>
      <c r="I33" s="2">
        <v>0</v>
      </c>
      <c r="J33" s="8">
        <v>33</v>
      </c>
      <c r="K33" s="2">
        <v>1</v>
      </c>
      <c r="L33" s="8">
        <v>141.82</v>
      </c>
      <c r="M33" s="2" t="s">
        <v>78</v>
      </c>
    </row>
    <row r="34" spans="1:13" x14ac:dyDescent="0.25">
      <c r="A34" s="2" t="s">
        <v>37</v>
      </c>
      <c r="B34" s="2" t="s">
        <v>663</v>
      </c>
      <c r="C34" s="2" t="s">
        <v>664</v>
      </c>
      <c r="D34" s="2" t="s">
        <v>57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8">
        <v>0</v>
      </c>
      <c r="K34" s="2">
        <v>1</v>
      </c>
      <c r="L34" s="8">
        <v>0</v>
      </c>
      <c r="M34" s="2" t="s">
        <v>78</v>
      </c>
    </row>
    <row r="35" spans="1:13" x14ac:dyDescent="0.25">
      <c r="A35" s="2" t="s">
        <v>37</v>
      </c>
      <c r="B35" s="2" t="s">
        <v>665</v>
      </c>
      <c r="C35" s="2" t="s">
        <v>666</v>
      </c>
      <c r="D35" s="2" t="s">
        <v>54</v>
      </c>
      <c r="E35" s="2">
        <v>1</v>
      </c>
      <c r="F35" s="2">
        <v>0</v>
      </c>
      <c r="G35" s="2">
        <v>0</v>
      </c>
      <c r="H35" s="2">
        <v>0</v>
      </c>
      <c r="I35" s="2">
        <v>0</v>
      </c>
      <c r="J35" s="8">
        <v>0</v>
      </c>
      <c r="K35" s="2">
        <v>1</v>
      </c>
      <c r="L35" s="8">
        <v>0</v>
      </c>
      <c r="M35" s="2" t="s">
        <v>78</v>
      </c>
    </row>
    <row r="36" spans="1:13" x14ac:dyDescent="0.25">
      <c r="A36" s="2" t="s">
        <v>53</v>
      </c>
      <c r="B36" s="2" t="s">
        <v>667</v>
      </c>
      <c r="C36" s="2" t="s">
        <v>668</v>
      </c>
      <c r="D36" s="2" t="s">
        <v>67</v>
      </c>
      <c r="E36" s="2">
        <v>1</v>
      </c>
      <c r="F36" s="2">
        <v>0</v>
      </c>
      <c r="G36" s="2">
        <v>0</v>
      </c>
      <c r="H36" s="2">
        <v>0</v>
      </c>
      <c r="I36" s="2">
        <v>0</v>
      </c>
      <c r="J36" s="8">
        <v>18</v>
      </c>
      <c r="K36" s="2">
        <v>0</v>
      </c>
      <c r="L36" s="8">
        <v>170.22</v>
      </c>
      <c r="M36" s="2" t="s">
        <v>78</v>
      </c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669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43</v>
      </c>
      <c r="B4" s="2" t="s">
        <v>670</v>
      </c>
      <c r="C4" s="2" t="s">
        <v>671</v>
      </c>
      <c r="D4" s="2" t="s">
        <v>63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8">
        <v>15</v>
      </c>
      <c r="K4" s="2">
        <v>1</v>
      </c>
      <c r="L4" s="8">
        <v>43.36</v>
      </c>
      <c r="M4" s="2" t="s">
        <v>78</v>
      </c>
      <c r="P4" s="2" t="str">
        <f>Setup!$A$4</f>
        <v>Expert 01</v>
      </c>
      <c r="Q4" s="2">
        <f t="shared" ref="Q4:Q15" si="0">SUMIF($A$4:$A$43,$P4,E$4:E$43)</f>
        <v>2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15</v>
      </c>
      <c r="W4" s="2">
        <f t="shared" ref="W4:W15" si="6">SUMIF($A$4:$A$43,$P4,K$4:K$43)</f>
        <v>2</v>
      </c>
      <c r="X4" s="8">
        <f t="shared" ref="X4:X15" si="7">SUMIF($A$4:$A$43,$P4,L$4:L$43)</f>
        <v>71.239999999999995</v>
      </c>
    </row>
    <row r="5" spans="1:24" x14ac:dyDescent="0.25">
      <c r="A5" s="2" t="s">
        <v>51</v>
      </c>
      <c r="B5" s="2" t="s">
        <v>672</v>
      </c>
      <c r="C5" s="2" t="s">
        <v>673</v>
      </c>
      <c r="D5" s="2" t="s">
        <v>65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16</v>
      </c>
      <c r="K5" s="2">
        <v>1</v>
      </c>
      <c r="L5" s="8">
        <v>83.84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48</v>
      </c>
      <c r="W5" s="2">
        <f t="shared" si="6"/>
        <v>2</v>
      </c>
      <c r="X5" s="8">
        <f t="shared" si="7"/>
        <v>158.42000000000002</v>
      </c>
    </row>
    <row r="6" spans="1:24" x14ac:dyDescent="0.25">
      <c r="A6" s="2" t="s">
        <v>43</v>
      </c>
      <c r="B6" s="2" t="s">
        <v>674</v>
      </c>
      <c r="C6" s="2" t="s">
        <v>675</v>
      </c>
      <c r="D6" s="2" t="s">
        <v>52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15.9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0</v>
      </c>
      <c r="W6" s="2">
        <f t="shared" si="6"/>
        <v>1</v>
      </c>
      <c r="X6" s="8">
        <f t="shared" si="7"/>
        <v>136.56</v>
      </c>
    </row>
    <row r="7" spans="1:24" x14ac:dyDescent="0.25">
      <c r="A7" s="2" t="s">
        <v>55</v>
      </c>
      <c r="B7" s="2" t="s">
        <v>676</v>
      </c>
      <c r="C7" s="2" t="s">
        <v>677</v>
      </c>
      <c r="D7" s="2" t="s">
        <v>69</v>
      </c>
      <c r="E7" s="2">
        <v>0</v>
      </c>
      <c r="F7" s="2">
        <v>0</v>
      </c>
      <c r="G7" s="2">
        <v>1</v>
      </c>
      <c r="H7" s="2">
        <v>0</v>
      </c>
      <c r="I7" s="2">
        <v>0</v>
      </c>
      <c r="J7" s="8">
        <v>0</v>
      </c>
      <c r="K7" s="2">
        <v>0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2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15</v>
      </c>
      <c r="W7" s="2">
        <f t="shared" si="6"/>
        <v>3</v>
      </c>
      <c r="X7" s="8">
        <f t="shared" si="7"/>
        <v>333.38</v>
      </c>
    </row>
    <row r="8" spans="1:24" x14ac:dyDescent="0.25">
      <c r="A8" s="2" t="s">
        <v>45</v>
      </c>
      <c r="B8" s="2" t="s">
        <v>678</v>
      </c>
      <c r="C8" s="2" t="s">
        <v>679</v>
      </c>
      <c r="D8" s="2" t="s">
        <v>69</v>
      </c>
      <c r="E8" s="2">
        <v>0</v>
      </c>
      <c r="F8" s="2">
        <v>1</v>
      </c>
      <c r="G8" s="2">
        <v>0</v>
      </c>
      <c r="H8" s="2">
        <v>0</v>
      </c>
      <c r="I8" s="2">
        <v>0</v>
      </c>
      <c r="J8" s="8">
        <v>0</v>
      </c>
      <c r="K8" s="2">
        <v>0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3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0</v>
      </c>
      <c r="W8" s="2">
        <f t="shared" si="6"/>
        <v>2</v>
      </c>
      <c r="X8" s="8">
        <f t="shared" si="7"/>
        <v>100.04</v>
      </c>
    </row>
    <row r="9" spans="1:24" x14ac:dyDescent="0.25">
      <c r="A9" s="2" t="s">
        <v>33</v>
      </c>
      <c r="B9" s="2" t="s">
        <v>680</v>
      </c>
      <c r="C9" s="2" t="s">
        <v>681</v>
      </c>
      <c r="D9" s="2" t="s">
        <v>57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15</v>
      </c>
      <c r="K9" s="2">
        <v>1</v>
      </c>
      <c r="L9" s="8">
        <v>71.239999999999995</v>
      </c>
      <c r="M9" s="2" t="s">
        <v>78</v>
      </c>
      <c r="P9" s="2" t="str">
        <f>Setup!$A$9</f>
        <v>Expert 06</v>
      </c>
      <c r="Q9" s="2">
        <f t="shared" si="0"/>
        <v>5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46</v>
      </c>
      <c r="W9" s="2">
        <f t="shared" si="6"/>
        <v>6</v>
      </c>
      <c r="X9" s="8">
        <f t="shared" si="7"/>
        <v>412.5</v>
      </c>
    </row>
    <row r="10" spans="1:24" x14ac:dyDescent="0.25">
      <c r="A10" s="2" t="s">
        <v>53</v>
      </c>
      <c r="B10" s="2" t="s">
        <v>682</v>
      </c>
      <c r="C10" s="2" t="s">
        <v>683</v>
      </c>
      <c r="D10" s="2" t="s">
        <v>54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2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33</v>
      </c>
      <c r="W10" s="2">
        <f t="shared" si="6"/>
        <v>1</v>
      </c>
      <c r="X10" s="8">
        <f t="shared" si="7"/>
        <v>0</v>
      </c>
    </row>
    <row r="11" spans="1:24" x14ac:dyDescent="0.25">
      <c r="A11" s="2" t="s">
        <v>39</v>
      </c>
      <c r="B11" s="2" t="s">
        <v>684</v>
      </c>
      <c r="C11" s="2" t="s">
        <v>685</v>
      </c>
      <c r="D11" s="2" t="s">
        <v>57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164.27</v>
      </c>
      <c r="M11" s="2" t="s">
        <v>78</v>
      </c>
      <c r="P11" s="2" t="str">
        <f>Setup!$A$11</f>
        <v>Expert 08</v>
      </c>
      <c r="Q11" s="2">
        <f t="shared" si="0"/>
        <v>3</v>
      </c>
      <c r="R11" s="2">
        <f t="shared" si="1"/>
        <v>0</v>
      </c>
      <c r="S11" s="2">
        <f t="shared" si="2"/>
        <v>1</v>
      </c>
      <c r="T11" s="2">
        <f t="shared" si="3"/>
        <v>0</v>
      </c>
      <c r="U11" s="2">
        <f t="shared" si="4"/>
        <v>0</v>
      </c>
      <c r="V11" s="8">
        <f t="shared" si="5"/>
        <v>24</v>
      </c>
      <c r="W11" s="2">
        <f t="shared" si="6"/>
        <v>4</v>
      </c>
      <c r="X11" s="8">
        <f t="shared" si="7"/>
        <v>162.64999999999998</v>
      </c>
    </row>
    <row r="12" spans="1:24" x14ac:dyDescent="0.25">
      <c r="A12" s="2" t="s">
        <v>33</v>
      </c>
      <c r="B12" s="2" t="s">
        <v>686</v>
      </c>
      <c r="C12" s="2" t="s">
        <v>687</v>
      </c>
      <c r="D12" s="2" t="s">
        <v>65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0</v>
      </c>
      <c r="X12" s="8">
        <f t="shared" si="7"/>
        <v>0</v>
      </c>
    </row>
    <row r="13" spans="1:24" x14ac:dyDescent="0.25">
      <c r="A13" s="2" t="s">
        <v>47</v>
      </c>
      <c r="B13" s="2" t="s">
        <v>688</v>
      </c>
      <c r="C13" s="2" t="s">
        <v>689</v>
      </c>
      <c r="D13" s="2" t="s">
        <v>57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16</v>
      </c>
      <c r="W13" s="2">
        <f t="shared" si="6"/>
        <v>1</v>
      </c>
      <c r="X13" s="8">
        <f t="shared" si="7"/>
        <v>83.84</v>
      </c>
    </row>
    <row r="14" spans="1:24" x14ac:dyDescent="0.25">
      <c r="A14" s="2" t="s">
        <v>53</v>
      </c>
      <c r="B14" s="2" t="s">
        <v>690</v>
      </c>
      <c r="C14" s="2" t="s">
        <v>691</v>
      </c>
      <c r="D14" s="2" t="s">
        <v>67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18</v>
      </c>
      <c r="K14" s="2">
        <v>0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57</v>
      </c>
      <c r="W14" s="2">
        <f t="shared" si="6"/>
        <v>2</v>
      </c>
      <c r="X14" s="8">
        <f t="shared" si="7"/>
        <v>87.96</v>
      </c>
    </row>
    <row r="15" spans="1:24" x14ac:dyDescent="0.25">
      <c r="A15" s="2" t="s">
        <v>45</v>
      </c>
      <c r="B15" s="2" t="s">
        <v>692</v>
      </c>
      <c r="C15" s="2" t="s">
        <v>693</v>
      </c>
      <c r="D15" s="2" t="s">
        <v>48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33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0</v>
      </c>
      <c r="R15" s="2">
        <f t="shared" si="1"/>
        <v>0</v>
      </c>
      <c r="S15" s="2">
        <f t="shared" si="2"/>
        <v>1</v>
      </c>
      <c r="T15" s="2">
        <f t="shared" si="3"/>
        <v>1</v>
      </c>
      <c r="U15" s="2">
        <f t="shared" si="4"/>
        <v>0</v>
      </c>
      <c r="V15" s="8">
        <f t="shared" si="5"/>
        <v>24</v>
      </c>
      <c r="W15" s="2">
        <f t="shared" si="6"/>
        <v>1</v>
      </c>
      <c r="X15" s="8">
        <f t="shared" si="7"/>
        <v>111</v>
      </c>
    </row>
    <row r="16" spans="1:24" x14ac:dyDescent="0.25">
      <c r="A16" s="2" t="s">
        <v>47</v>
      </c>
      <c r="B16" s="2" t="s">
        <v>694</v>
      </c>
      <c r="C16" s="2" t="s">
        <v>695</v>
      </c>
      <c r="D16" s="2" t="s">
        <v>58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161.76</v>
      </c>
      <c r="M16" s="2" t="s">
        <v>78</v>
      </c>
      <c r="P16" s="9" t="s">
        <v>103</v>
      </c>
      <c r="Q16" s="10">
        <f t="shared" ref="Q16:X16" si="8">SUM(Q4:Q15)</f>
        <v>20</v>
      </c>
      <c r="R16" s="10">
        <f t="shared" si="8"/>
        <v>3</v>
      </c>
      <c r="S16" s="10">
        <f t="shared" si="8"/>
        <v>2</v>
      </c>
      <c r="T16" s="10">
        <f t="shared" si="8"/>
        <v>1</v>
      </c>
      <c r="U16" s="10">
        <f t="shared" si="8"/>
        <v>0</v>
      </c>
      <c r="V16" s="11">
        <f t="shared" si="8"/>
        <v>278</v>
      </c>
      <c r="W16" s="10">
        <f t="shared" si="8"/>
        <v>25</v>
      </c>
      <c r="X16" s="11">
        <f t="shared" si="8"/>
        <v>1657.59</v>
      </c>
    </row>
    <row r="17" spans="1:13" x14ac:dyDescent="0.25">
      <c r="A17" s="2" t="s">
        <v>43</v>
      </c>
      <c r="B17" s="2" t="s">
        <v>696</v>
      </c>
      <c r="C17" s="2" t="s">
        <v>697</v>
      </c>
      <c r="D17" s="2" t="s">
        <v>68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16</v>
      </c>
      <c r="K17" s="2">
        <v>1</v>
      </c>
      <c r="L17" s="8">
        <v>128.12</v>
      </c>
      <c r="M17" s="2" t="s">
        <v>78</v>
      </c>
    </row>
    <row r="18" spans="1:13" x14ac:dyDescent="0.25">
      <c r="A18" s="2" t="s">
        <v>43</v>
      </c>
      <c r="B18" s="2" t="s">
        <v>698</v>
      </c>
      <c r="C18" s="2" t="s">
        <v>699</v>
      </c>
      <c r="D18" s="2" t="s">
        <v>61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56.12</v>
      </c>
      <c r="M18" s="2" t="s">
        <v>78</v>
      </c>
    </row>
    <row r="19" spans="1:13" x14ac:dyDescent="0.25">
      <c r="A19" s="2" t="s">
        <v>55</v>
      </c>
      <c r="B19" s="2" t="s">
        <v>700</v>
      </c>
      <c r="C19" s="2" t="s">
        <v>701</v>
      </c>
      <c r="D19" s="2" t="s">
        <v>38</v>
      </c>
      <c r="E19" s="2">
        <v>0</v>
      </c>
      <c r="F19" s="2">
        <v>0</v>
      </c>
      <c r="G19" s="2">
        <v>0</v>
      </c>
      <c r="H19" s="2">
        <v>1</v>
      </c>
      <c r="I19" s="2">
        <v>0</v>
      </c>
      <c r="J19" s="8">
        <v>24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47</v>
      </c>
      <c r="B20" s="2" t="s">
        <v>702</v>
      </c>
      <c r="C20" s="2" t="s">
        <v>703</v>
      </c>
      <c r="D20" s="2" t="s">
        <v>61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24</v>
      </c>
      <c r="K20" s="2">
        <v>1</v>
      </c>
      <c r="L20" s="8">
        <v>0.89</v>
      </c>
      <c r="M20" s="2" t="s">
        <v>78</v>
      </c>
    </row>
    <row r="21" spans="1:13" x14ac:dyDescent="0.25">
      <c r="A21" s="2" t="s">
        <v>37</v>
      </c>
      <c r="B21" s="2" t="s">
        <v>704</v>
      </c>
      <c r="C21" s="2" t="s">
        <v>705</v>
      </c>
      <c r="D21" s="2" t="s">
        <v>36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136.56</v>
      </c>
      <c r="M21" s="2" t="s">
        <v>78</v>
      </c>
    </row>
    <row r="22" spans="1:13" x14ac:dyDescent="0.25">
      <c r="A22" s="2" t="s">
        <v>43</v>
      </c>
      <c r="B22" s="2" t="s">
        <v>706</v>
      </c>
      <c r="C22" s="2" t="s">
        <v>707</v>
      </c>
      <c r="D22" s="2" t="s">
        <v>67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0</v>
      </c>
      <c r="L22" s="8">
        <v>7.44</v>
      </c>
      <c r="M22" s="2" t="s">
        <v>78</v>
      </c>
    </row>
    <row r="23" spans="1:13" x14ac:dyDescent="0.25">
      <c r="A23" s="2" t="s">
        <v>41</v>
      </c>
      <c r="B23" s="2" t="s">
        <v>708</v>
      </c>
      <c r="C23" s="2" t="s">
        <v>709</v>
      </c>
      <c r="D23" s="2" t="s">
        <v>67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0</v>
      </c>
      <c r="L23" s="8">
        <v>0</v>
      </c>
      <c r="M23" s="2" t="s">
        <v>78</v>
      </c>
    </row>
    <row r="24" spans="1:13" x14ac:dyDescent="0.25">
      <c r="A24" s="2" t="s">
        <v>35</v>
      </c>
      <c r="B24" s="2" t="s">
        <v>710</v>
      </c>
      <c r="C24" s="2" t="s">
        <v>711</v>
      </c>
      <c r="D24" s="2" t="s">
        <v>69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8">
        <v>15</v>
      </c>
      <c r="K24" s="2">
        <v>0</v>
      </c>
      <c r="L24" s="8">
        <v>0</v>
      </c>
      <c r="M24" s="2" t="s">
        <v>78</v>
      </c>
    </row>
    <row r="25" spans="1:13" x14ac:dyDescent="0.25">
      <c r="A25" s="2" t="s">
        <v>39</v>
      </c>
      <c r="B25" s="2" t="s">
        <v>712</v>
      </c>
      <c r="C25" s="2" t="s">
        <v>713</v>
      </c>
      <c r="D25" s="2" t="s">
        <v>44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15</v>
      </c>
      <c r="K25" s="2">
        <v>1</v>
      </c>
      <c r="L25" s="8">
        <v>0</v>
      </c>
      <c r="M25" s="2" t="s">
        <v>78</v>
      </c>
    </row>
    <row r="26" spans="1:13" x14ac:dyDescent="0.25">
      <c r="A26" s="2" t="s">
        <v>47</v>
      </c>
      <c r="B26" s="2" t="s">
        <v>714</v>
      </c>
      <c r="C26" s="2" t="s">
        <v>715</v>
      </c>
      <c r="D26" s="2" t="s">
        <v>34</v>
      </c>
      <c r="E26" s="2">
        <v>1</v>
      </c>
      <c r="F26" s="2">
        <v>0</v>
      </c>
      <c r="G26" s="2">
        <v>1</v>
      </c>
      <c r="H26" s="2">
        <v>0</v>
      </c>
      <c r="I26" s="2">
        <v>0</v>
      </c>
      <c r="J26" s="8">
        <v>0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43</v>
      </c>
      <c r="B27" s="2" t="s">
        <v>716</v>
      </c>
      <c r="C27" s="2" t="s">
        <v>717</v>
      </c>
      <c r="D27" s="2" t="s">
        <v>54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0</v>
      </c>
      <c r="K27" s="2">
        <v>1</v>
      </c>
      <c r="L27" s="8">
        <v>125.28</v>
      </c>
      <c r="M27" s="2" t="s">
        <v>78</v>
      </c>
    </row>
    <row r="28" spans="1:13" x14ac:dyDescent="0.25">
      <c r="A28" s="2" t="s">
        <v>41</v>
      </c>
      <c r="B28" s="2" t="s">
        <v>718</v>
      </c>
      <c r="C28" s="2" t="s">
        <v>719</v>
      </c>
      <c r="D28" s="2" t="s">
        <v>40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55</v>
      </c>
      <c r="B29" s="2" t="s">
        <v>720</v>
      </c>
      <c r="C29" s="2" t="s">
        <v>721</v>
      </c>
      <c r="D29" s="2" t="s">
        <v>69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8">
        <v>0</v>
      </c>
      <c r="K29" s="2">
        <v>0</v>
      </c>
      <c r="L29" s="8">
        <v>111</v>
      </c>
      <c r="M29" s="2" t="s">
        <v>78</v>
      </c>
    </row>
    <row r="30" spans="1:13" x14ac:dyDescent="0.25">
      <c r="A30" s="2" t="s">
        <v>43</v>
      </c>
      <c r="B30" s="2" t="s">
        <v>722</v>
      </c>
      <c r="C30" s="2" t="s">
        <v>723</v>
      </c>
      <c r="D30" s="2" t="s">
        <v>61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15</v>
      </c>
      <c r="K30" s="2">
        <v>1</v>
      </c>
      <c r="L30" s="8">
        <v>36.28</v>
      </c>
      <c r="M30" s="2" t="s">
        <v>78</v>
      </c>
    </row>
    <row r="31" spans="1:13" x14ac:dyDescent="0.25">
      <c r="A31" s="2" t="s">
        <v>35</v>
      </c>
      <c r="B31" s="2" t="s">
        <v>724</v>
      </c>
      <c r="C31" s="2" t="s">
        <v>725</v>
      </c>
      <c r="D31" s="2" t="s">
        <v>46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33</v>
      </c>
      <c r="K31" s="2">
        <v>1</v>
      </c>
      <c r="L31" s="8">
        <v>74.13</v>
      </c>
      <c r="M31" s="2" t="s">
        <v>78</v>
      </c>
    </row>
    <row r="32" spans="1:13" x14ac:dyDescent="0.25">
      <c r="A32" s="2" t="s">
        <v>39</v>
      </c>
      <c r="B32" s="2" t="s">
        <v>726</v>
      </c>
      <c r="C32" s="2" t="s">
        <v>727</v>
      </c>
      <c r="D32" s="2" t="s">
        <v>44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8">
        <v>0</v>
      </c>
      <c r="K32" s="2">
        <v>1</v>
      </c>
      <c r="L32" s="8">
        <v>169.11</v>
      </c>
      <c r="M32" s="2" t="s">
        <v>78</v>
      </c>
    </row>
    <row r="33" spans="1:13" x14ac:dyDescent="0.25">
      <c r="A33" s="2" t="s">
        <v>53</v>
      </c>
      <c r="B33" s="2" t="s">
        <v>728</v>
      </c>
      <c r="C33" s="2" t="s">
        <v>729</v>
      </c>
      <c r="D33" s="2" t="s">
        <v>34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8">
        <v>24</v>
      </c>
      <c r="K33" s="2">
        <v>1</v>
      </c>
      <c r="L33" s="8">
        <v>87.96</v>
      </c>
      <c r="M33" s="2" t="s">
        <v>78</v>
      </c>
    </row>
    <row r="34" spans="1:13" x14ac:dyDescent="0.25">
      <c r="A34" s="2" t="s">
        <v>35</v>
      </c>
      <c r="B34" s="2" t="s">
        <v>730</v>
      </c>
      <c r="C34" s="2" t="s">
        <v>731</v>
      </c>
      <c r="D34" s="2" t="s">
        <v>65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8">
        <v>0</v>
      </c>
      <c r="K34" s="2">
        <v>1</v>
      </c>
      <c r="L34" s="8">
        <v>84.29</v>
      </c>
      <c r="M34" s="2" t="s">
        <v>78</v>
      </c>
    </row>
    <row r="35" spans="1:13" x14ac:dyDescent="0.25">
      <c r="A35" s="2" t="s">
        <v>41</v>
      </c>
      <c r="B35" s="2" t="s">
        <v>732</v>
      </c>
      <c r="C35" s="2" t="s">
        <v>733</v>
      </c>
      <c r="D35" s="2" t="s">
        <v>52</v>
      </c>
      <c r="E35" s="2">
        <v>1</v>
      </c>
      <c r="F35" s="2">
        <v>0</v>
      </c>
      <c r="G35" s="2">
        <v>0</v>
      </c>
      <c r="H35" s="2">
        <v>0</v>
      </c>
      <c r="I35" s="2">
        <v>0</v>
      </c>
      <c r="J35" s="8">
        <v>0</v>
      </c>
      <c r="K35" s="2">
        <v>1</v>
      </c>
      <c r="L35" s="8">
        <v>100.04</v>
      </c>
      <c r="M35" s="2" t="s">
        <v>78</v>
      </c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734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43</v>
      </c>
      <c r="B4" s="2" t="s">
        <v>735</v>
      </c>
      <c r="C4" s="2" t="s">
        <v>736</v>
      </c>
      <c r="D4" s="2" t="s">
        <v>66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8">
        <v>33</v>
      </c>
      <c r="K4" s="2">
        <v>0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0</v>
      </c>
      <c r="X4" s="8">
        <f t="shared" ref="X4:X15" si="7">SUMIF($A$4:$A$43,$P4,L$4:L$43)</f>
        <v>0</v>
      </c>
    </row>
    <row r="5" spans="1:24" x14ac:dyDescent="0.25">
      <c r="A5" s="2" t="s">
        <v>51</v>
      </c>
      <c r="B5" s="2" t="s">
        <v>737</v>
      </c>
      <c r="C5" s="2" t="s">
        <v>738</v>
      </c>
      <c r="D5" s="2" t="s">
        <v>44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118.82</v>
      </c>
      <c r="M5" s="2" t="s">
        <v>118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16</v>
      </c>
      <c r="W5" s="2">
        <f t="shared" si="6"/>
        <v>1</v>
      </c>
      <c r="X5" s="8">
        <f t="shared" si="7"/>
        <v>150</v>
      </c>
    </row>
    <row r="6" spans="1:24" x14ac:dyDescent="0.25">
      <c r="A6" s="2" t="s">
        <v>39</v>
      </c>
      <c r="B6" s="2" t="s">
        <v>739</v>
      </c>
      <c r="C6" s="2" t="s">
        <v>740</v>
      </c>
      <c r="D6" s="2" t="s">
        <v>36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18</v>
      </c>
      <c r="K6" s="2">
        <v>1</v>
      </c>
      <c r="L6" s="8">
        <v>48.95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1</v>
      </c>
      <c r="U6" s="2">
        <f t="shared" si="4"/>
        <v>0</v>
      </c>
      <c r="V6" s="8">
        <f t="shared" si="5"/>
        <v>49</v>
      </c>
      <c r="W6" s="2">
        <f t="shared" si="6"/>
        <v>2</v>
      </c>
      <c r="X6" s="8">
        <f t="shared" si="7"/>
        <v>63.92</v>
      </c>
    </row>
    <row r="7" spans="1:24" x14ac:dyDescent="0.25">
      <c r="A7" s="2" t="s">
        <v>49</v>
      </c>
      <c r="B7" s="2" t="s">
        <v>741</v>
      </c>
      <c r="C7" s="2" t="s">
        <v>742</v>
      </c>
      <c r="D7" s="2" t="s">
        <v>40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18</v>
      </c>
      <c r="K7" s="2">
        <v>1</v>
      </c>
      <c r="L7" s="8">
        <v>0</v>
      </c>
      <c r="M7" s="2" t="s">
        <v>118</v>
      </c>
      <c r="P7" s="2" t="str">
        <f>Setup!$A$7</f>
        <v>Expert 04</v>
      </c>
      <c r="Q7" s="2">
        <f t="shared" si="0"/>
        <v>1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18</v>
      </c>
      <c r="W7" s="2">
        <f t="shared" si="6"/>
        <v>1</v>
      </c>
      <c r="X7" s="8">
        <f t="shared" si="7"/>
        <v>48.95</v>
      </c>
    </row>
    <row r="8" spans="1:24" x14ac:dyDescent="0.25">
      <c r="A8" s="2" t="s">
        <v>37</v>
      </c>
      <c r="B8" s="2" t="s">
        <v>743</v>
      </c>
      <c r="C8" s="2" t="s">
        <v>744</v>
      </c>
      <c r="D8" s="2" t="s">
        <v>58</v>
      </c>
      <c r="E8" s="2">
        <v>0</v>
      </c>
      <c r="F8" s="2">
        <v>0</v>
      </c>
      <c r="G8" s="2">
        <v>0</v>
      </c>
      <c r="H8" s="2">
        <v>1</v>
      </c>
      <c r="I8" s="2">
        <v>0</v>
      </c>
      <c r="J8" s="8">
        <v>16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1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16</v>
      </c>
      <c r="W8" s="2">
        <f t="shared" si="6"/>
        <v>1</v>
      </c>
      <c r="X8" s="8">
        <f t="shared" si="7"/>
        <v>29.89</v>
      </c>
    </row>
    <row r="9" spans="1:24" x14ac:dyDescent="0.25">
      <c r="A9" s="2" t="s">
        <v>47</v>
      </c>
      <c r="B9" s="2" t="s">
        <v>745</v>
      </c>
      <c r="C9" s="2" t="s">
        <v>746</v>
      </c>
      <c r="D9" s="2" t="s">
        <v>56</v>
      </c>
      <c r="E9" s="2">
        <v>1</v>
      </c>
      <c r="F9" s="2">
        <v>0</v>
      </c>
      <c r="G9" s="2">
        <v>1</v>
      </c>
      <c r="H9" s="2">
        <v>0</v>
      </c>
      <c r="I9" s="2">
        <v>0</v>
      </c>
      <c r="J9" s="8">
        <v>24</v>
      </c>
      <c r="K9" s="2">
        <v>1</v>
      </c>
      <c r="L9" s="8">
        <v>3.13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0</v>
      </c>
      <c r="S9" s="2">
        <f t="shared" si="2"/>
        <v>0</v>
      </c>
      <c r="T9" s="2">
        <f t="shared" si="3"/>
        <v>1</v>
      </c>
      <c r="U9" s="2">
        <f t="shared" si="4"/>
        <v>1</v>
      </c>
      <c r="V9" s="8">
        <f t="shared" si="5"/>
        <v>33</v>
      </c>
      <c r="W9" s="2">
        <f t="shared" si="6"/>
        <v>1</v>
      </c>
      <c r="X9" s="8">
        <f t="shared" si="7"/>
        <v>112.25</v>
      </c>
    </row>
    <row r="10" spans="1:24" x14ac:dyDescent="0.25">
      <c r="A10" s="2" t="s">
        <v>55</v>
      </c>
      <c r="B10" s="2" t="s">
        <v>747</v>
      </c>
      <c r="C10" s="2" t="s">
        <v>748</v>
      </c>
      <c r="D10" s="2" t="s">
        <v>48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18</v>
      </c>
      <c r="K10" s="2">
        <v>1</v>
      </c>
      <c r="L10" s="8">
        <v>152.43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24</v>
      </c>
      <c r="W10" s="2">
        <f t="shared" si="6"/>
        <v>1</v>
      </c>
      <c r="X10" s="8">
        <f t="shared" si="7"/>
        <v>90.34</v>
      </c>
    </row>
    <row r="11" spans="1:24" x14ac:dyDescent="0.25">
      <c r="A11" s="2" t="s">
        <v>43</v>
      </c>
      <c r="B11" s="2" t="s">
        <v>749</v>
      </c>
      <c r="C11" s="2" t="s">
        <v>750</v>
      </c>
      <c r="D11" s="2" t="s">
        <v>54</v>
      </c>
      <c r="E11" s="2">
        <v>1</v>
      </c>
      <c r="F11" s="2">
        <v>0</v>
      </c>
      <c r="G11" s="2">
        <v>0</v>
      </c>
      <c r="H11" s="2">
        <v>1</v>
      </c>
      <c r="I11" s="2">
        <v>0</v>
      </c>
      <c r="J11" s="8">
        <v>0</v>
      </c>
      <c r="K11" s="2">
        <v>1</v>
      </c>
      <c r="L11" s="8">
        <v>112.25</v>
      </c>
      <c r="M11" s="2" t="s">
        <v>78</v>
      </c>
      <c r="P11" s="2" t="str">
        <f>Setup!$A$11</f>
        <v>Expert 08</v>
      </c>
      <c r="Q11" s="2">
        <f t="shared" si="0"/>
        <v>2</v>
      </c>
      <c r="R11" s="2">
        <f t="shared" si="1"/>
        <v>0</v>
      </c>
      <c r="S11" s="2">
        <f t="shared" si="2"/>
        <v>1</v>
      </c>
      <c r="T11" s="2">
        <f t="shared" si="3"/>
        <v>0</v>
      </c>
      <c r="U11" s="2">
        <f t="shared" si="4"/>
        <v>0</v>
      </c>
      <c r="V11" s="8">
        <f t="shared" si="5"/>
        <v>24</v>
      </c>
      <c r="W11" s="2">
        <f t="shared" si="6"/>
        <v>3</v>
      </c>
      <c r="X11" s="8">
        <f t="shared" si="7"/>
        <v>25.98</v>
      </c>
    </row>
    <row r="12" spans="1:24" x14ac:dyDescent="0.25">
      <c r="A12" s="2" t="s">
        <v>53</v>
      </c>
      <c r="B12" s="2" t="s">
        <v>751</v>
      </c>
      <c r="C12" s="2" t="s">
        <v>752</v>
      </c>
      <c r="D12" s="2" t="s">
        <v>38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1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36</v>
      </c>
      <c r="W12" s="2">
        <f t="shared" si="6"/>
        <v>2</v>
      </c>
      <c r="X12" s="8">
        <f t="shared" si="7"/>
        <v>50.96</v>
      </c>
    </row>
    <row r="13" spans="1:24" x14ac:dyDescent="0.25">
      <c r="A13" s="2" t="s">
        <v>49</v>
      </c>
      <c r="B13" s="2" t="s">
        <v>753</v>
      </c>
      <c r="C13" s="2" t="s">
        <v>754</v>
      </c>
      <c r="D13" s="2" t="s">
        <v>61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8">
        <v>18</v>
      </c>
      <c r="K13" s="2">
        <v>1</v>
      </c>
      <c r="L13" s="8">
        <v>50.96</v>
      </c>
      <c r="M13" s="2" t="s">
        <v>78</v>
      </c>
      <c r="P13" s="2" t="str">
        <f>Setup!$A$13</f>
        <v>Expert 10</v>
      </c>
      <c r="Q13" s="2">
        <f t="shared" si="0"/>
        <v>2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18</v>
      </c>
      <c r="W13" s="2">
        <f t="shared" si="6"/>
        <v>3</v>
      </c>
      <c r="X13" s="8">
        <f t="shared" si="7"/>
        <v>118.82</v>
      </c>
    </row>
    <row r="14" spans="1:24" x14ac:dyDescent="0.25">
      <c r="A14" s="2" t="s">
        <v>35</v>
      </c>
      <c r="B14" s="2" t="s">
        <v>755</v>
      </c>
      <c r="C14" s="2" t="s">
        <v>756</v>
      </c>
      <c r="D14" s="2" t="s">
        <v>46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16</v>
      </c>
      <c r="K14" s="2">
        <v>1</v>
      </c>
      <c r="L14" s="8">
        <v>150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1</v>
      </c>
      <c r="X14" s="8">
        <f t="shared" si="7"/>
        <v>0</v>
      </c>
    </row>
    <row r="15" spans="1:24" x14ac:dyDescent="0.25">
      <c r="A15" s="2" t="s">
        <v>41</v>
      </c>
      <c r="B15" s="2" t="s">
        <v>757</v>
      </c>
      <c r="C15" s="2" t="s">
        <v>758</v>
      </c>
      <c r="D15" s="2" t="s">
        <v>44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16</v>
      </c>
      <c r="K15" s="2">
        <v>1</v>
      </c>
      <c r="L15" s="8">
        <v>29.89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0</v>
      </c>
      <c r="S15" s="2">
        <f t="shared" si="2"/>
        <v>0</v>
      </c>
      <c r="T15" s="2">
        <f t="shared" si="3"/>
        <v>1</v>
      </c>
      <c r="U15" s="2">
        <f t="shared" si="4"/>
        <v>0</v>
      </c>
      <c r="V15" s="8">
        <f t="shared" si="5"/>
        <v>18</v>
      </c>
      <c r="W15" s="2">
        <f t="shared" si="6"/>
        <v>1</v>
      </c>
      <c r="X15" s="8">
        <f t="shared" si="7"/>
        <v>321.13</v>
      </c>
    </row>
    <row r="16" spans="1:24" x14ac:dyDescent="0.25">
      <c r="A16" s="2" t="s">
        <v>51</v>
      </c>
      <c r="B16" s="2" t="s">
        <v>759</v>
      </c>
      <c r="C16" s="2" t="s">
        <v>760</v>
      </c>
      <c r="D16" s="2" t="s">
        <v>46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12</v>
      </c>
      <c r="R16" s="10">
        <f t="shared" si="8"/>
        <v>2</v>
      </c>
      <c r="S16" s="10">
        <f t="shared" si="8"/>
        <v>1</v>
      </c>
      <c r="T16" s="10">
        <f t="shared" si="8"/>
        <v>3</v>
      </c>
      <c r="U16" s="10">
        <f t="shared" si="8"/>
        <v>1</v>
      </c>
      <c r="V16" s="11">
        <f t="shared" si="8"/>
        <v>252</v>
      </c>
      <c r="W16" s="10">
        <f t="shared" si="8"/>
        <v>17</v>
      </c>
      <c r="X16" s="11">
        <f t="shared" si="8"/>
        <v>1012.2400000000001</v>
      </c>
    </row>
    <row r="17" spans="1:13" x14ac:dyDescent="0.25">
      <c r="A17" s="2" t="s">
        <v>51</v>
      </c>
      <c r="B17" s="2" t="s">
        <v>761</v>
      </c>
      <c r="C17" s="2" t="s">
        <v>762</v>
      </c>
      <c r="D17" s="2" t="s">
        <v>54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18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47</v>
      </c>
      <c r="B18" s="2" t="s">
        <v>763</v>
      </c>
      <c r="C18" s="2" t="s">
        <v>764</v>
      </c>
      <c r="D18" s="2" t="s">
        <v>63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37</v>
      </c>
      <c r="B19" s="2" t="s">
        <v>765</v>
      </c>
      <c r="C19" s="2" t="s">
        <v>766</v>
      </c>
      <c r="D19" s="2" t="s">
        <v>65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33</v>
      </c>
      <c r="K19" s="2">
        <v>1</v>
      </c>
      <c r="L19" s="8">
        <v>63.92</v>
      </c>
      <c r="M19" s="2" t="s">
        <v>78</v>
      </c>
    </row>
    <row r="20" spans="1:13" x14ac:dyDescent="0.25">
      <c r="A20" s="2" t="s">
        <v>55</v>
      </c>
      <c r="B20" s="2" t="s">
        <v>767</v>
      </c>
      <c r="C20" s="2" t="s">
        <v>768</v>
      </c>
      <c r="D20" s="2" t="s">
        <v>69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8">
        <v>0</v>
      </c>
      <c r="K20" s="2">
        <v>0</v>
      </c>
      <c r="L20" s="8">
        <v>168.7</v>
      </c>
      <c r="M20" s="2" t="s">
        <v>78</v>
      </c>
    </row>
    <row r="21" spans="1:13" x14ac:dyDescent="0.25">
      <c r="A21" s="2" t="s">
        <v>45</v>
      </c>
      <c r="B21" s="2" t="s">
        <v>769</v>
      </c>
      <c r="C21" s="2" t="s">
        <v>770</v>
      </c>
      <c r="D21" s="2" t="s">
        <v>44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24</v>
      </c>
      <c r="K21" s="2">
        <v>1</v>
      </c>
      <c r="L21" s="8">
        <v>90.34</v>
      </c>
      <c r="M21" s="2" t="s">
        <v>78</v>
      </c>
    </row>
    <row r="22" spans="1:13" x14ac:dyDescent="0.25">
      <c r="A22" s="2" t="s">
        <v>47</v>
      </c>
      <c r="B22" s="2" t="s">
        <v>771</v>
      </c>
      <c r="C22" s="2" t="s">
        <v>772</v>
      </c>
      <c r="D22" s="2" t="s">
        <v>58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22.85</v>
      </c>
      <c r="M22" s="2" t="s">
        <v>78</v>
      </c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8"/>
      <c r="K23" s="2"/>
      <c r="L23" s="8"/>
      <c r="M23" s="2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8"/>
      <c r="K24" s="2"/>
      <c r="L24" s="8"/>
      <c r="M24" s="2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8"/>
      <c r="K25" s="2"/>
      <c r="L25" s="8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8"/>
      <c r="K26" s="2"/>
      <c r="L26" s="8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8"/>
      <c r="K27" s="2"/>
      <c r="L27" s="8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8"/>
      <c r="K28" s="2"/>
      <c r="L28" s="8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773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43</v>
      </c>
      <c r="B4" s="2" t="s">
        <v>774</v>
      </c>
      <c r="C4" s="2" t="s">
        <v>775</v>
      </c>
      <c r="D4" s="2" t="s">
        <v>62</v>
      </c>
      <c r="E4" s="2">
        <v>0</v>
      </c>
      <c r="F4" s="2">
        <v>0</v>
      </c>
      <c r="G4" s="2">
        <v>0</v>
      </c>
      <c r="H4" s="2">
        <v>1</v>
      </c>
      <c r="I4" s="2">
        <v>0</v>
      </c>
      <c r="J4" s="8">
        <v>0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18</v>
      </c>
      <c r="W4" s="2">
        <f t="shared" ref="W4:W15" si="6">SUMIF($A$4:$A$43,$P4,K$4:K$43)</f>
        <v>1</v>
      </c>
      <c r="X4" s="8">
        <f t="shared" ref="X4:X15" si="7">SUMIF($A$4:$A$43,$P4,L$4:L$43)</f>
        <v>0</v>
      </c>
    </row>
    <row r="5" spans="1:24" x14ac:dyDescent="0.25">
      <c r="A5" s="2" t="s">
        <v>43</v>
      </c>
      <c r="B5" s="2" t="s">
        <v>776</v>
      </c>
      <c r="C5" s="2" t="s">
        <v>777</v>
      </c>
      <c r="D5" s="2" t="s">
        <v>38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1</v>
      </c>
      <c r="S5" s="2">
        <f t="shared" si="2"/>
        <v>0</v>
      </c>
      <c r="T5" s="2">
        <f t="shared" si="3"/>
        <v>1</v>
      </c>
      <c r="U5" s="2">
        <f t="shared" si="4"/>
        <v>1</v>
      </c>
      <c r="V5" s="8">
        <f t="shared" si="5"/>
        <v>24</v>
      </c>
      <c r="W5" s="2">
        <f t="shared" si="6"/>
        <v>2</v>
      </c>
      <c r="X5" s="8">
        <f t="shared" si="7"/>
        <v>154.30000000000001</v>
      </c>
    </row>
    <row r="6" spans="1:24" x14ac:dyDescent="0.25">
      <c r="A6" s="2" t="s">
        <v>39</v>
      </c>
      <c r="B6" s="2" t="s">
        <v>778</v>
      </c>
      <c r="C6" s="2" t="s">
        <v>779</v>
      </c>
      <c r="D6" s="2" t="s">
        <v>67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8">
        <v>0</v>
      </c>
      <c r="K6" s="2">
        <v>0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1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42</v>
      </c>
      <c r="W6" s="2">
        <f t="shared" si="6"/>
        <v>1</v>
      </c>
      <c r="X6" s="8">
        <f t="shared" si="7"/>
        <v>15.69</v>
      </c>
    </row>
    <row r="7" spans="1:24" x14ac:dyDescent="0.25">
      <c r="A7" s="2" t="s">
        <v>47</v>
      </c>
      <c r="B7" s="2" t="s">
        <v>780</v>
      </c>
      <c r="C7" s="2" t="s">
        <v>781</v>
      </c>
      <c r="D7" s="2" t="s">
        <v>68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24</v>
      </c>
      <c r="K7" s="2">
        <v>1</v>
      </c>
      <c r="L7" s="8">
        <v>105.99</v>
      </c>
      <c r="M7" s="2" t="s">
        <v>78</v>
      </c>
      <c r="P7" s="2" t="str">
        <f>Setup!$A$7</f>
        <v>Expert 04</v>
      </c>
      <c r="Q7" s="2">
        <f t="shared" si="0"/>
        <v>1</v>
      </c>
      <c r="R7" s="2">
        <f t="shared" si="1"/>
        <v>0</v>
      </c>
      <c r="S7" s="2">
        <f t="shared" si="2"/>
        <v>1</v>
      </c>
      <c r="T7" s="2">
        <f t="shared" si="3"/>
        <v>0</v>
      </c>
      <c r="U7" s="2">
        <f t="shared" si="4"/>
        <v>0</v>
      </c>
      <c r="V7" s="8">
        <f t="shared" si="5"/>
        <v>33</v>
      </c>
      <c r="W7" s="2">
        <f t="shared" si="6"/>
        <v>1</v>
      </c>
      <c r="X7" s="8">
        <f t="shared" si="7"/>
        <v>0</v>
      </c>
    </row>
    <row r="8" spans="1:24" x14ac:dyDescent="0.25">
      <c r="A8" s="2" t="s">
        <v>53</v>
      </c>
      <c r="B8" s="2" t="s">
        <v>782</v>
      </c>
      <c r="C8" s="2" t="s">
        <v>783</v>
      </c>
      <c r="D8" s="2" t="s">
        <v>50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33</v>
      </c>
      <c r="K8" s="2">
        <v>1</v>
      </c>
      <c r="L8" s="8">
        <v>78.05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33</v>
      </c>
      <c r="W8" s="2">
        <f t="shared" si="6"/>
        <v>1</v>
      </c>
      <c r="X8" s="8">
        <f t="shared" si="7"/>
        <v>127.83</v>
      </c>
    </row>
    <row r="9" spans="1:24" x14ac:dyDescent="0.25">
      <c r="A9" s="2" t="s">
        <v>37</v>
      </c>
      <c r="B9" s="2" t="s">
        <v>784</v>
      </c>
      <c r="C9" s="2" t="s">
        <v>785</v>
      </c>
      <c r="D9" s="2" t="s">
        <v>60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8">
        <v>18</v>
      </c>
      <c r="K9" s="2">
        <v>1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1</v>
      </c>
      <c r="U9" s="2">
        <f t="shared" si="4"/>
        <v>0</v>
      </c>
      <c r="V9" s="8">
        <f t="shared" si="5"/>
        <v>0</v>
      </c>
      <c r="W9" s="2">
        <f t="shared" si="6"/>
        <v>2</v>
      </c>
      <c r="X9" s="8">
        <f t="shared" si="7"/>
        <v>0</v>
      </c>
    </row>
    <row r="10" spans="1:24" x14ac:dyDescent="0.25">
      <c r="A10" s="2" t="s">
        <v>47</v>
      </c>
      <c r="B10" s="2" t="s">
        <v>786</v>
      </c>
      <c r="C10" s="2" t="s">
        <v>787</v>
      </c>
      <c r="D10" s="2" t="s">
        <v>64</v>
      </c>
      <c r="E10" s="2">
        <v>0</v>
      </c>
      <c r="F10" s="2">
        <v>1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65.58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2</v>
      </c>
      <c r="S10" s="2">
        <f t="shared" si="2"/>
        <v>0</v>
      </c>
      <c r="T10" s="2">
        <f t="shared" si="3"/>
        <v>1</v>
      </c>
      <c r="U10" s="2">
        <f t="shared" si="4"/>
        <v>0</v>
      </c>
      <c r="V10" s="8">
        <f t="shared" si="5"/>
        <v>0</v>
      </c>
      <c r="W10" s="2">
        <f t="shared" si="6"/>
        <v>4</v>
      </c>
      <c r="X10" s="8">
        <f t="shared" si="7"/>
        <v>90.02</v>
      </c>
    </row>
    <row r="11" spans="1:24" x14ac:dyDescent="0.25">
      <c r="A11" s="2" t="s">
        <v>51</v>
      </c>
      <c r="B11" s="2" t="s">
        <v>788</v>
      </c>
      <c r="C11" s="2" t="s">
        <v>789</v>
      </c>
      <c r="D11" s="2" t="s">
        <v>50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18</v>
      </c>
      <c r="K11" s="2">
        <v>1</v>
      </c>
      <c r="L11" s="8">
        <v>158.30000000000001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1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24</v>
      </c>
      <c r="W11" s="2">
        <f t="shared" si="6"/>
        <v>2</v>
      </c>
      <c r="X11" s="8">
        <f t="shared" si="7"/>
        <v>171.57</v>
      </c>
    </row>
    <row r="12" spans="1:24" x14ac:dyDescent="0.25">
      <c r="A12" s="2" t="s">
        <v>35</v>
      </c>
      <c r="B12" s="2" t="s">
        <v>790</v>
      </c>
      <c r="C12" s="2" t="s">
        <v>791</v>
      </c>
      <c r="D12" s="2" t="s">
        <v>58</v>
      </c>
      <c r="E12" s="2">
        <v>0</v>
      </c>
      <c r="F12" s="2">
        <v>1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103.05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1</v>
      </c>
      <c r="U12" s="2">
        <f t="shared" si="4"/>
        <v>0</v>
      </c>
      <c r="V12" s="8">
        <f t="shared" si="5"/>
        <v>33</v>
      </c>
      <c r="W12" s="2">
        <f t="shared" si="6"/>
        <v>3</v>
      </c>
      <c r="X12" s="8">
        <f t="shared" si="7"/>
        <v>66.239999999999995</v>
      </c>
    </row>
    <row r="13" spans="1:24" x14ac:dyDescent="0.25">
      <c r="A13" s="2" t="s">
        <v>49</v>
      </c>
      <c r="B13" s="2" t="s">
        <v>792</v>
      </c>
      <c r="C13" s="2" t="s">
        <v>793</v>
      </c>
      <c r="D13" s="2" t="s">
        <v>38</v>
      </c>
      <c r="E13" s="2">
        <v>0</v>
      </c>
      <c r="F13" s="2">
        <v>0</v>
      </c>
      <c r="G13" s="2">
        <v>0</v>
      </c>
      <c r="H13" s="2">
        <v>1</v>
      </c>
      <c r="I13" s="2">
        <v>0</v>
      </c>
      <c r="J13" s="8">
        <v>15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2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66</v>
      </c>
      <c r="W13" s="2">
        <f t="shared" si="6"/>
        <v>3</v>
      </c>
      <c r="X13" s="8">
        <f t="shared" si="7"/>
        <v>297.27999999999997</v>
      </c>
    </row>
    <row r="14" spans="1:24" x14ac:dyDescent="0.25">
      <c r="A14" s="2" t="s">
        <v>45</v>
      </c>
      <c r="B14" s="2" t="s">
        <v>794</v>
      </c>
      <c r="C14" s="2" t="s">
        <v>795</v>
      </c>
      <c r="D14" s="2" t="s">
        <v>50</v>
      </c>
      <c r="E14" s="2">
        <v>0</v>
      </c>
      <c r="F14" s="2">
        <v>0</v>
      </c>
      <c r="G14" s="2">
        <v>0</v>
      </c>
      <c r="H14" s="2">
        <v>1</v>
      </c>
      <c r="I14" s="2">
        <v>0</v>
      </c>
      <c r="J14" s="8">
        <v>0</v>
      </c>
      <c r="K14" s="2">
        <v>1</v>
      </c>
      <c r="L14" s="8">
        <v>53.76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33</v>
      </c>
      <c r="W14" s="2">
        <f t="shared" si="6"/>
        <v>2</v>
      </c>
      <c r="X14" s="8">
        <f t="shared" si="7"/>
        <v>78.05</v>
      </c>
    </row>
    <row r="15" spans="1:24" x14ac:dyDescent="0.25">
      <c r="A15" s="2" t="s">
        <v>55</v>
      </c>
      <c r="B15" s="2" t="s">
        <v>796</v>
      </c>
      <c r="C15" s="2" t="s">
        <v>797</v>
      </c>
      <c r="D15" s="2" t="s">
        <v>58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2</v>
      </c>
      <c r="X15" s="8">
        <f t="shared" si="7"/>
        <v>0</v>
      </c>
    </row>
    <row r="16" spans="1:24" x14ac:dyDescent="0.25">
      <c r="A16" s="2" t="s">
        <v>45</v>
      </c>
      <c r="B16" s="2" t="s">
        <v>798</v>
      </c>
      <c r="C16" s="2" t="s">
        <v>799</v>
      </c>
      <c r="D16" s="2" t="s">
        <v>62</v>
      </c>
      <c r="E16" s="2">
        <v>0</v>
      </c>
      <c r="F16" s="2">
        <v>1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36.26</v>
      </c>
      <c r="M16" s="2" t="s">
        <v>78</v>
      </c>
      <c r="P16" s="9" t="s">
        <v>103</v>
      </c>
      <c r="Q16" s="10">
        <f t="shared" ref="Q16:X16" si="8">SUM(Q4:Q15)</f>
        <v>12</v>
      </c>
      <c r="R16" s="10">
        <f t="shared" si="8"/>
        <v>5</v>
      </c>
      <c r="S16" s="10">
        <f t="shared" si="8"/>
        <v>1</v>
      </c>
      <c r="T16" s="10">
        <f t="shared" si="8"/>
        <v>4</v>
      </c>
      <c r="U16" s="10">
        <f t="shared" si="8"/>
        <v>1</v>
      </c>
      <c r="V16" s="11">
        <f t="shared" si="8"/>
        <v>306</v>
      </c>
      <c r="W16" s="10">
        <f t="shared" si="8"/>
        <v>24</v>
      </c>
      <c r="X16" s="11">
        <f t="shared" si="8"/>
        <v>1000.9799999999999</v>
      </c>
    </row>
    <row r="17" spans="1:13" x14ac:dyDescent="0.25">
      <c r="A17" s="2" t="s">
        <v>51</v>
      </c>
      <c r="B17" s="2" t="s">
        <v>800</v>
      </c>
      <c r="C17" s="2" t="s">
        <v>801</v>
      </c>
      <c r="D17" s="2" t="s">
        <v>40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15</v>
      </c>
      <c r="K17" s="2">
        <v>1</v>
      </c>
      <c r="L17" s="8">
        <v>138.97999999999999</v>
      </c>
      <c r="M17" s="2" t="s">
        <v>78</v>
      </c>
    </row>
    <row r="18" spans="1:13" x14ac:dyDescent="0.25">
      <c r="A18" s="2" t="s">
        <v>45</v>
      </c>
      <c r="B18" s="2" t="s">
        <v>802</v>
      </c>
      <c r="C18" s="2" t="s">
        <v>803</v>
      </c>
      <c r="D18" s="2" t="s">
        <v>42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49</v>
      </c>
      <c r="B19" s="2" t="s">
        <v>804</v>
      </c>
      <c r="C19" s="2" t="s">
        <v>805</v>
      </c>
      <c r="D19" s="2" t="s">
        <v>61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18</v>
      </c>
      <c r="K19" s="2">
        <v>1</v>
      </c>
      <c r="L19" s="8">
        <v>66.239999999999995</v>
      </c>
      <c r="M19" s="2" t="s">
        <v>78</v>
      </c>
    </row>
    <row r="20" spans="1:13" x14ac:dyDescent="0.25">
      <c r="A20" s="2" t="s">
        <v>49</v>
      </c>
      <c r="B20" s="2" t="s">
        <v>806</v>
      </c>
      <c r="C20" s="2" t="s">
        <v>807</v>
      </c>
      <c r="D20" s="2" t="s">
        <v>36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53</v>
      </c>
      <c r="B21" s="2" t="s">
        <v>808</v>
      </c>
      <c r="C21" s="2" t="s">
        <v>809</v>
      </c>
      <c r="D21" s="2" t="s">
        <v>34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51</v>
      </c>
      <c r="B22" s="2" t="s">
        <v>810</v>
      </c>
      <c r="C22" s="2" t="s">
        <v>811</v>
      </c>
      <c r="D22" s="2" t="s">
        <v>34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33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33</v>
      </c>
      <c r="B23" s="2" t="s">
        <v>812</v>
      </c>
      <c r="C23" s="2" t="s">
        <v>813</v>
      </c>
      <c r="D23" s="2" t="s">
        <v>64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18</v>
      </c>
      <c r="K23" s="2">
        <v>1</v>
      </c>
      <c r="L23" s="8">
        <v>0</v>
      </c>
      <c r="M23" s="2" t="s">
        <v>118</v>
      </c>
    </row>
    <row r="24" spans="1:13" x14ac:dyDescent="0.25">
      <c r="A24" s="2" t="s">
        <v>35</v>
      </c>
      <c r="B24" s="2" t="s">
        <v>814</v>
      </c>
      <c r="C24" s="2" t="s">
        <v>815</v>
      </c>
      <c r="D24" s="2" t="s">
        <v>66</v>
      </c>
      <c r="E24" s="2">
        <v>0</v>
      </c>
      <c r="F24" s="2">
        <v>0</v>
      </c>
      <c r="G24" s="2">
        <v>0</v>
      </c>
      <c r="H24" s="2">
        <v>0</v>
      </c>
      <c r="I24" s="2">
        <v>1</v>
      </c>
      <c r="J24" s="8">
        <v>0</v>
      </c>
      <c r="K24" s="2">
        <v>0</v>
      </c>
      <c r="L24" s="8">
        <v>51.25</v>
      </c>
      <c r="M24" s="2" t="s">
        <v>78</v>
      </c>
    </row>
    <row r="25" spans="1:13" x14ac:dyDescent="0.25">
      <c r="A25" s="2" t="s">
        <v>45</v>
      </c>
      <c r="B25" s="2" t="s">
        <v>816</v>
      </c>
      <c r="C25" s="2" t="s">
        <v>817</v>
      </c>
      <c r="D25" s="2" t="s">
        <v>64</v>
      </c>
      <c r="E25" s="2">
        <v>0</v>
      </c>
      <c r="F25" s="2">
        <v>1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0</v>
      </c>
      <c r="M25" s="2" t="s">
        <v>78</v>
      </c>
    </row>
    <row r="26" spans="1:13" x14ac:dyDescent="0.25">
      <c r="A26" s="2" t="s">
        <v>39</v>
      </c>
      <c r="B26" s="2" t="s">
        <v>818</v>
      </c>
      <c r="C26" s="2" t="s">
        <v>819</v>
      </c>
      <c r="D26" s="2" t="s">
        <v>56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8">
        <v>33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41</v>
      </c>
      <c r="B27" s="2" t="s">
        <v>820</v>
      </c>
      <c r="C27" s="2" t="s">
        <v>821</v>
      </c>
      <c r="D27" s="2" t="s">
        <v>50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8">
        <v>33</v>
      </c>
      <c r="K27" s="2">
        <v>1</v>
      </c>
      <c r="L27" s="8">
        <v>127.83</v>
      </c>
      <c r="M27" s="2" t="s">
        <v>78</v>
      </c>
    </row>
    <row r="28" spans="1:13" x14ac:dyDescent="0.25">
      <c r="A28" s="2" t="s">
        <v>35</v>
      </c>
      <c r="B28" s="2" t="s">
        <v>822</v>
      </c>
      <c r="C28" s="2" t="s">
        <v>823</v>
      </c>
      <c r="D28" s="2" t="s">
        <v>56</v>
      </c>
      <c r="E28" s="2">
        <v>1</v>
      </c>
      <c r="F28" s="2">
        <v>0</v>
      </c>
      <c r="G28" s="2">
        <v>0</v>
      </c>
      <c r="H28" s="2">
        <v>1</v>
      </c>
      <c r="I28" s="2">
        <v>0</v>
      </c>
      <c r="J28" s="8">
        <v>24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55</v>
      </c>
      <c r="B29" s="2" t="s">
        <v>824</v>
      </c>
      <c r="C29" s="2" t="s">
        <v>825</v>
      </c>
      <c r="D29" s="2" t="s">
        <v>44</v>
      </c>
      <c r="E29" s="2">
        <v>1</v>
      </c>
      <c r="F29" s="2">
        <v>0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0</v>
      </c>
      <c r="M29" s="2" t="s">
        <v>78</v>
      </c>
    </row>
    <row r="30" spans="1:13" x14ac:dyDescent="0.25">
      <c r="A30" s="2" t="s">
        <v>37</v>
      </c>
      <c r="B30" s="2" t="s">
        <v>826</v>
      </c>
      <c r="C30" s="2" t="s">
        <v>827</v>
      </c>
      <c r="D30" s="2" t="s">
        <v>67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24</v>
      </c>
      <c r="K30" s="2">
        <v>0</v>
      </c>
      <c r="L30" s="8">
        <v>15.69</v>
      </c>
      <c r="M30" s="2" t="s">
        <v>78</v>
      </c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828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39</v>
      </c>
      <c r="B4" s="2" t="s">
        <v>829</v>
      </c>
      <c r="C4" s="2" t="s">
        <v>830</v>
      </c>
      <c r="D4" s="2" t="s">
        <v>66</v>
      </c>
      <c r="E4" s="2">
        <v>0</v>
      </c>
      <c r="F4" s="2">
        <v>1</v>
      </c>
      <c r="G4" s="2">
        <v>0</v>
      </c>
      <c r="H4" s="2">
        <v>1</v>
      </c>
      <c r="I4" s="2">
        <v>1</v>
      </c>
      <c r="J4" s="8">
        <v>0</v>
      </c>
      <c r="K4" s="2">
        <v>0</v>
      </c>
      <c r="L4" s="8">
        <v>123.64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0</v>
      </c>
      <c r="X4" s="8">
        <f t="shared" ref="X4:X15" si="7">SUMIF($A$4:$A$43,$P4,L$4:L$43)</f>
        <v>0</v>
      </c>
    </row>
    <row r="5" spans="1:24" x14ac:dyDescent="0.25">
      <c r="A5" s="2" t="s">
        <v>55</v>
      </c>
      <c r="B5" s="2" t="s">
        <v>831</v>
      </c>
      <c r="C5" s="2" t="s">
        <v>832</v>
      </c>
      <c r="D5" s="2" t="s">
        <v>62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18</v>
      </c>
      <c r="K5" s="2">
        <v>1</v>
      </c>
      <c r="L5" s="8">
        <v>123.43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1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15</v>
      </c>
      <c r="W5" s="2">
        <f t="shared" si="6"/>
        <v>3</v>
      </c>
      <c r="X5" s="8">
        <f t="shared" si="7"/>
        <v>77.25</v>
      </c>
    </row>
    <row r="6" spans="1:24" x14ac:dyDescent="0.25">
      <c r="A6" s="2" t="s">
        <v>51</v>
      </c>
      <c r="B6" s="2" t="s">
        <v>833</v>
      </c>
      <c r="C6" s="2" t="s">
        <v>834</v>
      </c>
      <c r="D6" s="2" t="s">
        <v>56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2</v>
      </c>
      <c r="R6" s="2">
        <f t="shared" si="1"/>
        <v>0</v>
      </c>
      <c r="S6" s="2">
        <f t="shared" si="2"/>
        <v>1</v>
      </c>
      <c r="T6" s="2">
        <f t="shared" si="3"/>
        <v>0</v>
      </c>
      <c r="U6" s="2">
        <f t="shared" si="4"/>
        <v>0</v>
      </c>
      <c r="V6" s="8">
        <f t="shared" si="5"/>
        <v>16</v>
      </c>
      <c r="W6" s="2">
        <f t="shared" si="6"/>
        <v>4</v>
      </c>
      <c r="X6" s="8">
        <f t="shared" si="7"/>
        <v>0</v>
      </c>
    </row>
    <row r="7" spans="1:24" x14ac:dyDescent="0.25">
      <c r="A7" s="2" t="s">
        <v>45</v>
      </c>
      <c r="B7" s="2" t="s">
        <v>835</v>
      </c>
      <c r="C7" s="2" t="s">
        <v>836</v>
      </c>
      <c r="D7" s="2" t="s">
        <v>63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33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2</v>
      </c>
      <c r="R7" s="2">
        <f t="shared" si="1"/>
        <v>1</v>
      </c>
      <c r="S7" s="2">
        <f t="shared" si="2"/>
        <v>0</v>
      </c>
      <c r="T7" s="2">
        <f t="shared" si="3"/>
        <v>1</v>
      </c>
      <c r="U7" s="2">
        <f t="shared" si="4"/>
        <v>1</v>
      </c>
      <c r="V7" s="8">
        <f t="shared" si="5"/>
        <v>33</v>
      </c>
      <c r="W7" s="2">
        <f t="shared" si="6"/>
        <v>2</v>
      </c>
      <c r="X7" s="8">
        <f t="shared" si="7"/>
        <v>285.39</v>
      </c>
    </row>
    <row r="8" spans="1:24" x14ac:dyDescent="0.25">
      <c r="A8" s="2" t="s">
        <v>53</v>
      </c>
      <c r="B8" s="2" t="s">
        <v>837</v>
      </c>
      <c r="C8" s="2" t="s">
        <v>838</v>
      </c>
      <c r="D8" s="2" t="s">
        <v>34</v>
      </c>
      <c r="E8" s="2">
        <v>0</v>
      </c>
      <c r="F8" s="2">
        <v>1</v>
      </c>
      <c r="G8" s="2">
        <v>0</v>
      </c>
      <c r="H8" s="2">
        <v>0</v>
      </c>
      <c r="I8" s="2">
        <v>0</v>
      </c>
      <c r="J8" s="8">
        <v>15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0</v>
      </c>
      <c r="W8" s="2">
        <f t="shared" si="6"/>
        <v>1</v>
      </c>
      <c r="X8" s="8">
        <f t="shared" si="7"/>
        <v>1.76</v>
      </c>
    </row>
    <row r="9" spans="1:24" x14ac:dyDescent="0.25">
      <c r="A9" s="2" t="s">
        <v>37</v>
      </c>
      <c r="B9" s="2" t="s">
        <v>839</v>
      </c>
      <c r="C9" s="2" t="s">
        <v>840</v>
      </c>
      <c r="D9" s="2" t="s">
        <v>65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1</v>
      </c>
      <c r="X9" s="8">
        <f t="shared" si="7"/>
        <v>0</v>
      </c>
    </row>
    <row r="10" spans="1:24" x14ac:dyDescent="0.25">
      <c r="A10" s="2" t="s">
        <v>49</v>
      </c>
      <c r="B10" s="2" t="s">
        <v>841</v>
      </c>
      <c r="C10" s="2" t="s">
        <v>842</v>
      </c>
      <c r="D10" s="2" t="s">
        <v>57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154.43</v>
      </c>
      <c r="M10" s="2" t="s">
        <v>118</v>
      </c>
      <c r="P10" s="2" t="str">
        <f>Setup!$A$10</f>
        <v>Expert 07</v>
      </c>
      <c r="Q10" s="2">
        <f t="shared" si="0"/>
        <v>1</v>
      </c>
      <c r="R10" s="2">
        <f t="shared" si="1"/>
        <v>1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33</v>
      </c>
      <c r="W10" s="2">
        <f t="shared" si="6"/>
        <v>2</v>
      </c>
      <c r="X10" s="8">
        <f t="shared" si="7"/>
        <v>17.86</v>
      </c>
    </row>
    <row r="11" spans="1:24" x14ac:dyDescent="0.25">
      <c r="A11" s="2" t="s">
        <v>43</v>
      </c>
      <c r="B11" s="2" t="s">
        <v>843</v>
      </c>
      <c r="C11" s="2" t="s">
        <v>844</v>
      </c>
      <c r="D11" s="2" t="s">
        <v>56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0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15</v>
      </c>
      <c r="W11" s="2">
        <f t="shared" si="6"/>
        <v>1</v>
      </c>
      <c r="X11" s="8">
        <f t="shared" si="7"/>
        <v>52.74</v>
      </c>
    </row>
    <row r="12" spans="1:24" x14ac:dyDescent="0.25">
      <c r="A12" s="2" t="s">
        <v>45</v>
      </c>
      <c r="B12" s="2" t="s">
        <v>845</v>
      </c>
      <c r="C12" s="2" t="s">
        <v>846</v>
      </c>
      <c r="D12" s="2" t="s">
        <v>40</v>
      </c>
      <c r="E12" s="2">
        <v>0</v>
      </c>
      <c r="F12" s="2">
        <v>1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17.86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18</v>
      </c>
      <c r="W12" s="2">
        <f t="shared" si="6"/>
        <v>3</v>
      </c>
      <c r="X12" s="8">
        <f t="shared" si="7"/>
        <v>154.43</v>
      </c>
    </row>
    <row r="13" spans="1:24" x14ac:dyDescent="0.25">
      <c r="A13" s="2" t="s">
        <v>35</v>
      </c>
      <c r="B13" s="2" t="s">
        <v>847</v>
      </c>
      <c r="C13" s="2" t="s">
        <v>848</v>
      </c>
      <c r="D13" s="2" t="s">
        <v>34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8">
        <v>15</v>
      </c>
      <c r="K13" s="2">
        <v>1</v>
      </c>
      <c r="L13" s="8">
        <v>17.36</v>
      </c>
      <c r="M13" s="2" t="s">
        <v>118</v>
      </c>
      <c r="P13" s="2" t="str">
        <f>Setup!$A$13</f>
        <v>Expert 10</v>
      </c>
      <c r="Q13" s="2">
        <f t="shared" si="0"/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U13" s="2">
        <f t="shared" si="4"/>
        <v>1</v>
      </c>
      <c r="V13" s="8">
        <f t="shared" si="5"/>
        <v>0</v>
      </c>
      <c r="W13" s="2">
        <f t="shared" si="6"/>
        <v>1</v>
      </c>
      <c r="X13" s="8">
        <f t="shared" si="7"/>
        <v>135.71</v>
      </c>
    </row>
    <row r="14" spans="1:24" x14ac:dyDescent="0.25">
      <c r="A14" s="2" t="s">
        <v>53</v>
      </c>
      <c r="B14" s="2" t="s">
        <v>849</v>
      </c>
      <c r="C14" s="2" t="s">
        <v>850</v>
      </c>
      <c r="D14" s="2" t="s">
        <v>68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148.21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1</v>
      </c>
      <c r="S14" s="2">
        <f t="shared" si="2"/>
        <v>1</v>
      </c>
      <c r="T14" s="2">
        <f t="shared" si="3"/>
        <v>0</v>
      </c>
      <c r="U14" s="2">
        <f t="shared" si="4"/>
        <v>1</v>
      </c>
      <c r="V14" s="8">
        <f t="shared" si="5"/>
        <v>15</v>
      </c>
      <c r="W14" s="2">
        <f t="shared" si="6"/>
        <v>3</v>
      </c>
      <c r="X14" s="8">
        <f t="shared" si="7"/>
        <v>283.72000000000003</v>
      </c>
    </row>
    <row r="15" spans="1:24" x14ac:dyDescent="0.25">
      <c r="A15" s="2" t="s">
        <v>37</v>
      </c>
      <c r="B15" s="2" t="s">
        <v>851</v>
      </c>
      <c r="C15" s="2" t="s">
        <v>852</v>
      </c>
      <c r="D15" s="2" t="s">
        <v>40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8">
        <v>16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18</v>
      </c>
      <c r="W15" s="2">
        <f t="shared" si="6"/>
        <v>1</v>
      </c>
      <c r="X15" s="8">
        <f t="shared" si="7"/>
        <v>123.43</v>
      </c>
    </row>
    <row r="16" spans="1:24" x14ac:dyDescent="0.25">
      <c r="A16" s="2" t="s">
        <v>35</v>
      </c>
      <c r="B16" s="2" t="s">
        <v>853</v>
      </c>
      <c r="C16" s="2" t="s">
        <v>854</v>
      </c>
      <c r="D16" s="2" t="s">
        <v>58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10</v>
      </c>
      <c r="R16" s="10">
        <f t="shared" si="8"/>
        <v>6</v>
      </c>
      <c r="S16" s="10">
        <f t="shared" si="8"/>
        <v>2</v>
      </c>
      <c r="T16" s="10">
        <f t="shared" si="8"/>
        <v>1</v>
      </c>
      <c r="U16" s="10">
        <f t="shared" si="8"/>
        <v>3</v>
      </c>
      <c r="V16" s="11">
        <f t="shared" si="8"/>
        <v>163</v>
      </c>
      <c r="W16" s="10">
        <f t="shared" si="8"/>
        <v>22</v>
      </c>
      <c r="X16" s="11">
        <f t="shared" si="8"/>
        <v>1132.2900000000002</v>
      </c>
    </row>
    <row r="17" spans="1:13" x14ac:dyDescent="0.25">
      <c r="A17" s="2" t="s">
        <v>49</v>
      </c>
      <c r="B17" s="2" t="s">
        <v>855</v>
      </c>
      <c r="C17" s="2" t="s">
        <v>856</v>
      </c>
      <c r="D17" s="2" t="s">
        <v>62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8">
        <v>18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35</v>
      </c>
      <c r="B18" s="2" t="s">
        <v>857</v>
      </c>
      <c r="C18" s="2" t="s">
        <v>858</v>
      </c>
      <c r="D18" s="2" t="s">
        <v>40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59.89</v>
      </c>
      <c r="M18" s="2" t="s">
        <v>78</v>
      </c>
    </row>
    <row r="19" spans="1:13" x14ac:dyDescent="0.25">
      <c r="A19" s="2" t="s">
        <v>39</v>
      </c>
      <c r="B19" s="2" t="s">
        <v>859</v>
      </c>
      <c r="C19" s="2" t="s">
        <v>860</v>
      </c>
      <c r="D19" s="2" t="s">
        <v>57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33</v>
      </c>
      <c r="K19" s="2">
        <v>1</v>
      </c>
      <c r="L19" s="8">
        <v>161.75</v>
      </c>
      <c r="M19" s="2" t="s">
        <v>78</v>
      </c>
    </row>
    <row r="20" spans="1:13" x14ac:dyDescent="0.25">
      <c r="A20" s="2" t="s">
        <v>53</v>
      </c>
      <c r="B20" s="2" t="s">
        <v>861</v>
      </c>
      <c r="C20" s="2" t="s">
        <v>862</v>
      </c>
      <c r="D20" s="2" t="s">
        <v>66</v>
      </c>
      <c r="E20" s="2">
        <v>0</v>
      </c>
      <c r="F20" s="2">
        <v>0</v>
      </c>
      <c r="G20" s="2">
        <v>0</v>
      </c>
      <c r="H20" s="2">
        <v>0</v>
      </c>
      <c r="I20" s="2">
        <v>1</v>
      </c>
      <c r="J20" s="8">
        <v>0</v>
      </c>
      <c r="K20" s="2">
        <v>0</v>
      </c>
      <c r="L20" s="8">
        <v>135.51</v>
      </c>
      <c r="M20" s="2" t="s">
        <v>78</v>
      </c>
    </row>
    <row r="21" spans="1:13" x14ac:dyDescent="0.25">
      <c r="A21" s="2" t="s">
        <v>41</v>
      </c>
      <c r="B21" s="2" t="s">
        <v>863</v>
      </c>
      <c r="C21" s="2" t="s">
        <v>864</v>
      </c>
      <c r="D21" s="2" t="s">
        <v>63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1.76</v>
      </c>
      <c r="M21" s="2" t="s">
        <v>78</v>
      </c>
    </row>
    <row r="22" spans="1:13" x14ac:dyDescent="0.25">
      <c r="A22" s="2" t="s">
        <v>53</v>
      </c>
      <c r="B22" s="2" t="s">
        <v>865</v>
      </c>
      <c r="C22" s="2" t="s">
        <v>866</v>
      </c>
      <c r="D22" s="2" t="s">
        <v>69</v>
      </c>
      <c r="E22" s="2">
        <v>0</v>
      </c>
      <c r="F22" s="2">
        <v>0</v>
      </c>
      <c r="G22" s="2">
        <v>1</v>
      </c>
      <c r="H22" s="2">
        <v>0</v>
      </c>
      <c r="I22" s="2">
        <v>0</v>
      </c>
      <c r="J22" s="8">
        <v>0</v>
      </c>
      <c r="K22" s="2">
        <v>0</v>
      </c>
      <c r="L22" s="8">
        <v>0</v>
      </c>
      <c r="M22" s="2" t="s">
        <v>78</v>
      </c>
    </row>
    <row r="23" spans="1:13" x14ac:dyDescent="0.25">
      <c r="A23" s="2" t="s">
        <v>51</v>
      </c>
      <c r="B23" s="2" t="s">
        <v>867</v>
      </c>
      <c r="C23" s="2" t="s">
        <v>868</v>
      </c>
      <c r="D23" s="2" t="s">
        <v>66</v>
      </c>
      <c r="E23" s="2">
        <v>0</v>
      </c>
      <c r="F23" s="2">
        <v>1</v>
      </c>
      <c r="G23" s="2">
        <v>0</v>
      </c>
      <c r="H23" s="2">
        <v>0</v>
      </c>
      <c r="I23" s="2">
        <v>1</v>
      </c>
      <c r="J23" s="8">
        <v>0</v>
      </c>
      <c r="K23" s="2">
        <v>0</v>
      </c>
      <c r="L23" s="8">
        <v>135.71</v>
      </c>
      <c r="M23" s="2" t="s">
        <v>78</v>
      </c>
    </row>
    <row r="24" spans="1:13" x14ac:dyDescent="0.25">
      <c r="A24" s="2" t="s">
        <v>49</v>
      </c>
      <c r="B24" s="2" t="s">
        <v>869</v>
      </c>
      <c r="C24" s="2" t="s">
        <v>870</v>
      </c>
      <c r="D24" s="2" t="s">
        <v>60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118</v>
      </c>
    </row>
    <row r="25" spans="1:13" x14ac:dyDescent="0.25">
      <c r="A25" s="2" t="s">
        <v>39</v>
      </c>
      <c r="B25" s="2" t="s">
        <v>871</v>
      </c>
      <c r="C25" s="2" t="s">
        <v>872</v>
      </c>
      <c r="D25" s="2" t="s">
        <v>67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0</v>
      </c>
      <c r="L25" s="8">
        <v>0</v>
      </c>
      <c r="M25" s="2" t="s">
        <v>78</v>
      </c>
    </row>
    <row r="26" spans="1:13" x14ac:dyDescent="0.25">
      <c r="A26" s="2" t="s">
        <v>39</v>
      </c>
      <c r="B26" s="2" t="s">
        <v>873</v>
      </c>
      <c r="C26" s="2" t="s">
        <v>874</v>
      </c>
      <c r="D26" s="2" t="s">
        <v>62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8">
        <v>0</v>
      </c>
      <c r="K26" s="2">
        <v>1</v>
      </c>
      <c r="L26" s="8">
        <v>0</v>
      </c>
      <c r="M26" s="2" t="s">
        <v>118</v>
      </c>
    </row>
    <row r="27" spans="1:13" x14ac:dyDescent="0.25">
      <c r="A27" s="2" t="s">
        <v>37</v>
      </c>
      <c r="B27" s="2" t="s">
        <v>875</v>
      </c>
      <c r="C27" s="2" t="s">
        <v>876</v>
      </c>
      <c r="D27" s="2" t="s">
        <v>42</v>
      </c>
      <c r="E27" s="2">
        <v>1</v>
      </c>
      <c r="F27" s="2">
        <v>0</v>
      </c>
      <c r="G27" s="2">
        <v>1</v>
      </c>
      <c r="H27" s="2">
        <v>0</v>
      </c>
      <c r="I27" s="2">
        <v>0</v>
      </c>
      <c r="J27" s="8">
        <v>0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47</v>
      </c>
      <c r="B28" s="2" t="s">
        <v>877</v>
      </c>
      <c r="C28" s="2" t="s">
        <v>878</v>
      </c>
      <c r="D28" s="2" t="s">
        <v>40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15</v>
      </c>
      <c r="K28" s="2">
        <v>1</v>
      </c>
      <c r="L28" s="8">
        <v>52.74</v>
      </c>
      <c r="M28" s="2" t="s">
        <v>78</v>
      </c>
    </row>
    <row r="29" spans="1:13" x14ac:dyDescent="0.25">
      <c r="A29" s="2" t="s">
        <v>53</v>
      </c>
      <c r="B29" s="2" t="s">
        <v>879</v>
      </c>
      <c r="C29" s="2" t="s">
        <v>880</v>
      </c>
      <c r="D29" s="2" t="s">
        <v>50</v>
      </c>
      <c r="E29" s="2">
        <v>1</v>
      </c>
      <c r="F29" s="2">
        <v>0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0</v>
      </c>
      <c r="M29" s="2" t="s">
        <v>78</v>
      </c>
    </row>
    <row r="30" spans="1:13" x14ac:dyDescent="0.25">
      <c r="A30" s="2" t="s">
        <v>37</v>
      </c>
      <c r="B30" s="2" t="s">
        <v>881</v>
      </c>
      <c r="C30" s="2" t="s">
        <v>882</v>
      </c>
      <c r="D30" s="2" t="s">
        <v>38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0</v>
      </c>
      <c r="K30" s="2">
        <v>1</v>
      </c>
      <c r="L30" s="8">
        <v>0</v>
      </c>
      <c r="M30" s="2" t="s">
        <v>78</v>
      </c>
    </row>
    <row r="31" spans="1:13" x14ac:dyDescent="0.25">
      <c r="A31" s="2" t="s">
        <v>33</v>
      </c>
      <c r="B31" s="2" t="s">
        <v>883</v>
      </c>
      <c r="C31" s="2" t="s">
        <v>884</v>
      </c>
      <c r="D31" s="2" t="s">
        <v>69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8">
        <v>0</v>
      </c>
      <c r="K31" s="2">
        <v>0</v>
      </c>
      <c r="L31" s="8">
        <v>0</v>
      </c>
      <c r="M31" s="2" t="s">
        <v>78</v>
      </c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885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37</v>
      </c>
      <c r="B4" s="2" t="s">
        <v>886</v>
      </c>
      <c r="C4" s="2" t="s">
        <v>887</v>
      </c>
      <c r="D4" s="2" t="s">
        <v>64</v>
      </c>
      <c r="E4" s="2">
        <v>0</v>
      </c>
      <c r="F4" s="2">
        <v>1</v>
      </c>
      <c r="G4" s="2">
        <v>0</v>
      </c>
      <c r="H4" s="2">
        <v>0</v>
      </c>
      <c r="I4" s="2">
        <v>0</v>
      </c>
      <c r="J4" s="8">
        <v>24</v>
      </c>
      <c r="K4" s="2">
        <v>1</v>
      </c>
      <c r="L4" s="8">
        <v>86.23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1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15</v>
      </c>
      <c r="W4" s="2">
        <f t="shared" ref="W4:W15" si="6">SUMIF($A$4:$A$43,$P4,K$4:K$43)</f>
        <v>2</v>
      </c>
      <c r="X4" s="8">
        <f t="shared" ref="X4:X15" si="7">SUMIF($A$4:$A$43,$P4,L$4:L$43)</f>
        <v>0</v>
      </c>
    </row>
    <row r="5" spans="1:24" x14ac:dyDescent="0.25">
      <c r="A5" s="2" t="s">
        <v>39</v>
      </c>
      <c r="B5" s="2" t="s">
        <v>888</v>
      </c>
      <c r="C5" s="2" t="s">
        <v>889</v>
      </c>
      <c r="D5" s="2" t="s">
        <v>38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121.99</v>
      </c>
      <c r="M5" s="2" t="s">
        <v>78</v>
      </c>
      <c r="P5" s="2" t="str">
        <f>Setup!$A$5</f>
        <v>Expert 02</v>
      </c>
      <c r="Q5" s="2">
        <f t="shared" si="0"/>
        <v>3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34</v>
      </c>
      <c r="W5" s="2">
        <f t="shared" si="6"/>
        <v>3</v>
      </c>
      <c r="X5" s="8">
        <f t="shared" si="7"/>
        <v>184.8</v>
      </c>
    </row>
    <row r="6" spans="1:24" x14ac:dyDescent="0.25">
      <c r="A6" s="2" t="s">
        <v>49</v>
      </c>
      <c r="B6" s="2" t="s">
        <v>890</v>
      </c>
      <c r="C6" s="2" t="s">
        <v>891</v>
      </c>
      <c r="D6" s="2" t="s">
        <v>64</v>
      </c>
      <c r="E6" s="2">
        <v>1</v>
      </c>
      <c r="F6" s="2">
        <v>0</v>
      </c>
      <c r="G6" s="2">
        <v>0</v>
      </c>
      <c r="H6" s="2">
        <v>1</v>
      </c>
      <c r="I6" s="2">
        <v>0</v>
      </c>
      <c r="J6" s="8">
        <v>0</v>
      </c>
      <c r="K6" s="2">
        <v>1</v>
      </c>
      <c r="L6" s="8">
        <v>0</v>
      </c>
      <c r="M6" s="2" t="s">
        <v>118</v>
      </c>
      <c r="P6" s="2" t="str">
        <f>Setup!$A$6</f>
        <v>Expert 03</v>
      </c>
      <c r="Q6" s="2">
        <f t="shared" si="0"/>
        <v>1</v>
      </c>
      <c r="R6" s="2">
        <f t="shared" si="1"/>
        <v>1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72</v>
      </c>
      <c r="W6" s="2">
        <f t="shared" si="6"/>
        <v>2</v>
      </c>
      <c r="X6" s="8">
        <f t="shared" si="7"/>
        <v>185.42000000000002</v>
      </c>
    </row>
    <row r="7" spans="1:24" x14ac:dyDescent="0.25">
      <c r="A7" s="2" t="s">
        <v>35</v>
      </c>
      <c r="B7" s="2" t="s">
        <v>892</v>
      </c>
      <c r="C7" s="2" t="s">
        <v>893</v>
      </c>
      <c r="D7" s="2" t="s">
        <v>58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18</v>
      </c>
      <c r="K7" s="2">
        <v>1</v>
      </c>
      <c r="L7" s="8">
        <v>8.5500000000000007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1</v>
      </c>
      <c r="V7" s="8">
        <f t="shared" si="5"/>
        <v>15</v>
      </c>
      <c r="W7" s="2">
        <f t="shared" si="6"/>
        <v>1</v>
      </c>
      <c r="X7" s="8">
        <f t="shared" si="7"/>
        <v>121.99</v>
      </c>
    </row>
    <row r="8" spans="1:24" x14ac:dyDescent="0.25">
      <c r="A8" s="2" t="s">
        <v>53</v>
      </c>
      <c r="B8" s="2" t="s">
        <v>894</v>
      </c>
      <c r="C8" s="2" t="s">
        <v>895</v>
      </c>
      <c r="D8" s="2" t="s">
        <v>64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150.43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49</v>
      </c>
      <c r="W8" s="2">
        <f t="shared" si="6"/>
        <v>2</v>
      </c>
      <c r="X8" s="8">
        <f t="shared" si="7"/>
        <v>91.02000000000001</v>
      </c>
    </row>
    <row r="9" spans="1:24" x14ac:dyDescent="0.25">
      <c r="A9" s="2" t="s">
        <v>47</v>
      </c>
      <c r="B9" s="2" t="s">
        <v>896</v>
      </c>
      <c r="C9" s="2" t="s">
        <v>897</v>
      </c>
      <c r="D9" s="2" t="s">
        <v>65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15</v>
      </c>
      <c r="K9" s="2">
        <v>1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0</v>
      </c>
    </row>
    <row r="10" spans="1:24" x14ac:dyDescent="0.25">
      <c r="A10" s="2" t="s">
        <v>41</v>
      </c>
      <c r="B10" s="2" t="s">
        <v>898</v>
      </c>
      <c r="C10" s="2" t="s">
        <v>899</v>
      </c>
      <c r="D10" s="2" t="s">
        <v>54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16</v>
      </c>
      <c r="K10" s="2">
        <v>1</v>
      </c>
      <c r="L10" s="8">
        <v>69.040000000000006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1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140.91</v>
      </c>
    </row>
    <row r="11" spans="1:24" x14ac:dyDescent="0.25">
      <c r="A11" s="2" t="s">
        <v>53</v>
      </c>
      <c r="B11" s="2" t="s">
        <v>900</v>
      </c>
      <c r="C11" s="2" t="s">
        <v>901</v>
      </c>
      <c r="D11" s="2" t="s">
        <v>46</v>
      </c>
      <c r="E11" s="2">
        <v>1</v>
      </c>
      <c r="F11" s="2">
        <v>0</v>
      </c>
      <c r="G11" s="2">
        <v>0</v>
      </c>
      <c r="H11" s="2">
        <v>1</v>
      </c>
      <c r="I11" s="2">
        <v>0</v>
      </c>
      <c r="J11" s="8">
        <v>0</v>
      </c>
      <c r="K11" s="2">
        <v>1</v>
      </c>
      <c r="L11" s="8">
        <v>96.65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1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15</v>
      </c>
      <c r="W11" s="2">
        <f t="shared" si="6"/>
        <v>2</v>
      </c>
      <c r="X11" s="8">
        <f t="shared" si="7"/>
        <v>164.27</v>
      </c>
    </row>
    <row r="12" spans="1:24" x14ac:dyDescent="0.25">
      <c r="A12" s="2" t="s">
        <v>35</v>
      </c>
      <c r="B12" s="2" t="s">
        <v>902</v>
      </c>
      <c r="C12" s="2" t="s">
        <v>903</v>
      </c>
      <c r="D12" s="2" t="s">
        <v>63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8.6999999999999993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1</v>
      </c>
      <c r="U12" s="2">
        <f t="shared" si="4"/>
        <v>0</v>
      </c>
      <c r="V12" s="8">
        <f t="shared" si="5"/>
        <v>0</v>
      </c>
      <c r="W12" s="2">
        <f t="shared" si="6"/>
        <v>1</v>
      </c>
      <c r="X12" s="8">
        <f t="shared" si="7"/>
        <v>0</v>
      </c>
    </row>
    <row r="13" spans="1:24" x14ac:dyDescent="0.25">
      <c r="A13" s="2" t="s">
        <v>45</v>
      </c>
      <c r="B13" s="2" t="s">
        <v>904</v>
      </c>
      <c r="C13" s="2" t="s">
        <v>905</v>
      </c>
      <c r="D13" s="2" t="s">
        <v>46</v>
      </c>
      <c r="E13" s="2">
        <v>1</v>
      </c>
      <c r="F13" s="2">
        <v>0</v>
      </c>
      <c r="G13" s="2">
        <v>1</v>
      </c>
      <c r="H13" s="2">
        <v>0</v>
      </c>
      <c r="I13" s="2">
        <v>0</v>
      </c>
      <c r="J13" s="8">
        <v>0</v>
      </c>
      <c r="K13" s="2">
        <v>1</v>
      </c>
      <c r="L13" s="8">
        <v>140.91</v>
      </c>
      <c r="M13" s="2" t="s">
        <v>78</v>
      </c>
      <c r="P13" s="2" t="str">
        <f>Setup!$A$13</f>
        <v>Expert 10</v>
      </c>
      <c r="Q13" s="2">
        <f t="shared" si="0"/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0</v>
      </c>
      <c r="W13" s="2">
        <f t="shared" si="6"/>
        <v>1</v>
      </c>
      <c r="X13" s="8">
        <f t="shared" si="7"/>
        <v>1.83</v>
      </c>
    </row>
    <row r="14" spans="1:24" x14ac:dyDescent="0.25">
      <c r="A14" s="2" t="s">
        <v>35</v>
      </c>
      <c r="B14" s="2" t="s">
        <v>906</v>
      </c>
      <c r="C14" s="2" t="s">
        <v>907</v>
      </c>
      <c r="D14" s="2" t="s">
        <v>36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1</v>
      </c>
      <c r="S14" s="2">
        <f t="shared" si="2"/>
        <v>0</v>
      </c>
      <c r="T14" s="2">
        <f t="shared" si="3"/>
        <v>1</v>
      </c>
      <c r="U14" s="2">
        <f t="shared" si="4"/>
        <v>0</v>
      </c>
      <c r="V14" s="8">
        <f t="shared" si="5"/>
        <v>0</v>
      </c>
      <c r="W14" s="2">
        <f t="shared" si="6"/>
        <v>3</v>
      </c>
      <c r="X14" s="8">
        <f t="shared" si="7"/>
        <v>404.95000000000005</v>
      </c>
    </row>
    <row r="15" spans="1:24" x14ac:dyDescent="0.25">
      <c r="A15" s="2" t="s">
        <v>55</v>
      </c>
      <c r="B15" s="2" t="s">
        <v>908</v>
      </c>
      <c r="C15" s="2" t="s">
        <v>909</v>
      </c>
      <c r="D15" s="2" t="s">
        <v>42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1</v>
      </c>
      <c r="X15" s="8">
        <f t="shared" si="7"/>
        <v>0</v>
      </c>
    </row>
    <row r="16" spans="1:24" x14ac:dyDescent="0.25">
      <c r="A16" s="2" t="s">
        <v>33</v>
      </c>
      <c r="B16" s="2" t="s">
        <v>910</v>
      </c>
      <c r="C16" s="2" t="s">
        <v>911</v>
      </c>
      <c r="D16" s="2" t="s">
        <v>54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13</v>
      </c>
      <c r="R16" s="10">
        <f t="shared" si="8"/>
        <v>6</v>
      </c>
      <c r="S16" s="10">
        <f t="shared" si="8"/>
        <v>1</v>
      </c>
      <c r="T16" s="10">
        <f t="shared" si="8"/>
        <v>2</v>
      </c>
      <c r="U16" s="10">
        <f t="shared" si="8"/>
        <v>1</v>
      </c>
      <c r="V16" s="11">
        <f t="shared" si="8"/>
        <v>200</v>
      </c>
      <c r="W16" s="10">
        <f t="shared" si="8"/>
        <v>19</v>
      </c>
      <c r="X16" s="11">
        <f t="shared" si="8"/>
        <v>1295.19</v>
      </c>
    </row>
    <row r="17" spans="1:13" x14ac:dyDescent="0.25">
      <c r="A17" s="2" t="s">
        <v>41</v>
      </c>
      <c r="B17" s="2" t="s">
        <v>912</v>
      </c>
      <c r="C17" s="2" t="s">
        <v>913</v>
      </c>
      <c r="D17" s="2" t="s">
        <v>48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33</v>
      </c>
      <c r="K17" s="2">
        <v>1</v>
      </c>
      <c r="L17" s="8">
        <v>21.98</v>
      </c>
      <c r="M17" s="2" t="s">
        <v>78</v>
      </c>
    </row>
    <row r="18" spans="1:13" x14ac:dyDescent="0.25">
      <c r="A18" s="2" t="s">
        <v>53</v>
      </c>
      <c r="B18" s="2" t="s">
        <v>914</v>
      </c>
      <c r="C18" s="2" t="s">
        <v>915</v>
      </c>
      <c r="D18" s="2" t="s">
        <v>57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157.87</v>
      </c>
      <c r="M18" s="2" t="s">
        <v>78</v>
      </c>
    </row>
    <row r="19" spans="1:13" x14ac:dyDescent="0.25">
      <c r="A19" s="2" t="s">
        <v>39</v>
      </c>
      <c r="B19" s="2" t="s">
        <v>916</v>
      </c>
      <c r="C19" s="2" t="s">
        <v>917</v>
      </c>
      <c r="D19" s="2" t="s">
        <v>66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8">
        <v>15</v>
      </c>
      <c r="K19" s="2">
        <v>0</v>
      </c>
      <c r="L19" s="8">
        <v>0</v>
      </c>
      <c r="M19" s="2" t="s">
        <v>78</v>
      </c>
    </row>
    <row r="20" spans="1:13" x14ac:dyDescent="0.25">
      <c r="A20" s="2" t="s">
        <v>51</v>
      </c>
      <c r="B20" s="2" t="s">
        <v>918</v>
      </c>
      <c r="C20" s="2" t="s">
        <v>919</v>
      </c>
      <c r="D20" s="2" t="s">
        <v>48</v>
      </c>
      <c r="E20" s="2">
        <v>0</v>
      </c>
      <c r="F20" s="2">
        <v>1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1.83</v>
      </c>
      <c r="M20" s="2" t="s">
        <v>78</v>
      </c>
    </row>
    <row r="21" spans="1:13" x14ac:dyDescent="0.25">
      <c r="A21" s="2" t="s">
        <v>47</v>
      </c>
      <c r="B21" s="2" t="s">
        <v>920</v>
      </c>
      <c r="C21" s="2" t="s">
        <v>921</v>
      </c>
      <c r="D21" s="2" t="s">
        <v>56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164.27</v>
      </c>
      <c r="M21" s="2" t="s">
        <v>78</v>
      </c>
    </row>
    <row r="22" spans="1:13" x14ac:dyDescent="0.25">
      <c r="A22" s="2" t="s">
        <v>53</v>
      </c>
      <c r="B22" s="2" t="s">
        <v>922</v>
      </c>
      <c r="C22" s="2" t="s">
        <v>923</v>
      </c>
      <c r="D22" s="2" t="s">
        <v>69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0</v>
      </c>
      <c r="L22" s="8">
        <v>0</v>
      </c>
      <c r="M22" s="2" t="s">
        <v>78</v>
      </c>
    </row>
    <row r="23" spans="1:13" x14ac:dyDescent="0.25">
      <c r="A23" s="2" t="s">
        <v>37</v>
      </c>
      <c r="B23" s="2" t="s">
        <v>924</v>
      </c>
      <c r="C23" s="2" t="s">
        <v>925</v>
      </c>
      <c r="D23" s="2" t="s">
        <v>54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33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33</v>
      </c>
      <c r="B24" s="2" t="s">
        <v>926</v>
      </c>
      <c r="C24" s="2" t="s">
        <v>927</v>
      </c>
      <c r="D24" s="2" t="s">
        <v>44</v>
      </c>
      <c r="E24" s="2">
        <v>0</v>
      </c>
      <c r="F24" s="2">
        <v>1</v>
      </c>
      <c r="G24" s="2">
        <v>0</v>
      </c>
      <c r="H24" s="2">
        <v>0</v>
      </c>
      <c r="I24" s="2">
        <v>0</v>
      </c>
      <c r="J24" s="8">
        <v>15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37</v>
      </c>
      <c r="B25" s="2" t="s">
        <v>928</v>
      </c>
      <c r="C25" s="2" t="s">
        <v>929</v>
      </c>
      <c r="D25" s="2" t="s">
        <v>69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15</v>
      </c>
      <c r="K25" s="2">
        <v>0</v>
      </c>
      <c r="L25" s="8">
        <v>99.19</v>
      </c>
      <c r="M25" s="2" t="s">
        <v>78</v>
      </c>
    </row>
    <row r="26" spans="1:13" x14ac:dyDescent="0.25">
      <c r="A26" s="2" t="s">
        <v>35</v>
      </c>
      <c r="B26" s="2" t="s">
        <v>930</v>
      </c>
      <c r="C26" s="2" t="s">
        <v>931</v>
      </c>
      <c r="D26" s="2" t="s">
        <v>69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8">
        <v>16</v>
      </c>
      <c r="K26" s="2">
        <v>0</v>
      </c>
      <c r="L26" s="8">
        <v>167.55</v>
      </c>
      <c r="M26" s="2" t="s">
        <v>78</v>
      </c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8"/>
      <c r="K27" s="2"/>
      <c r="L27" s="8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8"/>
      <c r="K28" s="2"/>
      <c r="L28" s="8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932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45</v>
      </c>
      <c r="B4" s="2" t="s">
        <v>933</v>
      </c>
      <c r="C4" s="2" t="s">
        <v>934</v>
      </c>
      <c r="D4" s="2" t="s">
        <v>54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16</v>
      </c>
      <c r="K4" s="2">
        <v>1</v>
      </c>
      <c r="L4" s="8">
        <v>21.06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2</v>
      </c>
      <c r="S4" s="2">
        <f t="shared" ref="S4:S15" si="2">SUMIF($A$4:$A$43,$P4,G$4:G$43)</f>
        <v>1</v>
      </c>
      <c r="T4" s="2">
        <f t="shared" ref="T4:T15" si="3">SUMIF($A$4:$A$43,$P4,H$4:H$43)</f>
        <v>1</v>
      </c>
      <c r="U4" s="2">
        <f t="shared" ref="U4:U15" si="4">SUMIF($A$4:$A$43,$P4,I$4:I$43)</f>
        <v>1</v>
      </c>
      <c r="V4" s="8">
        <f t="shared" ref="V4:V15" si="5">SUMIF($A$4:$A$43,$P4,J$4:J$43)</f>
        <v>33</v>
      </c>
      <c r="W4" s="2">
        <f t="shared" ref="W4:W15" si="6">SUMIF($A$4:$A$43,$P4,K$4:K$43)</f>
        <v>4</v>
      </c>
      <c r="X4" s="8">
        <f t="shared" ref="X4:X15" si="7">SUMIF($A$4:$A$43,$P4,L$4:L$43)</f>
        <v>274.72999999999996</v>
      </c>
    </row>
    <row r="5" spans="1:24" x14ac:dyDescent="0.25">
      <c r="A5" s="2" t="s">
        <v>33</v>
      </c>
      <c r="B5" s="2" t="s">
        <v>935</v>
      </c>
      <c r="C5" s="2" t="s">
        <v>936</v>
      </c>
      <c r="D5" s="2" t="s">
        <v>61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8">
        <v>18</v>
      </c>
      <c r="K5" s="2">
        <v>1</v>
      </c>
      <c r="L5" s="8">
        <v>178.13</v>
      </c>
      <c r="M5" s="2" t="s">
        <v>78</v>
      </c>
      <c r="P5" s="2" t="str">
        <f>Setup!$A$5</f>
        <v>Expert 02</v>
      </c>
      <c r="Q5" s="2">
        <f t="shared" si="0"/>
        <v>4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49</v>
      </c>
      <c r="W5" s="2">
        <f t="shared" si="6"/>
        <v>5</v>
      </c>
      <c r="X5" s="8">
        <f t="shared" si="7"/>
        <v>121.22</v>
      </c>
    </row>
    <row r="6" spans="1:24" x14ac:dyDescent="0.25">
      <c r="A6" s="2" t="s">
        <v>41</v>
      </c>
      <c r="B6" s="2" t="s">
        <v>937</v>
      </c>
      <c r="C6" s="2" t="s">
        <v>938</v>
      </c>
      <c r="D6" s="2" t="s">
        <v>46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8">
        <v>33</v>
      </c>
      <c r="K6" s="2">
        <v>1</v>
      </c>
      <c r="L6" s="8">
        <v>112.96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0</v>
      </c>
      <c r="W6" s="2">
        <f t="shared" si="6"/>
        <v>1</v>
      </c>
      <c r="X6" s="8">
        <f t="shared" si="7"/>
        <v>77.430000000000007</v>
      </c>
    </row>
    <row r="7" spans="1:24" x14ac:dyDescent="0.25">
      <c r="A7" s="2" t="s">
        <v>53</v>
      </c>
      <c r="B7" s="2" t="s">
        <v>939</v>
      </c>
      <c r="C7" s="2" t="s">
        <v>940</v>
      </c>
      <c r="D7" s="2" t="s">
        <v>50</v>
      </c>
      <c r="E7" s="2">
        <v>1</v>
      </c>
      <c r="F7" s="2">
        <v>0</v>
      </c>
      <c r="G7" s="2">
        <v>1</v>
      </c>
      <c r="H7" s="2">
        <v>0</v>
      </c>
      <c r="I7" s="2">
        <v>0</v>
      </c>
      <c r="J7" s="8">
        <v>15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15</v>
      </c>
      <c r="W7" s="2">
        <f t="shared" si="6"/>
        <v>1</v>
      </c>
      <c r="X7" s="8">
        <f t="shared" si="7"/>
        <v>158.52000000000001</v>
      </c>
    </row>
    <row r="8" spans="1:24" x14ac:dyDescent="0.25">
      <c r="A8" s="2" t="s">
        <v>53</v>
      </c>
      <c r="B8" s="2" t="s">
        <v>941</v>
      </c>
      <c r="C8" s="2" t="s">
        <v>942</v>
      </c>
      <c r="D8" s="2" t="s">
        <v>36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18</v>
      </c>
      <c r="K8" s="2">
        <v>1</v>
      </c>
      <c r="L8" s="8">
        <v>0</v>
      </c>
      <c r="M8" s="2" t="s">
        <v>118</v>
      </c>
      <c r="P8" s="2" t="str">
        <f>Setup!$A$8</f>
        <v>Expert 05</v>
      </c>
      <c r="Q8" s="2">
        <f t="shared" si="0"/>
        <v>1</v>
      </c>
      <c r="R8" s="2">
        <f t="shared" si="1"/>
        <v>0</v>
      </c>
      <c r="S8" s="2">
        <f t="shared" si="2"/>
        <v>1</v>
      </c>
      <c r="T8" s="2">
        <f t="shared" si="3"/>
        <v>0</v>
      </c>
      <c r="U8" s="2">
        <f t="shared" si="4"/>
        <v>0</v>
      </c>
      <c r="V8" s="8">
        <f t="shared" si="5"/>
        <v>33</v>
      </c>
      <c r="W8" s="2">
        <f t="shared" si="6"/>
        <v>2</v>
      </c>
      <c r="X8" s="8">
        <f t="shared" si="7"/>
        <v>112.96</v>
      </c>
    </row>
    <row r="9" spans="1:24" x14ac:dyDescent="0.25">
      <c r="A9" s="2" t="s">
        <v>35</v>
      </c>
      <c r="B9" s="2" t="s">
        <v>943</v>
      </c>
      <c r="C9" s="2" t="s">
        <v>944</v>
      </c>
      <c r="D9" s="2" t="s">
        <v>63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15</v>
      </c>
      <c r="K9" s="2">
        <v>1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1</v>
      </c>
      <c r="S9" s="2">
        <f t="shared" si="2"/>
        <v>1</v>
      </c>
      <c r="T9" s="2">
        <f t="shared" si="3"/>
        <v>0</v>
      </c>
      <c r="U9" s="2">
        <f t="shared" si="4"/>
        <v>0</v>
      </c>
      <c r="V9" s="8">
        <f t="shared" si="5"/>
        <v>18</v>
      </c>
      <c r="W9" s="2">
        <f t="shared" si="6"/>
        <v>2</v>
      </c>
      <c r="X9" s="8">
        <f t="shared" si="7"/>
        <v>0</v>
      </c>
    </row>
    <row r="10" spans="1:24" x14ac:dyDescent="0.25">
      <c r="A10" s="2" t="s">
        <v>39</v>
      </c>
      <c r="B10" s="2" t="s">
        <v>945</v>
      </c>
      <c r="C10" s="2" t="s">
        <v>946</v>
      </c>
      <c r="D10" s="2" t="s">
        <v>65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1</v>
      </c>
      <c r="L10" s="8">
        <v>158.52000000000001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16</v>
      </c>
      <c r="W10" s="2">
        <f t="shared" si="6"/>
        <v>1</v>
      </c>
      <c r="X10" s="8">
        <f t="shared" si="7"/>
        <v>21.06</v>
      </c>
    </row>
    <row r="11" spans="1:24" x14ac:dyDescent="0.25">
      <c r="A11" s="2" t="s">
        <v>33</v>
      </c>
      <c r="B11" s="2" t="s">
        <v>947</v>
      </c>
      <c r="C11" s="2" t="s">
        <v>948</v>
      </c>
      <c r="D11" s="2" t="s">
        <v>65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30.58</v>
      </c>
      <c r="M11" s="2" t="s">
        <v>78</v>
      </c>
      <c r="P11" s="2" t="str">
        <f>Setup!$A$11</f>
        <v>Expert 08</v>
      </c>
      <c r="Q11" s="2">
        <f t="shared" si="0"/>
        <v>0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49</v>
      </c>
      <c r="W11" s="2">
        <f t="shared" si="6"/>
        <v>2</v>
      </c>
      <c r="X11" s="8">
        <f t="shared" si="7"/>
        <v>169.7</v>
      </c>
    </row>
    <row r="12" spans="1:24" x14ac:dyDescent="0.25">
      <c r="A12" s="2" t="s">
        <v>47</v>
      </c>
      <c r="B12" s="2" t="s">
        <v>949</v>
      </c>
      <c r="C12" s="2" t="s">
        <v>950</v>
      </c>
      <c r="D12" s="2" t="s">
        <v>69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0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0</v>
      </c>
      <c r="X12" s="8">
        <f t="shared" si="7"/>
        <v>0</v>
      </c>
    </row>
    <row r="13" spans="1:24" x14ac:dyDescent="0.25">
      <c r="A13" s="2" t="s">
        <v>55</v>
      </c>
      <c r="B13" s="2" t="s">
        <v>951</v>
      </c>
      <c r="C13" s="2" t="s">
        <v>952</v>
      </c>
      <c r="D13" s="2" t="s">
        <v>56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8">
        <v>18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15</v>
      </c>
      <c r="W13" s="2">
        <f t="shared" si="6"/>
        <v>2</v>
      </c>
      <c r="X13" s="8">
        <f t="shared" si="7"/>
        <v>72.7</v>
      </c>
    </row>
    <row r="14" spans="1:24" x14ac:dyDescent="0.25">
      <c r="A14" s="2" t="s">
        <v>43</v>
      </c>
      <c r="B14" s="2" t="s">
        <v>953</v>
      </c>
      <c r="C14" s="2" t="s">
        <v>954</v>
      </c>
      <c r="D14" s="2" t="s">
        <v>54</v>
      </c>
      <c r="E14" s="2">
        <v>1</v>
      </c>
      <c r="F14" s="2">
        <v>0</v>
      </c>
      <c r="G14" s="2">
        <v>1</v>
      </c>
      <c r="H14" s="2">
        <v>0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1</v>
      </c>
      <c r="S14" s="2">
        <f t="shared" si="2"/>
        <v>1</v>
      </c>
      <c r="T14" s="2">
        <f t="shared" si="3"/>
        <v>0</v>
      </c>
      <c r="U14" s="2">
        <f t="shared" si="4"/>
        <v>0</v>
      </c>
      <c r="V14" s="8">
        <f t="shared" si="5"/>
        <v>48</v>
      </c>
      <c r="W14" s="2">
        <f t="shared" si="6"/>
        <v>3</v>
      </c>
      <c r="X14" s="8">
        <f t="shared" si="7"/>
        <v>84.3</v>
      </c>
    </row>
    <row r="15" spans="1:24" x14ac:dyDescent="0.25">
      <c r="A15" s="2" t="s">
        <v>51</v>
      </c>
      <c r="B15" s="2" t="s">
        <v>955</v>
      </c>
      <c r="C15" s="2" t="s">
        <v>956</v>
      </c>
      <c r="D15" s="2" t="s">
        <v>65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15</v>
      </c>
      <c r="K15" s="2">
        <v>1</v>
      </c>
      <c r="L15" s="8">
        <v>72.7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1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54</v>
      </c>
      <c r="W15" s="2">
        <f t="shared" si="6"/>
        <v>3</v>
      </c>
      <c r="X15" s="8">
        <f t="shared" si="7"/>
        <v>0</v>
      </c>
    </row>
    <row r="16" spans="1:24" x14ac:dyDescent="0.25">
      <c r="A16" s="2" t="s">
        <v>35</v>
      </c>
      <c r="B16" s="2" t="s">
        <v>957</v>
      </c>
      <c r="C16" s="2" t="s">
        <v>958</v>
      </c>
      <c r="D16" s="2" t="s">
        <v>42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5</v>
      </c>
      <c r="S16" s="10">
        <f t="shared" si="8"/>
        <v>4</v>
      </c>
      <c r="T16" s="10">
        <f t="shared" si="8"/>
        <v>1</v>
      </c>
      <c r="U16" s="10">
        <f t="shared" si="8"/>
        <v>1</v>
      </c>
      <c r="V16" s="11">
        <f t="shared" si="8"/>
        <v>330</v>
      </c>
      <c r="W16" s="10">
        <f t="shared" si="8"/>
        <v>26</v>
      </c>
      <c r="X16" s="11">
        <f t="shared" si="8"/>
        <v>1092.6199999999999</v>
      </c>
    </row>
    <row r="17" spans="1:13" x14ac:dyDescent="0.25">
      <c r="A17" s="2" t="s">
        <v>55</v>
      </c>
      <c r="B17" s="2" t="s">
        <v>959</v>
      </c>
      <c r="C17" s="2" t="s">
        <v>960</v>
      </c>
      <c r="D17" s="2" t="s">
        <v>61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18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35</v>
      </c>
      <c r="B18" s="2" t="s">
        <v>961</v>
      </c>
      <c r="C18" s="2" t="s">
        <v>962</v>
      </c>
      <c r="D18" s="2" t="s">
        <v>63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51</v>
      </c>
      <c r="B19" s="2" t="s">
        <v>963</v>
      </c>
      <c r="C19" s="2" t="s">
        <v>964</v>
      </c>
      <c r="D19" s="2" t="s">
        <v>42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53</v>
      </c>
      <c r="B20" s="2" t="s">
        <v>965</v>
      </c>
      <c r="C20" s="2" t="s">
        <v>966</v>
      </c>
      <c r="D20" s="2" t="s">
        <v>67</v>
      </c>
      <c r="E20" s="2">
        <v>0</v>
      </c>
      <c r="F20" s="2">
        <v>1</v>
      </c>
      <c r="G20" s="2">
        <v>0</v>
      </c>
      <c r="H20" s="2">
        <v>0</v>
      </c>
      <c r="I20" s="2">
        <v>0</v>
      </c>
      <c r="J20" s="8">
        <v>15</v>
      </c>
      <c r="K20" s="2">
        <v>0</v>
      </c>
      <c r="L20" s="8">
        <v>0</v>
      </c>
      <c r="M20" s="2" t="s">
        <v>78</v>
      </c>
    </row>
    <row r="21" spans="1:13" x14ac:dyDescent="0.25">
      <c r="A21" s="2" t="s">
        <v>37</v>
      </c>
      <c r="B21" s="2" t="s">
        <v>967</v>
      </c>
      <c r="C21" s="2" t="s">
        <v>968</v>
      </c>
      <c r="D21" s="2" t="s">
        <v>40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77.430000000000007</v>
      </c>
      <c r="M21" s="2" t="s">
        <v>78</v>
      </c>
    </row>
    <row r="22" spans="1:13" x14ac:dyDescent="0.25">
      <c r="A22" s="2" t="s">
        <v>47</v>
      </c>
      <c r="B22" s="2" t="s">
        <v>969</v>
      </c>
      <c r="C22" s="2" t="s">
        <v>970</v>
      </c>
      <c r="D22" s="2" t="s">
        <v>50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16</v>
      </c>
      <c r="K22" s="2">
        <v>1</v>
      </c>
      <c r="L22" s="8">
        <v>95.86</v>
      </c>
      <c r="M22" s="2" t="s">
        <v>78</v>
      </c>
    </row>
    <row r="23" spans="1:13" x14ac:dyDescent="0.25">
      <c r="A23" s="2" t="s">
        <v>47</v>
      </c>
      <c r="B23" s="2" t="s">
        <v>971</v>
      </c>
      <c r="C23" s="2" t="s">
        <v>972</v>
      </c>
      <c r="D23" s="2" t="s">
        <v>46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33</v>
      </c>
      <c r="K23" s="2">
        <v>1</v>
      </c>
      <c r="L23" s="8">
        <v>73.84</v>
      </c>
      <c r="M23" s="2" t="s">
        <v>78</v>
      </c>
    </row>
    <row r="24" spans="1:13" x14ac:dyDescent="0.25">
      <c r="A24" s="2" t="s">
        <v>53</v>
      </c>
      <c r="B24" s="2" t="s">
        <v>973</v>
      </c>
      <c r="C24" s="2" t="s">
        <v>974</v>
      </c>
      <c r="D24" s="2" t="s">
        <v>65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84.3</v>
      </c>
      <c r="M24" s="2" t="s">
        <v>78</v>
      </c>
    </row>
    <row r="25" spans="1:13" x14ac:dyDescent="0.25">
      <c r="A25" s="2" t="s">
        <v>43</v>
      </c>
      <c r="B25" s="2" t="s">
        <v>975</v>
      </c>
      <c r="C25" s="2" t="s">
        <v>976</v>
      </c>
      <c r="D25" s="2" t="s">
        <v>40</v>
      </c>
      <c r="E25" s="2">
        <v>0</v>
      </c>
      <c r="F25" s="2">
        <v>1</v>
      </c>
      <c r="G25" s="2">
        <v>0</v>
      </c>
      <c r="H25" s="2">
        <v>0</v>
      </c>
      <c r="I25" s="2">
        <v>0</v>
      </c>
      <c r="J25" s="8">
        <v>18</v>
      </c>
      <c r="K25" s="2">
        <v>1</v>
      </c>
      <c r="L25" s="8">
        <v>0</v>
      </c>
      <c r="M25" s="2" t="s">
        <v>78</v>
      </c>
    </row>
    <row r="26" spans="1:13" x14ac:dyDescent="0.25">
      <c r="A26" s="2" t="s">
        <v>33</v>
      </c>
      <c r="B26" s="2" t="s">
        <v>977</v>
      </c>
      <c r="C26" s="2" t="s">
        <v>978</v>
      </c>
      <c r="D26" s="2" t="s">
        <v>42</v>
      </c>
      <c r="E26" s="2">
        <v>0</v>
      </c>
      <c r="F26" s="2">
        <v>1</v>
      </c>
      <c r="G26" s="2">
        <v>0</v>
      </c>
      <c r="H26" s="2">
        <v>1</v>
      </c>
      <c r="I26" s="2">
        <v>0</v>
      </c>
      <c r="J26" s="8">
        <v>15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33</v>
      </c>
      <c r="B27" s="2" t="s">
        <v>979</v>
      </c>
      <c r="C27" s="2" t="s">
        <v>980</v>
      </c>
      <c r="D27" s="2" t="s">
        <v>52</v>
      </c>
      <c r="E27" s="2">
        <v>1</v>
      </c>
      <c r="F27" s="2">
        <v>0</v>
      </c>
      <c r="G27" s="2">
        <v>1</v>
      </c>
      <c r="H27" s="2">
        <v>0</v>
      </c>
      <c r="I27" s="2">
        <v>0</v>
      </c>
      <c r="J27" s="8">
        <v>0</v>
      </c>
      <c r="K27" s="2">
        <v>1</v>
      </c>
      <c r="L27" s="8">
        <v>66.02</v>
      </c>
      <c r="M27" s="2" t="s">
        <v>78</v>
      </c>
    </row>
    <row r="28" spans="1:13" x14ac:dyDescent="0.25">
      <c r="A28" s="2" t="s">
        <v>55</v>
      </c>
      <c r="B28" s="2" t="s">
        <v>981</v>
      </c>
      <c r="C28" s="2" t="s">
        <v>982</v>
      </c>
      <c r="D28" s="2" t="s">
        <v>58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18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33</v>
      </c>
      <c r="B29" s="2" t="s">
        <v>983</v>
      </c>
      <c r="C29" s="2" t="s">
        <v>984</v>
      </c>
      <c r="D29" s="2" t="s">
        <v>66</v>
      </c>
      <c r="E29" s="2">
        <v>0</v>
      </c>
      <c r="F29" s="2">
        <v>1</v>
      </c>
      <c r="G29" s="2">
        <v>0</v>
      </c>
      <c r="H29" s="2">
        <v>0</v>
      </c>
      <c r="I29" s="2">
        <v>1</v>
      </c>
      <c r="J29" s="8">
        <v>0</v>
      </c>
      <c r="K29" s="2">
        <v>0</v>
      </c>
      <c r="L29" s="8">
        <v>0</v>
      </c>
      <c r="M29" s="2" t="s">
        <v>78</v>
      </c>
    </row>
    <row r="30" spans="1:13" x14ac:dyDescent="0.25">
      <c r="A30" s="2" t="s">
        <v>35</v>
      </c>
      <c r="B30" s="2" t="s">
        <v>985</v>
      </c>
      <c r="C30" s="2" t="s">
        <v>986</v>
      </c>
      <c r="D30" s="2" t="s">
        <v>62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16</v>
      </c>
      <c r="K30" s="2">
        <v>1</v>
      </c>
      <c r="L30" s="8">
        <v>0</v>
      </c>
      <c r="M30" s="2" t="s">
        <v>118</v>
      </c>
    </row>
    <row r="31" spans="1:13" x14ac:dyDescent="0.25">
      <c r="A31" s="2" t="s">
        <v>35</v>
      </c>
      <c r="B31" s="2" t="s">
        <v>987</v>
      </c>
      <c r="C31" s="2" t="s">
        <v>988</v>
      </c>
      <c r="D31" s="2" t="s">
        <v>57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8">
        <v>18</v>
      </c>
      <c r="K31" s="2">
        <v>1</v>
      </c>
      <c r="L31" s="8">
        <v>121.22</v>
      </c>
      <c r="M31" s="2" t="s">
        <v>78</v>
      </c>
    </row>
    <row r="32" spans="1:13" x14ac:dyDescent="0.25">
      <c r="A32" s="2" t="s">
        <v>41</v>
      </c>
      <c r="B32" s="2" t="s">
        <v>989</v>
      </c>
      <c r="C32" s="2" t="s">
        <v>990</v>
      </c>
      <c r="D32" s="2" t="s">
        <v>57</v>
      </c>
      <c r="E32" s="2">
        <v>1</v>
      </c>
      <c r="F32" s="2">
        <v>0</v>
      </c>
      <c r="G32" s="2">
        <v>1</v>
      </c>
      <c r="H32" s="2">
        <v>0</v>
      </c>
      <c r="I32" s="2">
        <v>0</v>
      </c>
      <c r="J32" s="8">
        <v>0</v>
      </c>
      <c r="K32" s="2">
        <v>1</v>
      </c>
      <c r="L32" s="8">
        <v>0</v>
      </c>
      <c r="M32" s="2" t="s">
        <v>118</v>
      </c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991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39</v>
      </c>
      <c r="B4" s="2" t="s">
        <v>992</v>
      </c>
      <c r="C4" s="2" t="s">
        <v>993</v>
      </c>
      <c r="D4" s="2" t="s">
        <v>66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8">
        <v>15</v>
      </c>
      <c r="K4" s="2">
        <v>0</v>
      </c>
      <c r="L4" s="8">
        <v>162.99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1</v>
      </c>
      <c r="X4" s="8">
        <f t="shared" ref="X4:X15" si="7">SUMIF($A$4:$A$43,$P4,L$4:L$43)</f>
        <v>138.16</v>
      </c>
    </row>
    <row r="5" spans="1:24" x14ac:dyDescent="0.25">
      <c r="A5" s="2" t="s">
        <v>53</v>
      </c>
      <c r="B5" s="2" t="s">
        <v>994</v>
      </c>
      <c r="C5" s="2" t="s">
        <v>995</v>
      </c>
      <c r="D5" s="2" t="s">
        <v>66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8">
        <v>16</v>
      </c>
      <c r="K5" s="2">
        <v>0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2</v>
      </c>
      <c r="X5" s="8">
        <f t="shared" si="7"/>
        <v>0</v>
      </c>
    </row>
    <row r="6" spans="1:24" x14ac:dyDescent="0.25">
      <c r="A6" s="2" t="s">
        <v>55</v>
      </c>
      <c r="B6" s="2" t="s">
        <v>996</v>
      </c>
      <c r="C6" s="2" t="s">
        <v>997</v>
      </c>
      <c r="D6" s="2" t="s">
        <v>50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8">
        <v>16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1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0</v>
      </c>
      <c r="W6" s="2">
        <f t="shared" si="6"/>
        <v>1</v>
      </c>
      <c r="X6" s="8">
        <f t="shared" si="7"/>
        <v>119.99</v>
      </c>
    </row>
    <row r="7" spans="1:24" x14ac:dyDescent="0.25">
      <c r="A7" s="2" t="s">
        <v>35</v>
      </c>
      <c r="B7" s="2" t="s">
        <v>998</v>
      </c>
      <c r="C7" s="2" t="s">
        <v>999</v>
      </c>
      <c r="D7" s="2" t="s">
        <v>46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0</v>
      </c>
      <c r="M7" s="2" t="s">
        <v>118</v>
      </c>
      <c r="P7" s="2" t="str">
        <f>Setup!$A$7</f>
        <v>Expert 04</v>
      </c>
      <c r="Q7" s="2">
        <f t="shared" si="0"/>
        <v>0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1</v>
      </c>
      <c r="V7" s="8">
        <f t="shared" si="5"/>
        <v>45</v>
      </c>
      <c r="W7" s="2">
        <f t="shared" si="6"/>
        <v>2</v>
      </c>
      <c r="X7" s="8">
        <f t="shared" si="7"/>
        <v>333.42</v>
      </c>
    </row>
    <row r="8" spans="1:24" x14ac:dyDescent="0.25">
      <c r="A8" s="2" t="s">
        <v>43</v>
      </c>
      <c r="B8" s="2" t="s">
        <v>1000</v>
      </c>
      <c r="C8" s="2" t="s">
        <v>1001</v>
      </c>
      <c r="D8" s="2" t="s">
        <v>58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60.69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0</v>
      </c>
      <c r="W8" s="2">
        <f t="shared" si="6"/>
        <v>0</v>
      </c>
      <c r="X8" s="8">
        <f t="shared" si="7"/>
        <v>0</v>
      </c>
    </row>
    <row r="9" spans="1:24" x14ac:dyDescent="0.25">
      <c r="A9" s="2" t="s">
        <v>45</v>
      </c>
      <c r="B9" s="2" t="s">
        <v>1002</v>
      </c>
      <c r="C9" s="2" t="s">
        <v>1003</v>
      </c>
      <c r="D9" s="2" t="s">
        <v>60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91.94</v>
      </c>
      <c r="M9" s="2" t="s">
        <v>78</v>
      </c>
      <c r="P9" s="2" t="str">
        <f>Setup!$A$9</f>
        <v>Expert 06</v>
      </c>
      <c r="Q9" s="2">
        <f t="shared" si="0"/>
        <v>4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36</v>
      </c>
      <c r="W9" s="2">
        <f t="shared" si="6"/>
        <v>4</v>
      </c>
      <c r="X9" s="8">
        <f t="shared" si="7"/>
        <v>158.43</v>
      </c>
    </row>
    <row r="10" spans="1:24" x14ac:dyDescent="0.25">
      <c r="A10" s="2" t="s">
        <v>51</v>
      </c>
      <c r="B10" s="2" t="s">
        <v>1004</v>
      </c>
      <c r="C10" s="2" t="s">
        <v>1005</v>
      </c>
      <c r="D10" s="2" t="s">
        <v>67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33</v>
      </c>
      <c r="K10" s="2">
        <v>0</v>
      </c>
      <c r="L10" s="8">
        <v>13.9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91.94</v>
      </c>
    </row>
    <row r="11" spans="1:24" x14ac:dyDescent="0.25">
      <c r="A11" s="2" t="s">
        <v>39</v>
      </c>
      <c r="B11" s="2" t="s">
        <v>1006</v>
      </c>
      <c r="C11" s="2" t="s">
        <v>1007</v>
      </c>
      <c r="D11" s="2" t="s">
        <v>63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15</v>
      </c>
      <c r="K11" s="2">
        <v>1</v>
      </c>
      <c r="L11" s="8">
        <v>44.37</v>
      </c>
      <c r="M11" s="2" t="s">
        <v>78</v>
      </c>
      <c r="P11" s="2" t="str">
        <f>Setup!$A$11</f>
        <v>Expert 08</v>
      </c>
      <c r="Q11" s="2">
        <f t="shared" si="0"/>
        <v>0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0</v>
      </c>
      <c r="X11" s="8">
        <f t="shared" si="7"/>
        <v>0</v>
      </c>
    </row>
    <row r="12" spans="1:24" x14ac:dyDescent="0.25">
      <c r="A12" s="2" t="s">
        <v>51</v>
      </c>
      <c r="B12" s="2" t="s">
        <v>1008</v>
      </c>
      <c r="C12" s="2" t="s">
        <v>1009</v>
      </c>
      <c r="D12" s="2" t="s">
        <v>42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0</v>
      </c>
      <c r="X12" s="8">
        <f t="shared" si="7"/>
        <v>0</v>
      </c>
    </row>
    <row r="13" spans="1:24" x14ac:dyDescent="0.25">
      <c r="A13" s="2" t="s">
        <v>55</v>
      </c>
      <c r="B13" s="2" t="s">
        <v>1010</v>
      </c>
      <c r="C13" s="2" t="s">
        <v>1011</v>
      </c>
      <c r="D13" s="2" t="s">
        <v>57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16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2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33</v>
      </c>
      <c r="W13" s="2">
        <f t="shared" si="6"/>
        <v>2</v>
      </c>
      <c r="X13" s="8">
        <f t="shared" si="7"/>
        <v>84.53</v>
      </c>
    </row>
    <row r="14" spans="1:24" x14ac:dyDescent="0.25">
      <c r="A14" s="2" t="s">
        <v>43</v>
      </c>
      <c r="B14" s="2" t="s">
        <v>1012</v>
      </c>
      <c r="C14" s="2" t="s">
        <v>1013</v>
      </c>
      <c r="D14" s="2" t="s">
        <v>38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18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1</v>
      </c>
      <c r="V14" s="8">
        <f t="shared" si="5"/>
        <v>16</v>
      </c>
      <c r="W14" s="2">
        <f t="shared" si="6"/>
        <v>0</v>
      </c>
      <c r="X14" s="8">
        <f t="shared" si="7"/>
        <v>118.55</v>
      </c>
    </row>
    <row r="15" spans="1:24" x14ac:dyDescent="0.25">
      <c r="A15" s="2" t="s">
        <v>39</v>
      </c>
      <c r="B15" s="2" t="s">
        <v>1014</v>
      </c>
      <c r="C15" s="2" t="s">
        <v>1015</v>
      </c>
      <c r="D15" s="2" t="s">
        <v>44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15</v>
      </c>
      <c r="K15" s="2">
        <v>1</v>
      </c>
      <c r="L15" s="8">
        <v>126.06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1</v>
      </c>
      <c r="S15" s="2">
        <f t="shared" si="2"/>
        <v>1</v>
      </c>
      <c r="T15" s="2">
        <f t="shared" si="3"/>
        <v>0</v>
      </c>
      <c r="U15" s="2">
        <f t="shared" si="4"/>
        <v>0</v>
      </c>
      <c r="V15" s="8">
        <f t="shared" si="5"/>
        <v>74</v>
      </c>
      <c r="W15" s="2">
        <f t="shared" si="6"/>
        <v>4</v>
      </c>
      <c r="X15" s="8">
        <f t="shared" si="7"/>
        <v>334.15</v>
      </c>
    </row>
    <row r="16" spans="1:24" x14ac:dyDescent="0.25">
      <c r="A16" s="2" t="s">
        <v>35</v>
      </c>
      <c r="B16" s="2" t="s">
        <v>1016</v>
      </c>
      <c r="C16" s="2" t="s">
        <v>1017</v>
      </c>
      <c r="D16" s="2" t="s">
        <v>57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10</v>
      </c>
      <c r="R16" s="10">
        <f t="shared" si="8"/>
        <v>3</v>
      </c>
      <c r="S16" s="10">
        <f t="shared" si="8"/>
        <v>1</v>
      </c>
      <c r="T16" s="10">
        <f t="shared" si="8"/>
        <v>0</v>
      </c>
      <c r="U16" s="10">
        <f t="shared" si="8"/>
        <v>2</v>
      </c>
      <c r="V16" s="11">
        <f t="shared" si="8"/>
        <v>204</v>
      </c>
      <c r="W16" s="10">
        <f t="shared" si="8"/>
        <v>17</v>
      </c>
      <c r="X16" s="11">
        <f t="shared" si="8"/>
        <v>1379.17</v>
      </c>
    </row>
    <row r="17" spans="1:13" x14ac:dyDescent="0.25">
      <c r="A17" s="2" t="s">
        <v>55</v>
      </c>
      <c r="B17" s="2" t="s">
        <v>1018</v>
      </c>
      <c r="C17" s="2" t="s">
        <v>1019</v>
      </c>
      <c r="D17" s="2" t="s">
        <v>46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8">
        <v>24</v>
      </c>
      <c r="K17" s="2">
        <v>1</v>
      </c>
      <c r="L17" s="8">
        <v>156.66999999999999</v>
      </c>
      <c r="M17" s="2" t="s">
        <v>78</v>
      </c>
    </row>
    <row r="18" spans="1:13" x14ac:dyDescent="0.25">
      <c r="A18" s="2" t="s">
        <v>43</v>
      </c>
      <c r="B18" s="2" t="s">
        <v>1020</v>
      </c>
      <c r="C18" s="2" t="s">
        <v>1021</v>
      </c>
      <c r="D18" s="2" t="s">
        <v>48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18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37</v>
      </c>
      <c r="B19" s="2" t="s">
        <v>1022</v>
      </c>
      <c r="C19" s="2" t="s">
        <v>1023</v>
      </c>
      <c r="D19" s="2" t="s">
        <v>54</v>
      </c>
      <c r="E19" s="2">
        <v>0</v>
      </c>
      <c r="F19" s="2">
        <v>1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119.99</v>
      </c>
      <c r="M19" s="2" t="s">
        <v>78</v>
      </c>
    </row>
    <row r="20" spans="1:13" x14ac:dyDescent="0.25">
      <c r="A20" s="2" t="s">
        <v>53</v>
      </c>
      <c r="B20" s="2" t="s">
        <v>1024</v>
      </c>
      <c r="C20" s="2" t="s">
        <v>1025</v>
      </c>
      <c r="D20" s="2" t="s">
        <v>67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0</v>
      </c>
      <c r="L20" s="8">
        <v>118.55</v>
      </c>
      <c r="M20" s="2" t="s">
        <v>78</v>
      </c>
    </row>
    <row r="21" spans="1:13" x14ac:dyDescent="0.25">
      <c r="A21" s="2" t="s">
        <v>51</v>
      </c>
      <c r="B21" s="2" t="s">
        <v>1026</v>
      </c>
      <c r="C21" s="2" t="s">
        <v>1027</v>
      </c>
      <c r="D21" s="2" t="s">
        <v>65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70.63</v>
      </c>
      <c r="M21" s="2" t="s">
        <v>78</v>
      </c>
    </row>
    <row r="22" spans="1:13" x14ac:dyDescent="0.25">
      <c r="A22" s="2" t="s">
        <v>33</v>
      </c>
      <c r="B22" s="2" t="s">
        <v>1028</v>
      </c>
      <c r="C22" s="2" t="s">
        <v>1029</v>
      </c>
      <c r="D22" s="2" t="s">
        <v>56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138.16</v>
      </c>
      <c r="M22" s="2" t="s">
        <v>78</v>
      </c>
    </row>
    <row r="23" spans="1:13" x14ac:dyDescent="0.25">
      <c r="A23" s="2" t="s">
        <v>55</v>
      </c>
      <c r="B23" s="2" t="s">
        <v>1030</v>
      </c>
      <c r="C23" s="2" t="s">
        <v>1031</v>
      </c>
      <c r="D23" s="2" t="s">
        <v>34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8">
        <v>18</v>
      </c>
      <c r="K23" s="2">
        <v>1</v>
      </c>
      <c r="L23" s="8">
        <v>177.48</v>
      </c>
      <c r="M23" s="2" t="s">
        <v>78</v>
      </c>
    </row>
    <row r="24" spans="1:13" x14ac:dyDescent="0.25">
      <c r="A24" s="2" t="s">
        <v>43</v>
      </c>
      <c r="B24" s="2" t="s">
        <v>1032</v>
      </c>
      <c r="C24" s="2" t="s">
        <v>1033</v>
      </c>
      <c r="D24" s="2" t="s">
        <v>57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97.74</v>
      </c>
      <c r="M24" s="2" t="s">
        <v>78</v>
      </c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8"/>
      <c r="K25" s="2"/>
      <c r="L25" s="8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8"/>
      <c r="K26" s="2"/>
      <c r="L26" s="8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8"/>
      <c r="K27" s="2"/>
      <c r="L27" s="8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8"/>
      <c r="K28" s="2"/>
      <c r="L28" s="8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1034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49</v>
      </c>
      <c r="B4" s="2" t="s">
        <v>1035</v>
      </c>
      <c r="C4" s="2" t="s">
        <v>1036</v>
      </c>
      <c r="D4" s="2" t="s">
        <v>56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8">
        <v>18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1</v>
      </c>
      <c r="X4" s="8">
        <f t="shared" ref="X4:X15" si="7">SUMIF($A$4:$A$43,$P4,L$4:L$43)</f>
        <v>0</v>
      </c>
    </row>
    <row r="5" spans="1:24" x14ac:dyDescent="0.25">
      <c r="A5" s="2" t="s">
        <v>45</v>
      </c>
      <c r="B5" s="2" t="s">
        <v>1037</v>
      </c>
      <c r="C5" s="2" t="s">
        <v>1038</v>
      </c>
      <c r="D5" s="2" t="s">
        <v>54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0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0</v>
      </c>
      <c r="X5" s="8">
        <f t="shared" si="7"/>
        <v>0</v>
      </c>
    </row>
    <row r="6" spans="1:24" x14ac:dyDescent="0.25">
      <c r="A6" s="2" t="s">
        <v>55</v>
      </c>
      <c r="B6" s="2" t="s">
        <v>1039</v>
      </c>
      <c r="C6" s="2" t="s">
        <v>1040</v>
      </c>
      <c r="D6" s="2" t="s">
        <v>58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16</v>
      </c>
      <c r="K6" s="2">
        <v>1</v>
      </c>
      <c r="L6" s="8">
        <v>2.14</v>
      </c>
      <c r="M6" s="2" t="s">
        <v>78</v>
      </c>
      <c r="P6" s="2" t="str">
        <f>Setup!$A$6</f>
        <v>Expert 03</v>
      </c>
      <c r="Q6" s="2">
        <f t="shared" si="0"/>
        <v>3</v>
      </c>
      <c r="R6" s="2">
        <f t="shared" si="1"/>
        <v>0</v>
      </c>
      <c r="S6" s="2">
        <f t="shared" si="2"/>
        <v>0</v>
      </c>
      <c r="T6" s="2">
        <f t="shared" si="3"/>
        <v>1</v>
      </c>
      <c r="U6" s="2">
        <f t="shared" si="4"/>
        <v>0</v>
      </c>
      <c r="V6" s="8">
        <f t="shared" si="5"/>
        <v>90</v>
      </c>
      <c r="W6" s="2">
        <f t="shared" si="6"/>
        <v>4</v>
      </c>
      <c r="X6" s="8">
        <f t="shared" si="7"/>
        <v>194.26999999999998</v>
      </c>
    </row>
    <row r="7" spans="1:24" x14ac:dyDescent="0.25">
      <c r="A7" s="2" t="s">
        <v>45</v>
      </c>
      <c r="B7" s="2" t="s">
        <v>1041</v>
      </c>
      <c r="C7" s="2" t="s">
        <v>1042</v>
      </c>
      <c r="D7" s="2" t="s">
        <v>58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16</v>
      </c>
      <c r="K7" s="2">
        <v>1</v>
      </c>
      <c r="L7" s="8">
        <v>0</v>
      </c>
      <c r="M7" s="2" t="s">
        <v>118</v>
      </c>
      <c r="P7" s="2" t="str">
        <f>Setup!$A$7</f>
        <v>Expert 04</v>
      </c>
      <c r="Q7" s="2">
        <f t="shared" si="0"/>
        <v>1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42</v>
      </c>
      <c r="W7" s="2">
        <f t="shared" si="6"/>
        <v>2</v>
      </c>
      <c r="X7" s="8">
        <f t="shared" si="7"/>
        <v>211.3</v>
      </c>
    </row>
    <row r="8" spans="1:24" x14ac:dyDescent="0.25">
      <c r="A8" s="2" t="s">
        <v>37</v>
      </c>
      <c r="B8" s="2" t="s">
        <v>1043</v>
      </c>
      <c r="C8" s="2" t="s">
        <v>1044</v>
      </c>
      <c r="D8" s="2" t="s">
        <v>60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33</v>
      </c>
      <c r="K8" s="2">
        <v>1</v>
      </c>
      <c r="L8" s="8">
        <v>96.38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1</v>
      </c>
      <c r="S8" s="2">
        <f t="shared" si="2"/>
        <v>1</v>
      </c>
      <c r="T8" s="2">
        <f t="shared" si="3"/>
        <v>1</v>
      </c>
      <c r="U8" s="2">
        <f t="shared" si="4"/>
        <v>0</v>
      </c>
      <c r="V8" s="8">
        <f t="shared" si="5"/>
        <v>51</v>
      </c>
      <c r="W8" s="2">
        <f t="shared" si="6"/>
        <v>2</v>
      </c>
      <c r="X8" s="8">
        <f t="shared" si="7"/>
        <v>0</v>
      </c>
    </row>
    <row r="9" spans="1:24" x14ac:dyDescent="0.25">
      <c r="A9" s="2" t="s">
        <v>55</v>
      </c>
      <c r="B9" s="2" t="s">
        <v>1045</v>
      </c>
      <c r="C9" s="2" t="s">
        <v>1046</v>
      </c>
      <c r="D9" s="2" t="s">
        <v>64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77.05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57</v>
      </c>
      <c r="W9" s="2">
        <f t="shared" si="6"/>
        <v>2</v>
      </c>
      <c r="X9" s="8">
        <f t="shared" si="7"/>
        <v>264.33999999999997</v>
      </c>
    </row>
    <row r="10" spans="1:24" x14ac:dyDescent="0.25">
      <c r="A10" s="2" t="s">
        <v>49</v>
      </c>
      <c r="B10" s="2" t="s">
        <v>1047</v>
      </c>
      <c r="C10" s="2" t="s">
        <v>1048</v>
      </c>
      <c r="D10" s="2" t="s">
        <v>50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27.13</v>
      </c>
      <c r="M10" s="2" t="s">
        <v>78</v>
      </c>
      <c r="P10" s="2" t="str">
        <f>Setup!$A$10</f>
        <v>Expert 07</v>
      </c>
      <c r="Q10" s="2">
        <f t="shared" si="0"/>
        <v>2</v>
      </c>
      <c r="R10" s="2">
        <f t="shared" si="1"/>
        <v>2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32</v>
      </c>
      <c r="W10" s="2">
        <f t="shared" si="6"/>
        <v>4</v>
      </c>
      <c r="X10" s="8">
        <f t="shared" si="7"/>
        <v>89.22</v>
      </c>
    </row>
    <row r="11" spans="1:24" x14ac:dyDescent="0.25">
      <c r="A11" s="2" t="s">
        <v>37</v>
      </c>
      <c r="B11" s="2" t="s">
        <v>1049</v>
      </c>
      <c r="C11" s="2" t="s">
        <v>1050</v>
      </c>
      <c r="D11" s="2" t="s">
        <v>65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24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0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0</v>
      </c>
      <c r="X11" s="8">
        <f t="shared" si="7"/>
        <v>0</v>
      </c>
    </row>
    <row r="12" spans="1:24" x14ac:dyDescent="0.25">
      <c r="A12" s="2" t="s">
        <v>55</v>
      </c>
      <c r="B12" s="2" t="s">
        <v>1051</v>
      </c>
      <c r="C12" s="2" t="s">
        <v>1052</v>
      </c>
      <c r="D12" s="2" t="s">
        <v>48</v>
      </c>
      <c r="E12" s="2">
        <v>0</v>
      </c>
      <c r="F12" s="2">
        <v>1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2</v>
      </c>
      <c r="R12" s="2">
        <f t="shared" si="1"/>
        <v>0</v>
      </c>
      <c r="S12" s="2">
        <f t="shared" si="2"/>
        <v>0</v>
      </c>
      <c r="T12" s="2">
        <f t="shared" si="3"/>
        <v>1</v>
      </c>
      <c r="U12" s="2">
        <f t="shared" si="4"/>
        <v>1</v>
      </c>
      <c r="V12" s="8">
        <f t="shared" si="5"/>
        <v>75</v>
      </c>
      <c r="W12" s="2">
        <f t="shared" si="6"/>
        <v>4</v>
      </c>
      <c r="X12" s="8">
        <f t="shared" si="7"/>
        <v>299.39999999999998</v>
      </c>
    </row>
    <row r="13" spans="1:24" x14ac:dyDescent="0.25">
      <c r="A13" s="2" t="s">
        <v>49</v>
      </c>
      <c r="B13" s="2" t="s">
        <v>1053</v>
      </c>
      <c r="C13" s="2" t="s">
        <v>1054</v>
      </c>
      <c r="D13" s="2" t="s">
        <v>44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33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66</v>
      </c>
      <c r="W13" s="2">
        <f t="shared" si="6"/>
        <v>3</v>
      </c>
      <c r="X13" s="8">
        <f t="shared" si="7"/>
        <v>238.94</v>
      </c>
    </row>
    <row r="14" spans="1:24" x14ac:dyDescent="0.25">
      <c r="A14" s="2" t="s">
        <v>53</v>
      </c>
      <c r="B14" s="2" t="s">
        <v>1055</v>
      </c>
      <c r="C14" s="2" t="s">
        <v>1056</v>
      </c>
      <c r="D14" s="2" t="s">
        <v>44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1</v>
      </c>
      <c r="X14" s="8">
        <f t="shared" si="7"/>
        <v>0</v>
      </c>
    </row>
    <row r="15" spans="1:24" x14ac:dyDescent="0.25">
      <c r="A15" s="2" t="s">
        <v>43</v>
      </c>
      <c r="B15" s="2" t="s">
        <v>1057</v>
      </c>
      <c r="C15" s="2" t="s">
        <v>1058</v>
      </c>
      <c r="D15" s="2" t="s">
        <v>63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24</v>
      </c>
      <c r="K15" s="2">
        <v>1</v>
      </c>
      <c r="L15" s="8">
        <v>171.88</v>
      </c>
      <c r="M15" s="2" t="s">
        <v>78</v>
      </c>
      <c r="P15" s="2" t="str">
        <f>Setup!$A$15</f>
        <v>Expert 12</v>
      </c>
      <c r="Q15" s="2">
        <f t="shared" si="0"/>
        <v>4</v>
      </c>
      <c r="R15" s="2">
        <f t="shared" si="1"/>
        <v>1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55</v>
      </c>
      <c r="W15" s="2">
        <f t="shared" si="6"/>
        <v>5</v>
      </c>
      <c r="X15" s="8">
        <f t="shared" si="7"/>
        <v>205.01999999999998</v>
      </c>
    </row>
    <row r="16" spans="1:24" x14ac:dyDescent="0.25">
      <c r="A16" s="2" t="s">
        <v>49</v>
      </c>
      <c r="B16" s="2" t="s">
        <v>1059</v>
      </c>
      <c r="C16" s="2" t="s">
        <v>1060</v>
      </c>
      <c r="D16" s="2" t="s">
        <v>66</v>
      </c>
      <c r="E16" s="2">
        <v>0</v>
      </c>
      <c r="F16" s="2">
        <v>0</v>
      </c>
      <c r="G16" s="2">
        <v>0</v>
      </c>
      <c r="H16" s="2">
        <v>0</v>
      </c>
      <c r="I16" s="2">
        <v>1</v>
      </c>
      <c r="J16" s="8">
        <v>0</v>
      </c>
      <c r="K16" s="2">
        <v>0</v>
      </c>
      <c r="L16" s="8">
        <v>168.74</v>
      </c>
      <c r="M16" s="2" t="s">
        <v>78</v>
      </c>
      <c r="P16" s="9" t="s">
        <v>103</v>
      </c>
      <c r="Q16" s="10">
        <f t="shared" ref="Q16:X16" si="8">SUM(Q4:Q15)</f>
        <v>17</v>
      </c>
      <c r="R16" s="10">
        <f t="shared" si="8"/>
        <v>5</v>
      </c>
      <c r="S16" s="10">
        <f t="shared" si="8"/>
        <v>1</v>
      </c>
      <c r="T16" s="10">
        <f t="shared" si="8"/>
        <v>3</v>
      </c>
      <c r="U16" s="10">
        <f t="shared" si="8"/>
        <v>1</v>
      </c>
      <c r="V16" s="11">
        <f t="shared" si="8"/>
        <v>468</v>
      </c>
      <c r="W16" s="10">
        <f t="shared" si="8"/>
        <v>28</v>
      </c>
      <c r="X16" s="11">
        <f t="shared" si="8"/>
        <v>1502.49</v>
      </c>
    </row>
    <row r="17" spans="1:13" x14ac:dyDescent="0.25">
      <c r="A17" s="2" t="s">
        <v>51</v>
      </c>
      <c r="B17" s="2" t="s">
        <v>1061</v>
      </c>
      <c r="C17" s="2" t="s">
        <v>1062</v>
      </c>
      <c r="D17" s="2" t="s">
        <v>42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8">
        <v>33</v>
      </c>
      <c r="K17" s="2">
        <v>1</v>
      </c>
      <c r="L17" s="8">
        <v>88.72</v>
      </c>
      <c r="M17" s="2" t="s">
        <v>78</v>
      </c>
    </row>
    <row r="18" spans="1:13" x14ac:dyDescent="0.25">
      <c r="A18" s="2" t="s">
        <v>51</v>
      </c>
      <c r="B18" s="2" t="s">
        <v>1063</v>
      </c>
      <c r="C18" s="2" t="s">
        <v>1064</v>
      </c>
      <c r="D18" s="2" t="s">
        <v>40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8">
        <v>33</v>
      </c>
      <c r="K18" s="2">
        <v>1</v>
      </c>
      <c r="L18" s="8">
        <v>150.22</v>
      </c>
      <c r="M18" s="2" t="s">
        <v>78</v>
      </c>
    </row>
    <row r="19" spans="1:13" x14ac:dyDescent="0.25">
      <c r="A19" s="2" t="s">
        <v>55</v>
      </c>
      <c r="B19" s="2" t="s">
        <v>1065</v>
      </c>
      <c r="C19" s="2" t="s">
        <v>1066</v>
      </c>
      <c r="D19" s="2" t="s">
        <v>40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15</v>
      </c>
      <c r="K19" s="2">
        <v>1</v>
      </c>
      <c r="L19" s="8">
        <v>125.83</v>
      </c>
      <c r="M19" s="2" t="s">
        <v>78</v>
      </c>
    </row>
    <row r="20" spans="1:13" x14ac:dyDescent="0.25">
      <c r="A20" s="2" t="s">
        <v>45</v>
      </c>
      <c r="B20" s="2" t="s">
        <v>1067</v>
      </c>
      <c r="C20" s="2" t="s">
        <v>1068</v>
      </c>
      <c r="D20" s="2" t="s">
        <v>38</v>
      </c>
      <c r="E20" s="2">
        <v>0</v>
      </c>
      <c r="F20" s="2">
        <v>1</v>
      </c>
      <c r="G20" s="2">
        <v>0</v>
      </c>
      <c r="H20" s="2">
        <v>0</v>
      </c>
      <c r="I20" s="2">
        <v>0</v>
      </c>
      <c r="J20" s="8">
        <v>16</v>
      </c>
      <c r="K20" s="2">
        <v>1</v>
      </c>
      <c r="L20" s="8">
        <v>67.069999999999993</v>
      </c>
      <c r="M20" s="2" t="s">
        <v>78</v>
      </c>
    </row>
    <row r="21" spans="1:13" x14ac:dyDescent="0.25">
      <c r="A21" s="2" t="s">
        <v>41</v>
      </c>
      <c r="B21" s="2" t="s">
        <v>1069</v>
      </c>
      <c r="C21" s="2" t="s">
        <v>1070</v>
      </c>
      <c r="D21" s="2" t="s">
        <v>56</v>
      </c>
      <c r="E21" s="2">
        <v>1</v>
      </c>
      <c r="F21" s="2">
        <v>0</v>
      </c>
      <c r="G21" s="2">
        <v>0</v>
      </c>
      <c r="H21" s="2">
        <v>1</v>
      </c>
      <c r="I21" s="2">
        <v>0</v>
      </c>
      <c r="J21" s="8">
        <v>18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49</v>
      </c>
      <c r="B22" s="2" t="s">
        <v>1071</v>
      </c>
      <c r="C22" s="2" t="s">
        <v>1072</v>
      </c>
      <c r="D22" s="2" t="s">
        <v>65</v>
      </c>
      <c r="E22" s="2">
        <v>1</v>
      </c>
      <c r="F22" s="2">
        <v>0</v>
      </c>
      <c r="G22" s="2">
        <v>0</v>
      </c>
      <c r="H22" s="2">
        <v>1</v>
      </c>
      <c r="I22" s="2">
        <v>0</v>
      </c>
      <c r="J22" s="8">
        <v>24</v>
      </c>
      <c r="K22" s="2">
        <v>1</v>
      </c>
      <c r="L22" s="8">
        <v>103.53</v>
      </c>
      <c r="M22" s="2" t="s">
        <v>118</v>
      </c>
    </row>
    <row r="23" spans="1:13" x14ac:dyDescent="0.25">
      <c r="A23" s="2" t="s">
        <v>33</v>
      </c>
      <c r="B23" s="2" t="s">
        <v>1073</v>
      </c>
      <c r="C23" s="2" t="s">
        <v>1074</v>
      </c>
      <c r="D23" s="2" t="s">
        <v>64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55</v>
      </c>
      <c r="B24" s="2" t="s">
        <v>1075</v>
      </c>
      <c r="C24" s="2" t="s">
        <v>1076</v>
      </c>
      <c r="D24" s="2" t="s">
        <v>46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24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37</v>
      </c>
      <c r="B25" s="2" t="s">
        <v>1077</v>
      </c>
      <c r="C25" s="2" t="s">
        <v>1078</v>
      </c>
      <c r="D25" s="2" t="s">
        <v>56</v>
      </c>
      <c r="E25" s="2">
        <v>1</v>
      </c>
      <c r="F25" s="2">
        <v>0</v>
      </c>
      <c r="G25" s="2">
        <v>0</v>
      </c>
      <c r="H25" s="2">
        <v>1</v>
      </c>
      <c r="I25" s="2">
        <v>0</v>
      </c>
      <c r="J25" s="8">
        <v>0</v>
      </c>
      <c r="K25" s="2">
        <v>1</v>
      </c>
      <c r="L25" s="8">
        <v>15.54</v>
      </c>
      <c r="M25" s="2" t="s">
        <v>78</v>
      </c>
    </row>
    <row r="26" spans="1:13" x14ac:dyDescent="0.25">
      <c r="A26" s="2" t="s">
        <v>37</v>
      </c>
      <c r="B26" s="2" t="s">
        <v>1079</v>
      </c>
      <c r="C26" s="2" t="s">
        <v>1080</v>
      </c>
      <c r="D26" s="2" t="s">
        <v>34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8">
        <v>33</v>
      </c>
      <c r="K26" s="2">
        <v>1</v>
      </c>
      <c r="L26" s="8">
        <v>82.35</v>
      </c>
      <c r="M26" s="2" t="s">
        <v>78</v>
      </c>
    </row>
    <row r="27" spans="1:13" x14ac:dyDescent="0.25">
      <c r="A27" s="2" t="s">
        <v>51</v>
      </c>
      <c r="B27" s="2" t="s">
        <v>1081</v>
      </c>
      <c r="C27" s="2" t="s">
        <v>1082</v>
      </c>
      <c r="D27" s="2" t="s">
        <v>62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0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39</v>
      </c>
      <c r="B28" s="2" t="s">
        <v>1083</v>
      </c>
      <c r="C28" s="2" t="s">
        <v>1084</v>
      </c>
      <c r="D28" s="2" t="s">
        <v>58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18</v>
      </c>
      <c r="K28" s="2">
        <v>1</v>
      </c>
      <c r="L28" s="8">
        <v>125.39</v>
      </c>
      <c r="M28" s="2" t="s">
        <v>78</v>
      </c>
    </row>
    <row r="29" spans="1:13" x14ac:dyDescent="0.25">
      <c r="A29" s="2" t="s">
        <v>45</v>
      </c>
      <c r="B29" s="2" t="s">
        <v>1085</v>
      </c>
      <c r="C29" s="2" t="s">
        <v>1086</v>
      </c>
      <c r="D29" s="2" t="s">
        <v>61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22.15</v>
      </c>
      <c r="M29" s="2" t="s">
        <v>78</v>
      </c>
    </row>
    <row r="30" spans="1:13" x14ac:dyDescent="0.25">
      <c r="A30" s="2" t="s">
        <v>43</v>
      </c>
      <c r="B30" s="2" t="s">
        <v>1087</v>
      </c>
      <c r="C30" s="2" t="s">
        <v>1088</v>
      </c>
      <c r="D30" s="2" t="s">
        <v>56</v>
      </c>
      <c r="E30" s="2">
        <v>0</v>
      </c>
      <c r="F30" s="2">
        <v>1</v>
      </c>
      <c r="G30" s="2">
        <v>0</v>
      </c>
      <c r="H30" s="2">
        <v>0</v>
      </c>
      <c r="I30" s="2">
        <v>0</v>
      </c>
      <c r="J30" s="8">
        <v>0</v>
      </c>
      <c r="K30" s="2">
        <v>1</v>
      </c>
      <c r="L30" s="8">
        <v>92.46</v>
      </c>
      <c r="M30" s="2" t="s">
        <v>78</v>
      </c>
    </row>
    <row r="31" spans="1:13" x14ac:dyDescent="0.25">
      <c r="A31" s="2" t="s">
        <v>39</v>
      </c>
      <c r="B31" s="2" t="s">
        <v>1089</v>
      </c>
      <c r="C31" s="2" t="s">
        <v>1090</v>
      </c>
      <c r="D31" s="2" t="s">
        <v>58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8">
        <v>24</v>
      </c>
      <c r="K31" s="2">
        <v>1</v>
      </c>
      <c r="L31" s="8">
        <v>85.91</v>
      </c>
      <c r="M31" s="2" t="s">
        <v>78</v>
      </c>
    </row>
    <row r="32" spans="1:13" x14ac:dyDescent="0.25">
      <c r="A32" s="2" t="s">
        <v>43</v>
      </c>
      <c r="B32" s="2" t="s">
        <v>1091</v>
      </c>
      <c r="C32" s="2" t="s">
        <v>1092</v>
      </c>
      <c r="D32" s="2" t="s">
        <v>69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8">
        <v>33</v>
      </c>
      <c r="K32" s="2">
        <v>0</v>
      </c>
      <c r="L32" s="8">
        <v>0</v>
      </c>
      <c r="M32" s="2" t="s">
        <v>78</v>
      </c>
    </row>
    <row r="33" spans="1:13" x14ac:dyDescent="0.25">
      <c r="A33" s="2" t="s">
        <v>41</v>
      </c>
      <c r="B33" s="2" t="s">
        <v>1093</v>
      </c>
      <c r="C33" s="2" t="s">
        <v>1094</v>
      </c>
      <c r="D33" s="2" t="s">
        <v>46</v>
      </c>
      <c r="E33" s="2">
        <v>0</v>
      </c>
      <c r="F33" s="2">
        <v>1</v>
      </c>
      <c r="G33" s="2">
        <v>1</v>
      </c>
      <c r="H33" s="2">
        <v>0</v>
      </c>
      <c r="I33" s="2">
        <v>0</v>
      </c>
      <c r="J33" s="8">
        <v>33</v>
      </c>
      <c r="K33" s="2">
        <v>1</v>
      </c>
      <c r="L33" s="8">
        <v>0</v>
      </c>
      <c r="M33" s="2" t="s">
        <v>78</v>
      </c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1095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51</v>
      </c>
      <c r="B4" s="2" t="s">
        <v>1096</v>
      </c>
      <c r="C4" s="2" t="s">
        <v>1097</v>
      </c>
      <c r="D4" s="2" t="s">
        <v>65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118.35</v>
      </c>
      <c r="M4" s="2" t="s">
        <v>78</v>
      </c>
      <c r="P4" s="2" t="str">
        <f>Setup!$A$4</f>
        <v>Expert 01</v>
      </c>
      <c r="Q4" s="2">
        <f t="shared" ref="Q4:Q15" si="0">SUMIF($A$4:$A$43,$P4,E$4:E$43)</f>
        <v>2</v>
      </c>
      <c r="R4" s="2">
        <f t="shared" ref="R4:R15" si="1">SUMIF($A$4:$A$43,$P4,F$4:F$43)</f>
        <v>0</v>
      </c>
      <c r="S4" s="2">
        <f t="shared" ref="S4:S15" si="2">SUMIF($A$4:$A$43,$P4,G$4:G$43)</f>
        <v>1</v>
      </c>
      <c r="T4" s="2">
        <f t="shared" ref="T4:T15" si="3">SUMIF($A$4:$A$43,$P4,H$4:H$43)</f>
        <v>0</v>
      </c>
      <c r="U4" s="2">
        <f t="shared" ref="U4:U15" si="4">SUMIF($A$4:$A$43,$P4,I$4:I$43)</f>
        <v>1</v>
      </c>
      <c r="V4" s="8">
        <f t="shared" ref="V4:V15" si="5">SUMIF($A$4:$A$43,$P4,J$4:J$43)</f>
        <v>66</v>
      </c>
      <c r="W4" s="2">
        <f t="shared" ref="W4:W15" si="6">SUMIF($A$4:$A$43,$P4,K$4:K$43)</f>
        <v>2</v>
      </c>
      <c r="X4" s="8">
        <f t="shared" ref="X4:X15" si="7">SUMIF($A$4:$A$43,$P4,L$4:L$43)</f>
        <v>382.23</v>
      </c>
    </row>
    <row r="5" spans="1:24" x14ac:dyDescent="0.25">
      <c r="A5" s="2" t="s">
        <v>49</v>
      </c>
      <c r="B5" s="2" t="s">
        <v>1098</v>
      </c>
      <c r="C5" s="2" t="s">
        <v>1099</v>
      </c>
      <c r="D5" s="2" t="s">
        <v>44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76.08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1</v>
      </c>
      <c r="X5" s="8">
        <f t="shared" si="7"/>
        <v>196.65</v>
      </c>
    </row>
    <row r="6" spans="1:24" x14ac:dyDescent="0.25">
      <c r="A6" s="2" t="s">
        <v>47</v>
      </c>
      <c r="B6" s="2" t="s">
        <v>1100</v>
      </c>
      <c r="C6" s="2" t="s">
        <v>1101</v>
      </c>
      <c r="D6" s="2" t="s">
        <v>46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24</v>
      </c>
      <c r="K6" s="2">
        <v>1</v>
      </c>
      <c r="L6" s="8">
        <v>164.86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1</v>
      </c>
      <c r="V6" s="8">
        <f t="shared" si="5"/>
        <v>32</v>
      </c>
      <c r="W6" s="2">
        <f t="shared" si="6"/>
        <v>2</v>
      </c>
      <c r="X6" s="8">
        <f t="shared" si="7"/>
        <v>136.44999999999999</v>
      </c>
    </row>
    <row r="7" spans="1:24" x14ac:dyDescent="0.25">
      <c r="A7" s="2" t="s">
        <v>33</v>
      </c>
      <c r="B7" s="2" t="s">
        <v>1102</v>
      </c>
      <c r="C7" s="2" t="s">
        <v>1103</v>
      </c>
      <c r="D7" s="2" t="s">
        <v>50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107.26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0</v>
      </c>
      <c r="W7" s="2">
        <f t="shared" si="6"/>
        <v>1</v>
      </c>
      <c r="X7" s="8">
        <f t="shared" si="7"/>
        <v>37.46</v>
      </c>
    </row>
    <row r="8" spans="1:24" x14ac:dyDescent="0.25">
      <c r="A8" s="2" t="s">
        <v>53</v>
      </c>
      <c r="B8" s="2" t="s">
        <v>1104</v>
      </c>
      <c r="C8" s="2" t="s">
        <v>1105</v>
      </c>
      <c r="D8" s="2" t="s">
        <v>46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18</v>
      </c>
      <c r="K8" s="2">
        <v>1</v>
      </c>
      <c r="L8" s="8">
        <v>114.51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33</v>
      </c>
      <c r="W8" s="2">
        <f t="shared" si="6"/>
        <v>2</v>
      </c>
      <c r="X8" s="8">
        <f t="shared" si="7"/>
        <v>168.55</v>
      </c>
    </row>
    <row r="9" spans="1:24" x14ac:dyDescent="0.25">
      <c r="A9" s="2" t="s">
        <v>41</v>
      </c>
      <c r="B9" s="2" t="s">
        <v>1106</v>
      </c>
      <c r="C9" s="2" t="s">
        <v>1107</v>
      </c>
      <c r="D9" s="2" t="s">
        <v>60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15</v>
      </c>
      <c r="K9" s="2">
        <v>1</v>
      </c>
      <c r="L9" s="8">
        <v>168.55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3</v>
      </c>
      <c r="S9" s="2">
        <f t="shared" si="2"/>
        <v>0</v>
      </c>
      <c r="T9" s="2">
        <f t="shared" si="3"/>
        <v>1</v>
      </c>
      <c r="U9" s="2">
        <f t="shared" si="4"/>
        <v>1</v>
      </c>
      <c r="V9" s="8">
        <f t="shared" si="5"/>
        <v>34</v>
      </c>
      <c r="W9" s="2">
        <f t="shared" si="6"/>
        <v>2</v>
      </c>
      <c r="X9" s="8">
        <f t="shared" si="7"/>
        <v>151.15</v>
      </c>
    </row>
    <row r="10" spans="1:24" x14ac:dyDescent="0.25">
      <c r="A10" s="2" t="s">
        <v>35</v>
      </c>
      <c r="B10" s="2" t="s">
        <v>1108</v>
      </c>
      <c r="C10" s="2" t="s">
        <v>1109</v>
      </c>
      <c r="D10" s="2" t="s">
        <v>69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0</v>
      </c>
      <c r="L10" s="8">
        <v>155.33000000000001</v>
      </c>
      <c r="M10" s="2" t="s">
        <v>78</v>
      </c>
      <c r="P10" s="2" t="str">
        <f>Setup!$A$10</f>
        <v>Expert 07</v>
      </c>
      <c r="Q10" s="2">
        <f t="shared" si="0"/>
        <v>3</v>
      </c>
      <c r="R10" s="2">
        <f t="shared" si="1"/>
        <v>0</v>
      </c>
      <c r="S10" s="2">
        <f t="shared" si="2"/>
        <v>0</v>
      </c>
      <c r="T10" s="2">
        <f t="shared" si="3"/>
        <v>1</v>
      </c>
      <c r="U10" s="2">
        <f t="shared" si="4"/>
        <v>0</v>
      </c>
      <c r="V10" s="8">
        <f t="shared" si="5"/>
        <v>24</v>
      </c>
      <c r="W10" s="2">
        <f t="shared" si="6"/>
        <v>3</v>
      </c>
      <c r="X10" s="8">
        <f t="shared" si="7"/>
        <v>222.76</v>
      </c>
    </row>
    <row r="11" spans="1:24" x14ac:dyDescent="0.25">
      <c r="A11" s="2" t="s">
        <v>55</v>
      </c>
      <c r="B11" s="2" t="s">
        <v>1110</v>
      </c>
      <c r="C11" s="2" t="s">
        <v>1111</v>
      </c>
      <c r="D11" s="2" t="s">
        <v>68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18</v>
      </c>
      <c r="K11" s="2">
        <v>1</v>
      </c>
      <c r="L11" s="8">
        <v>167.99</v>
      </c>
      <c r="M11" s="2" t="s">
        <v>78</v>
      </c>
      <c r="P11" s="2" t="str">
        <f>Setup!$A$11</f>
        <v>Expert 08</v>
      </c>
      <c r="Q11" s="2">
        <f t="shared" si="0"/>
        <v>2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24</v>
      </c>
      <c r="W11" s="2">
        <f t="shared" si="6"/>
        <v>2</v>
      </c>
      <c r="X11" s="8">
        <f t="shared" si="7"/>
        <v>164.86</v>
      </c>
    </row>
    <row r="12" spans="1:24" x14ac:dyDescent="0.25">
      <c r="A12" s="2" t="s">
        <v>45</v>
      </c>
      <c r="B12" s="2" t="s">
        <v>1112</v>
      </c>
      <c r="C12" s="2" t="s">
        <v>1113</v>
      </c>
      <c r="D12" s="2" t="s">
        <v>61</v>
      </c>
      <c r="E12" s="2">
        <v>1</v>
      </c>
      <c r="F12" s="2">
        <v>0</v>
      </c>
      <c r="G12" s="2">
        <v>0</v>
      </c>
      <c r="H12" s="2">
        <v>1</v>
      </c>
      <c r="I12" s="2">
        <v>0</v>
      </c>
      <c r="J12" s="8">
        <v>0</v>
      </c>
      <c r="K12" s="2">
        <v>1</v>
      </c>
      <c r="L12" s="8">
        <v>73.61</v>
      </c>
      <c r="M12" s="2" t="s">
        <v>78</v>
      </c>
      <c r="P12" s="2" t="str">
        <f>Setup!$A$12</f>
        <v>Expert 09</v>
      </c>
      <c r="Q12" s="2">
        <f t="shared" si="0"/>
        <v>2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2</v>
      </c>
      <c r="X12" s="8">
        <f t="shared" si="7"/>
        <v>170.78</v>
      </c>
    </row>
    <row r="13" spans="1:24" x14ac:dyDescent="0.25">
      <c r="A13" s="2" t="s">
        <v>53</v>
      </c>
      <c r="B13" s="2" t="s">
        <v>1114</v>
      </c>
      <c r="C13" s="2" t="s">
        <v>1115</v>
      </c>
      <c r="D13" s="2" t="s">
        <v>44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16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2</v>
      </c>
      <c r="R13" s="2">
        <f t="shared" si="1"/>
        <v>2</v>
      </c>
      <c r="S13" s="2">
        <f t="shared" si="2"/>
        <v>0</v>
      </c>
      <c r="T13" s="2">
        <f t="shared" si="3"/>
        <v>1</v>
      </c>
      <c r="U13" s="2">
        <f t="shared" si="4"/>
        <v>0</v>
      </c>
      <c r="V13" s="8">
        <f t="shared" si="5"/>
        <v>15</v>
      </c>
      <c r="W13" s="2">
        <f t="shared" si="6"/>
        <v>3</v>
      </c>
      <c r="X13" s="8">
        <f t="shared" si="7"/>
        <v>300.07</v>
      </c>
    </row>
    <row r="14" spans="1:24" x14ac:dyDescent="0.25">
      <c r="A14" s="2" t="s">
        <v>55</v>
      </c>
      <c r="B14" s="2" t="s">
        <v>1116</v>
      </c>
      <c r="C14" s="2" t="s">
        <v>1117</v>
      </c>
      <c r="D14" s="2" t="s">
        <v>62</v>
      </c>
      <c r="E14" s="2">
        <v>1</v>
      </c>
      <c r="F14" s="2">
        <v>0</v>
      </c>
      <c r="G14" s="2">
        <v>0</v>
      </c>
      <c r="H14" s="2">
        <v>1</v>
      </c>
      <c r="I14" s="2">
        <v>0</v>
      </c>
      <c r="J14" s="8">
        <v>16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3</v>
      </c>
      <c r="R14" s="2">
        <f t="shared" si="1"/>
        <v>0</v>
      </c>
      <c r="S14" s="2">
        <f t="shared" si="2"/>
        <v>1</v>
      </c>
      <c r="T14" s="2">
        <f t="shared" si="3"/>
        <v>0</v>
      </c>
      <c r="U14" s="2">
        <f t="shared" si="4"/>
        <v>0</v>
      </c>
      <c r="V14" s="8">
        <f t="shared" si="5"/>
        <v>67</v>
      </c>
      <c r="W14" s="2">
        <f t="shared" si="6"/>
        <v>4</v>
      </c>
      <c r="X14" s="8">
        <f t="shared" si="7"/>
        <v>293.46000000000004</v>
      </c>
    </row>
    <row r="15" spans="1:24" x14ac:dyDescent="0.25">
      <c r="A15" s="2" t="s">
        <v>49</v>
      </c>
      <c r="B15" s="2" t="s">
        <v>1118</v>
      </c>
      <c r="C15" s="2" t="s">
        <v>1119</v>
      </c>
      <c r="D15" s="2" t="s">
        <v>64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94.7</v>
      </c>
      <c r="M15" s="2" t="s">
        <v>78</v>
      </c>
      <c r="P15" s="2" t="str">
        <f>Setup!$A$15</f>
        <v>Expert 12</v>
      </c>
      <c r="Q15" s="2">
        <f t="shared" si="0"/>
        <v>3</v>
      </c>
      <c r="R15" s="2">
        <f t="shared" si="1"/>
        <v>0</v>
      </c>
      <c r="S15" s="2">
        <f t="shared" si="2"/>
        <v>0</v>
      </c>
      <c r="T15" s="2">
        <f t="shared" si="3"/>
        <v>1</v>
      </c>
      <c r="U15" s="2">
        <f t="shared" si="4"/>
        <v>0</v>
      </c>
      <c r="V15" s="8">
        <f t="shared" si="5"/>
        <v>58</v>
      </c>
      <c r="W15" s="2">
        <f t="shared" si="6"/>
        <v>3</v>
      </c>
      <c r="X15" s="8">
        <f t="shared" si="7"/>
        <v>264.73</v>
      </c>
    </row>
    <row r="16" spans="1:24" x14ac:dyDescent="0.25">
      <c r="A16" s="2" t="s">
        <v>43</v>
      </c>
      <c r="B16" s="2" t="s">
        <v>1120</v>
      </c>
      <c r="C16" s="2" t="s">
        <v>1121</v>
      </c>
      <c r="D16" s="2" t="s">
        <v>54</v>
      </c>
      <c r="E16" s="2">
        <v>0</v>
      </c>
      <c r="F16" s="2">
        <v>1</v>
      </c>
      <c r="G16" s="2">
        <v>0</v>
      </c>
      <c r="H16" s="2">
        <v>1</v>
      </c>
      <c r="I16" s="2">
        <v>0</v>
      </c>
      <c r="J16" s="8">
        <v>18</v>
      </c>
      <c r="K16" s="2">
        <v>1</v>
      </c>
      <c r="L16" s="8">
        <v>117.87</v>
      </c>
      <c r="M16" s="2" t="s">
        <v>78</v>
      </c>
      <c r="P16" s="9" t="s">
        <v>103</v>
      </c>
      <c r="Q16" s="10">
        <f t="shared" ref="Q16:X16" si="8">SUM(Q4:Q15)</f>
        <v>20</v>
      </c>
      <c r="R16" s="10">
        <f t="shared" si="8"/>
        <v>6</v>
      </c>
      <c r="S16" s="10">
        <f t="shared" si="8"/>
        <v>2</v>
      </c>
      <c r="T16" s="10">
        <f t="shared" si="8"/>
        <v>4</v>
      </c>
      <c r="U16" s="10">
        <f t="shared" si="8"/>
        <v>3</v>
      </c>
      <c r="V16" s="11">
        <f t="shared" si="8"/>
        <v>353</v>
      </c>
      <c r="W16" s="10">
        <f t="shared" si="8"/>
        <v>27</v>
      </c>
      <c r="X16" s="11">
        <f t="shared" si="8"/>
        <v>2489.15</v>
      </c>
    </row>
    <row r="17" spans="1:13" x14ac:dyDescent="0.25">
      <c r="A17" s="2" t="s">
        <v>33</v>
      </c>
      <c r="B17" s="2" t="s">
        <v>1122</v>
      </c>
      <c r="C17" s="2" t="s">
        <v>1123</v>
      </c>
      <c r="D17" s="2" t="s">
        <v>48</v>
      </c>
      <c r="E17" s="2">
        <v>1</v>
      </c>
      <c r="F17" s="2">
        <v>0</v>
      </c>
      <c r="G17" s="2">
        <v>1</v>
      </c>
      <c r="H17" s="2">
        <v>0</v>
      </c>
      <c r="I17" s="2">
        <v>0</v>
      </c>
      <c r="J17" s="8">
        <v>33</v>
      </c>
      <c r="K17" s="2">
        <v>1</v>
      </c>
      <c r="L17" s="8">
        <v>105.44</v>
      </c>
      <c r="M17" s="2" t="s">
        <v>78</v>
      </c>
    </row>
    <row r="18" spans="1:13" x14ac:dyDescent="0.25">
      <c r="A18" s="2" t="s">
        <v>53</v>
      </c>
      <c r="B18" s="2" t="s">
        <v>1124</v>
      </c>
      <c r="C18" s="2" t="s">
        <v>1125</v>
      </c>
      <c r="D18" s="2" t="s">
        <v>52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8">
        <v>33</v>
      </c>
      <c r="K18" s="2">
        <v>1</v>
      </c>
      <c r="L18" s="8">
        <v>83.98</v>
      </c>
      <c r="M18" s="2" t="s">
        <v>78</v>
      </c>
    </row>
    <row r="19" spans="1:13" x14ac:dyDescent="0.25">
      <c r="A19" s="2" t="s">
        <v>43</v>
      </c>
      <c r="B19" s="2" t="s">
        <v>1126</v>
      </c>
      <c r="C19" s="2" t="s">
        <v>1127</v>
      </c>
      <c r="D19" s="2" t="s">
        <v>34</v>
      </c>
      <c r="E19" s="2">
        <v>0</v>
      </c>
      <c r="F19" s="2">
        <v>1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55</v>
      </c>
      <c r="B20" s="2" t="s">
        <v>1128</v>
      </c>
      <c r="C20" s="2" t="s">
        <v>1129</v>
      </c>
      <c r="D20" s="2" t="s">
        <v>67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24</v>
      </c>
      <c r="K20" s="2">
        <v>0</v>
      </c>
      <c r="L20" s="8">
        <v>0</v>
      </c>
      <c r="M20" s="2" t="s">
        <v>78</v>
      </c>
    </row>
    <row r="21" spans="1:13" x14ac:dyDescent="0.25">
      <c r="A21" s="2" t="s">
        <v>41</v>
      </c>
      <c r="B21" s="2" t="s">
        <v>1130</v>
      </c>
      <c r="C21" s="2" t="s">
        <v>1131</v>
      </c>
      <c r="D21" s="2" t="s">
        <v>40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18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33</v>
      </c>
      <c r="B22" s="2" t="s">
        <v>1132</v>
      </c>
      <c r="C22" s="2" t="s">
        <v>1133</v>
      </c>
      <c r="D22" s="2" t="s">
        <v>66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8">
        <v>33</v>
      </c>
      <c r="K22" s="2">
        <v>0</v>
      </c>
      <c r="L22" s="8">
        <v>169.53</v>
      </c>
      <c r="M22" s="2" t="s">
        <v>78</v>
      </c>
    </row>
    <row r="23" spans="1:13" x14ac:dyDescent="0.25">
      <c r="A23" s="2" t="s">
        <v>51</v>
      </c>
      <c r="B23" s="2" t="s">
        <v>1134</v>
      </c>
      <c r="C23" s="2" t="s">
        <v>1135</v>
      </c>
      <c r="D23" s="2" t="s">
        <v>40</v>
      </c>
      <c r="E23" s="2">
        <v>0</v>
      </c>
      <c r="F23" s="2">
        <v>1</v>
      </c>
      <c r="G23" s="2">
        <v>0</v>
      </c>
      <c r="H23" s="2">
        <v>1</v>
      </c>
      <c r="I23" s="2">
        <v>0</v>
      </c>
      <c r="J23" s="8">
        <v>0</v>
      </c>
      <c r="K23" s="2">
        <v>1</v>
      </c>
      <c r="L23" s="8">
        <v>131.55000000000001</v>
      </c>
      <c r="M23" s="2" t="s">
        <v>78</v>
      </c>
    </row>
    <row r="24" spans="1:13" x14ac:dyDescent="0.25">
      <c r="A24" s="2" t="s">
        <v>37</v>
      </c>
      <c r="B24" s="2" t="s">
        <v>1136</v>
      </c>
      <c r="C24" s="2" t="s">
        <v>1137</v>
      </c>
      <c r="D24" s="2" t="s">
        <v>66</v>
      </c>
      <c r="E24" s="2">
        <v>0</v>
      </c>
      <c r="F24" s="2">
        <v>0</v>
      </c>
      <c r="G24" s="2">
        <v>0</v>
      </c>
      <c r="H24" s="2">
        <v>0</v>
      </c>
      <c r="I24" s="2">
        <v>1</v>
      </c>
      <c r="J24" s="8">
        <v>16</v>
      </c>
      <c r="K24" s="2">
        <v>0</v>
      </c>
      <c r="L24" s="8">
        <v>136.44999999999999</v>
      </c>
      <c r="M24" s="2" t="s">
        <v>78</v>
      </c>
    </row>
    <row r="25" spans="1:13" x14ac:dyDescent="0.25">
      <c r="A25" s="2" t="s">
        <v>37</v>
      </c>
      <c r="B25" s="2" t="s">
        <v>1138</v>
      </c>
      <c r="C25" s="2" t="s">
        <v>1139</v>
      </c>
      <c r="D25" s="2" t="s">
        <v>56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16</v>
      </c>
      <c r="K25" s="2">
        <v>1</v>
      </c>
      <c r="L25" s="8">
        <v>0</v>
      </c>
      <c r="M25" s="2" t="s">
        <v>78</v>
      </c>
    </row>
    <row r="26" spans="1:13" x14ac:dyDescent="0.25">
      <c r="A26" s="2" t="s">
        <v>39</v>
      </c>
      <c r="B26" s="2" t="s">
        <v>1140</v>
      </c>
      <c r="C26" s="2" t="s">
        <v>1141</v>
      </c>
      <c r="D26" s="2" t="s">
        <v>40</v>
      </c>
      <c r="E26" s="2">
        <v>0</v>
      </c>
      <c r="F26" s="2">
        <v>1</v>
      </c>
      <c r="G26" s="2">
        <v>0</v>
      </c>
      <c r="H26" s="2">
        <v>0</v>
      </c>
      <c r="I26" s="2">
        <v>0</v>
      </c>
      <c r="J26" s="8">
        <v>0</v>
      </c>
      <c r="K26" s="2">
        <v>1</v>
      </c>
      <c r="L26" s="8">
        <v>37.46</v>
      </c>
      <c r="M26" s="2" t="s">
        <v>78</v>
      </c>
    </row>
    <row r="27" spans="1:13" x14ac:dyDescent="0.25">
      <c r="A27" s="2" t="s">
        <v>43</v>
      </c>
      <c r="B27" s="2" t="s">
        <v>1142</v>
      </c>
      <c r="C27" s="2" t="s">
        <v>1143</v>
      </c>
      <c r="D27" s="2" t="s">
        <v>66</v>
      </c>
      <c r="E27" s="2">
        <v>0</v>
      </c>
      <c r="F27" s="2">
        <v>1</v>
      </c>
      <c r="G27" s="2">
        <v>0</v>
      </c>
      <c r="H27" s="2">
        <v>0</v>
      </c>
      <c r="I27" s="2">
        <v>1</v>
      </c>
      <c r="J27" s="8">
        <v>16</v>
      </c>
      <c r="K27" s="2">
        <v>0</v>
      </c>
      <c r="L27" s="8">
        <v>33.28</v>
      </c>
      <c r="M27" s="2" t="s">
        <v>78</v>
      </c>
    </row>
    <row r="28" spans="1:13" x14ac:dyDescent="0.25">
      <c r="A28" s="2" t="s">
        <v>55</v>
      </c>
      <c r="B28" s="2" t="s">
        <v>1144</v>
      </c>
      <c r="C28" s="2" t="s">
        <v>1145</v>
      </c>
      <c r="D28" s="2" t="s">
        <v>42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96.74</v>
      </c>
      <c r="M28" s="2" t="s">
        <v>78</v>
      </c>
    </row>
    <row r="29" spans="1:13" x14ac:dyDescent="0.25">
      <c r="A29" s="2" t="s">
        <v>51</v>
      </c>
      <c r="B29" s="2" t="s">
        <v>1146</v>
      </c>
      <c r="C29" s="2" t="s">
        <v>1147</v>
      </c>
      <c r="D29" s="2" t="s">
        <v>36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0</v>
      </c>
      <c r="M29" s="2" t="s">
        <v>78</v>
      </c>
    </row>
    <row r="30" spans="1:13" x14ac:dyDescent="0.25">
      <c r="A30" s="2" t="s">
        <v>51</v>
      </c>
      <c r="B30" s="2" t="s">
        <v>1148</v>
      </c>
      <c r="C30" s="2" t="s">
        <v>1149</v>
      </c>
      <c r="D30" s="2" t="s">
        <v>67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15</v>
      </c>
      <c r="K30" s="2">
        <v>0</v>
      </c>
      <c r="L30" s="8">
        <v>50.17</v>
      </c>
      <c r="M30" s="2" t="s">
        <v>118</v>
      </c>
    </row>
    <row r="31" spans="1:13" x14ac:dyDescent="0.25">
      <c r="A31" s="2" t="s">
        <v>47</v>
      </c>
      <c r="B31" s="2" t="s">
        <v>1150</v>
      </c>
      <c r="C31" s="2" t="s">
        <v>1151</v>
      </c>
      <c r="D31" s="2" t="s">
        <v>65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0</v>
      </c>
      <c r="K31" s="2">
        <v>1</v>
      </c>
      <c r="L31" s="8">
        <v>0</v>
      </c>
      <c r="M31" s="2" t="s">
        <v>118</v>
      </c>
    </row>
    <row r="32" spans="1:13" x14ac:dyDescent="0.25">
      <c r="A32" s="2" t="s">
        <v>53</v>
      </c>
      <c r="B32" s="2" t="s">
        <v>1152</v>
      </c>
      <c r="C32" s="2" t="s">
        <v>1153</v>
      </c>
      <c r="D32" s="2" t="s">
        <v>42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8">
        <v>0</v>
      </c>
      <c r="K32" s="2">
        <v>1</v>
      </c>
      <c r="L32" s="8">
        <v>94.97</v>
      </c>
      <c r="M32" s="2" t="s">
        <v>78</v>
      </c>
    </row>
    <row r="33" spans="1:13" x14ac:dyDescent="0.25">
      <c r="A33" s="2" t="s">
        <v>45</v>
      </c>
      <c r="B33" s="2" t="s">
        <v>1154</v>
      </c>
      <c r="C33" s="2" t="s">
        <v>1155</v>
      </c>
      <c r="D33" s="2" t="s">
        <v>56</v>
      </c>
      <c r="E33" s="2">
        <v>1</v>
      </c>
      <c r="F33" s="2">
        <v>0</v>
      </c>
      <c r="G33" s="2">
        <v>0</v>
      </c>
      <c r="H33" s="2">
        <v>0</v>
      </c>
      <c r="I33" s="2">
        <v>0</v>
      </c>
      <c r="J33" s="8">
        <v>0</v>
      </c>
      <c r="K33" s="2">
        <v>1</v>
      </c>
      <c r="L33" s="8">
        <v>0</v>
      </c>
      <c r="M33" s="2" t="s">
        <v>78</v>
      </c>
    </row>
    <row r="34" spans="1:13" x14ac:dyDescent="0.25">
      <c r="A34" s="2" t="s">
        <v>45</v>
      </c>
      <c r="B34" s="2" t="s">
        <v>1156</v>
      </c>
      <c r="C34" s="2" t="s">
        <v>1157</v>
      </c>
      <c r="D34" s="2" t="s">
        <v>34</v>
      </c>
      <c r="E34" s="2">
        <v>1</v>
      </c>
      <c r="F34" s="2">
        <v>0</v>
      </c>
      <c r="G34" s="2">
        <v>0</v>
      </c>
      <c r="H34" s="2">
        <v>0</v>
      </c>
      <c r="I34" s="2">
        <v>0</v>
      </c>
      <c r="J34" s="8">
        <v>24</v>
      </c>
      <c r="K34" s="2">
        <v>1</v>
      </c>
      <c r="L34" s="8">
        <v>149.15</v>
      </c>
      <c r="M34" s="2" t="s">
        <v>78</v>
      </c>
    </row>
    <row r="35" spans="1:13" x14ac:dyDescent="0.25">
      <c r="A35" s="2" t="s">
        <v>35</v>
      </c>
      <c r="B35" s="2" t="s">
        <v>1158</v>
      </c>
      <c r="C35" s="2" t="s">
        <v>1159</v>
      </c>
      <c r="D35" s="2" t="s">
        <v>48</v>
      </c>
      <c r="E35" s="2">
        <v>1</v>
      </c>
      <c r="F35" s="2">
        <v>0</v>
      </c>
      <c r="G35" s="2">
        <v>0</v>
      </c>
      <c r="H35" s="2">
        <v>0</v>
      </c>
      <c r="I35" s="2">
        <v>0</v>
      </c>
      <c r="J35" s="8">
        <v>0</v>
      </c>
      <c r="K35" s="2">
        <v>1</v>
      </c>
      <c r="L35" s="8">
        <v>41.32</v>
      </c>
      <c r="M35" s="2" t="s">
        <v>78</v>
      </c>
    </row>
    <row r="36" spans="1:13" x14ac:dyDescent="0.25">
      <c r="A36" s="2" t="s">
        <v>37</v>
      </c>
      <c r="B36" s="2" t="s">
        <v>1160</v>
      </c>
      <c r="C36" s="2" t="s">
        <v>1161</v>
      </c>
      <c r="D36" s="2" t="s">
        <v>58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8">
        <v>0</v>
      </c>
      <c r="K36" s="2">
        <v>1</v>
      </c>
      <c r="L36" s="8">
        <v>0</v>
      </c>
      <c r="M36" s="2" t="s">
        <v>78</v>
      </c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1162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45</v>
      </c>
      <c r="B4" s="2" t="s">
        <v>1163</v>
      </c>
      <c r="C4" s="2" t="s">
        <v>1164</v>
      </c>
      <c r="D4" s="2" t="s">
        <v>58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16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1</v>
      </c>
      <c r="X4" s="8">
        <f t="shared" ref="X4:X15" si="7">SUMIF($A$4:$A$43,$P4,L$4:L$43)</f>
        <v>105.51</v>
      </c>
    </row>
    <row r="5" spans="1:24" x14ac:dyDescent="0.25">
      <c r="A5" s="2" t="s">
        <v>37</v>
      </c>
      <c r="B5" s="2" t="s">
        <v>1165</v>
      </c>
      <c r="C5" s="2" t="s">
        <v>1166</v>
      </c>
      <c r="D5" s="2" t="s">
        <v>50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1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2</v>
      </c>
      <c r="X5" s="8">
        <f t="shared" si="7"/>
        <v>83.04</v>
      </c>
    </row>
    <row r="6" spans="1:24" x14ac:dyDescent="0.25">
      <c r="A6" s="2" t="s">
        <v>51</v>
      </c>
      <c r="B6" s="2" t="s">
        <v>1167</v>
      </c>
      <c r="C6" s="2" t="s">
        <v>1168</v>
      </c>
      <c r="D6" s="2" t="s">
        <v>56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18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24</v>
      </c>
      <c r="W6" s="2">
        <f t="shared" si="6"/>
        <v>3</v>
      </c>
      <c r="X6" s="8">
        <f t="shared" si="7"/>
        <v>158.07</v>
      </c>
    </row>
    <row r="7" spans="1:24" x14ac:dyDescent="0.25">
      <c r="A7" s="2" t="s">
        <v>41</v>
      </c>
      <c r="B7" s="2" t="s">
        <v>1169</v>
      </c>
      <c r="C7" s="2" t="s">
        <v>1170</v>
      </c>
      <c r="D7" s="2" t="s">
        <v>63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8">
        <v>33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33</v>
      </c>
      <c r="W7" s="2">
        <f t="shared" si="6"/>
        <v>1</v>
      </c>
      <c r="X7" s="8">
        <f t="shared" si="7"/>
        <v>32.700000000000003</v>
      </c>
    </row>
    <row r="8" spans="1:24" x14ac:dyDescent="0.25">
      <c r="A8" s="2" t="s">
        <v>55</v>
      </c>
      <c r="B8" s="2" t="s">
        <v>1171</v>
      </c>
      <c r="C8" s="2" t="s">
        <v>1172</v>
      </c>
      <c r="D8" s="2" t="s">
        <v>62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18</v>
      </c>
      <c r="K8" s="2">
        <v>1</v>
      </c>
      <c r="L8" s="8">
        <v>66.78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49</v>
      </c>
      <c r="W8" s="2">
        <f t="shared" si="6"/>
        <v>1</v>
      </c>
      <c r="X8" s="8">
        <f t="shared" si="7"/>
        <v>6.26</v>
      </c>
    </row>
    <row r="9" spans="1:24" x14ac:dyDescent="0.25">
      <c r="A9" s="2" t="s">
        <v>51</v>
      </c>
      <c r="B9" s="2" t="s">
        <v>1173</v>
      </c>
      <c r="C9" s="2" t="s">
        <v>1174</v>
      </c>
      <c r="D9" s="2" t="s">
        <v>66</v>
      </c>
      <c r="E9" s="2">
        <v>0</v>
      </c>
      <c r="F9" s="2">
        <v>0</v>
      </c>
      <c r="G9" s="2">
        <v>0</v>
      </c>
      <c r="H9" s="2">
        <v>0</v>
      </c>
      <c r="I9" s="2">
        <v>1</v>
      </c>
      <c r="J9" s="8">
        <v>0</v>
      </c>
      <c r="K9" s="2">
        <v>0</v>
      </c>
      <c r="L9" s="8">
        <v>74.680000000000007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2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81</v>
      </c>
      <c r="W9" s="2">
        <f t="shared" si="6"/>
        <v>3</v>
      </c>
      <c r="X9" s="8">
        <f t="shared" si="7"/>
        <v>127.18</v>
      </c>
    </row>
    <row r="10" spans="1:24" x14ac:dyDescent="0.25">
      <c r="A10" s="2" t="s">
        <v>53</v>
      </c>
      <c r="B10" s="2" t="s">
        <v>1175</v>
      </c>
      <c r="C10" s="2" t="s">
        <v>1176</v>
      </c>
      <c r="D10" s="2" t="s">
        <v>34</v>
      </c>
      <c r="E10" s="2">
        <v>1</v>
      </c>
      <c r="F10" s="2">
        <v>0</v>
      </c>
      <c r="G10" s="2">
        <v>0</v>
      </c>
      <c r="H10" s="2">
        <v>1</v>
      </c>
      <c r="I10" s="2">
        <v>0</v>
      </c>
      <c r="J10" s="8">
        <v>0</v>
      </c>
      <c r="K10" s="2">
        <v>1</v>
      </c>
      <c r="L10" s="8">
        <v>101.8</v>
      </c>
      <c r="M10" s="2" t="s">
        <v>78</v>
      </c>
      <c r="P10" s="2" t="str">
        <f>Setup!$A$10</f>
        <v>Expert 07</v>
      </c>
      <c r="Q10" s="2">
        <f t="shared" si="0"/>
        <v>2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16</v>
      </c>
      <c r="W10" s="2">
        <f t="shared" si="6"/>
        <v>3</v>
      </c>
      <c r="X10" s="8">
        <f t="shared" si="7"/>
        <v>0</v>
      </c>
    </row>
    <row r="11" spans="1:24" x14ac:dyDescent="0.25">
      <c r="A11" s="2" t="s">
        <v>53</v>
      </c>
      <c r="B11" s="2" t="s">
        <v>1177</v>
      </c>
      <c r="C11" s="2" t="s">
        <v>1178</v>
      </c>
      <c r="D11" s="2" t="s">
        <v>36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1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2</v>
      </c>
      <c r="X11" s="8">
        <f t="shared" si="7"/>
        <v>54.95</v>
      </c>
    </row>
    <row r="12" spans="1:24" x14ac:dyDescent="0.25">
      <c r="A12" s="2" t="s">
        <v>51</v>
      </c>
      <c r="B12" s="2" t="s">
        <v>1179</v>
      </c>
      <c r="C12" s="2" t="s">
        <v>1180</v>
      </c>
      <c r="D12" s="2" t="s">
        <v>34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71.59</v>
      </c>
      <c r="M12" s="2" t="s">
        <v>118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1</v>
      </c>
      <c r="U12" s="2">
        <f t="shared" si="4"/>
        <v>0</v>
      </c>
      <c r="V12" s="8">
        <f t="shared" si="5"/>
        <v>16</v>
      </c>
      <c r="W12" s="2">
        <f t="shared" si="6"/>
        <v>1</v>
      </c>
      <c r="X12" s="8">
        <f t="shared" si="7"/>
        <v>0</v>
      </c>
    </row>
    <row r="13" spans="1:24" x14ac:dyDescent="0.25">
      <c r="A13" s="2" t="s">
        <v>47</v>
      </c>
      <c r="B13" s="2" t="s">
        <v>1181</v>
      </c>
      <c r="C13" s="2" t="s">
        <v>1182</v>
      </c>
      <c r="D13" s="2" t="s">
        <v>63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54.95</v>
      </c>
      <c r="M13" s="2" t="s">
        <v>78</v>
      </c>
      <c r="P13" s="2" t="str">
        <f>Setup!$A$13</f>
        <v>Expert 10</v>
      </c>
      <c r="Q13" s="2">
        <f t="shared" si="0"/>
        <v>5</v>
      </c>
      <c r="R13" s="2">
        <f t="shared" si="1"/>
        <v>0</v>
      </c>
      <c r="S13" s="2">
        <f t="shared" si="2"/>
        <v>2</v>
      </c>
      <c r="T13" s="2">
        <f t="shared" si="3"/>
        <v>0</v>
      </c>
      <c r="U13" s="2">
        <f t="shared" si="4"/>
        <v>1</v>
      </c>
      <c r="V13" s="8">
        <f t="shared" si="5"/>
        <v>49</v>
      </c>
      <c r="W13" s="2">
        <f t="shared" si="6"/>
        <v>6</v>
      </c>
      <c r="X13" s="8">
        <f t="shared" si="7"/>
        <v>298.59000000000003</v>
      </c>
    </row>
    <row r="14" spans="1:24" x14ac:dyDescent="0.25">
      <c r="A14" s="2" t="s">
        <v>51</v>
      </c>
      <c r="B14" s="2" t="s">
        <v>1183</v>
      </c>
      <c r="C14" s="2" t="s">
        <v>1184</v>
      </c>
      <c r="D14" s="2" t="s">
        <v>34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1</v>
      </c>
      <c r="S14" s="2">
        <f t="shared" si="2"/>
        <v>0</v>
      </c>
      <c r="T14" s="2">
        <f t="shared" si="3"/>
        <v>1</v>
      </c>
      <c r="U14" s="2">
        <f t="shared" si="4"/>
        <v>0</v>
      </c>
      <c r="V14" s="8">
        <f t="shared" si="5"/>
        <v>24</v>
      </c>
      <c r="W14" s="2">
        <f t="shared" si="6"/>
        <v>3</v>
      </c>
      <c r="X14" s="8">
        <f t="shared" si="7"/>
        <v>264.61</v>
      </c>
    </row>
    <row r="15" spans="1:24" x14ac:dyDescent="0.25">
      <c r="A15" s="2" t="s">
        <v>47</v>
      </c>
      <c r="B15" s="2" t="s">
        <v>1185</v>
      </c>
      <c r="C15" s="2" t="s">
        <v>1186</v>
      </c>
      <c r="D15" s="2" t="s">
        <v>56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18</v>
      </c>
      <c r="W15" s="2">
        <f t="shared" si="6"/>
        <v>1</v>
      </c>
      <c r="X15" s="8">
        <f t="shared" si="7"/>
        <v>66.78</v>
      </c>
    </row>
    <row r="16" spans="1:24" x14ac:dyDescent="0.25">
      <c r="A16" s="2" t="s">
        <v>49</v>
      </c>
      <c r="B16" s="2" t="s">
        <v>1187</v>
      </c>
      <c r="C16" s="2" t="s">
        <v>1188</v>
      </c>
      <c r="D16" s="2" t="s">
        <v>63</v>
      </c>
      <c r="E16" s="2">
        <v>1</v>
      </c>
      <c r="F16" s="2">
        <v>0</v>
      </c>
      <c r="G16" s="2">
        <v>0</v>
      </c>
      <c r="H16" s="2">
        <v>1</v>
      </c>
      <c r="I16" s="2">
        <v>0</v>
      </c>
      <c r="J16" s="8">
        <v>16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5</v>
      </c>
      <c r="S16" s="10">
        <f t="shared" si="8"/>
        <v>2</v>
      </c>
      <c r="T16" s="10">
        <f t="shared" si="8"/>
        <v>2</v>
      </c>
      <c r="U16" s="10">
        <f t="shared" si="8"/>
        <v>1</v>
      </c>
      <c r="V16" s="11">
        <f t="shared" si="8"/>
        <v>310</v>
      </c>
      <c r="W16" s="10">
        <f t="shared" si="8"/>
        <v>27</v>
      </c>
      <c r="X16" s="11">
        <f t="shared" si="8"/>
        <v>1197.69</v>
      </c>
    </row>
    <row r="17" spans="1:13" x14ac:dyDescent="0.25">
      <c r="A17" s="2" t="s">
        <v>37</v>
      </c>
      <c r="B17" s="2" t="s">
        <v>1189</v>
      </c>
      <c r="C17" s="2" t="s">
        <v>1190</v>
      </c>
      <c r="D17" s="2" t="s">
        <v>61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158.07</v>
      </c>
      <c r="M17" s="2" t="s">
        <v>78</v>
      </c>
    </row>
    <row r="18" spans="1:13" x14ac:dyDescent="0.25">
      <c r="A18" s="2" t="s">
        <v>51</v>
      </c>
      <c r="B18" s="2" t="s">
        <v>1191</v>
      </c>
      <c r="C18" s="2" t="s">
        <v>1192</v>
      </c>
      <c r="D18" s="2" t="s">
        <v>67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0</v>
      </c>
      <c r="L18" s="8">
        <v>107.51</v>
      </c>
      <c r="M18" s="2" t="s">
        <v>78</v>
      </c>
    </row>
    <row r="19" spans="1:13" x14ac:dyDescent="0.25">
      <c r="A19" s="2" t="s">
        <v>35</v>
      </c>
      <c r="B19" s="2" t="s">
        <v>1193</v>
      </c>
      <c r="C19" s="2" t="s">
        <v>1194</v>
      </c>
      <c r="D19" s="2" t="s">
        <v>50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83.04</v>
      </c>
      <c r="M19" s="2" t="s">
        <v>78</v>
      </c>
    </row>
    <row r="20" spans="1:13" x14ac:dyDescent="0.25">
      <c r="A20" s="2" t="s">
        <v>53</v>
      </c>
      <c r="B20" s="2" t="s">
        <v>1195</v>
      </c>
      <c r="C20" s="2" t="s">
        <v>1196</v>
      </c>
      <c r="D20" s="2" t="s">
        <v>34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24</v>
      </c>
      <c r="K20" s="2">
        <v>1</v>
      </c>
      <c r="L20" s="8">
        <v>162.81</v>
      </c>
      <c r="M20" s="2" t="s">
        <v>78</v>
      </c>
    </row>
    <row r="21" spans="1:13" x14ac:dyDescent="0.25">
      <c r="A21" s="2" t="s">
        <v>35</v>
      </c>
      <c r="B21" s="2" t="s">
        <v>1197</v>
      </c>
      <c r="C21" s="2" t="s">
        <v>1198</v>
      </c>
      <c r="D21" s="2" t="s">
        <v>57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45</v>
      </c>
      <c r="B22" s="2" t="s">
        <v>1199</v>
      </c>
      <c r="C22" s="2" t="s">
        <v>1200</v>
      </c>
      <c r="D22" s="2" t="s">
        <v>65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37</v>
      </c>
      <c r="B23" s="2" t="s">
        <v>1201</v>
      </c>
      <c r="C23" s="2" t="s">
        <v>1202</v>
      </c>
      <c r="D23" s="2" t="s">
        <v>38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24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51</v>
      </c>
      <c r="B24" s="2" t="s">
        <v>1203</v>
      </c>
      <c r="C24" s="2" t="s">
        <v>1204</v>
      </c>
      <c r="D24" s="2" t="s">
        <v>58</v>
      </c>
      <c r="E24" s="2">
        <v>1</v>
      </c>
      <c r="F24" s="2">
        <v>0</v>
      </c>
      <c r="G24" s="2">
        <v>1</v>
      </c>
      <c r="H24" s="2">
        <v>0</v>
      </c>
      <c r="I24" s="2">
        <v>0</v>
      </c>
      <c r="J24" s="8">
        <v>0</v>
      </c>
      <c r="K24" s="2">
        <v>1</v>
      </c>
      <c r="L24" s="8">
        <v>37.5</v>
      </c>
      <c r="M24" s="2" t="s">
        <v>78</v>
      </c>
    </row>
    <row r="25" spans="1:13" x14ac:dyDescent="0.25">
      <c r="A25" s="2" t="s">
        <v>39</v>
      </c>
      <c r="B25" s="2" t="s">
        <v>1205</v>
      </c>
      <c r="C25" s="2" t="s">
        <v>1206</v>
      </c>
      <c r="D25" s="2" t="s">
        <v>54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33</v>
      </c>
      <c r="K25" s="2">
        <v>1</v>
      </c>
      <c r="L25" s="8">
        <v>32.700000000000003</v>
      </c>
      <c r="M25" s="2" t="s">
        <v>78</v>
      </c>
    </row>
    <row r="26" spans="1:13" x14ac:dyDescent="0.25">
      <c r="A26" s="2" t="s">
        <v>43</v>
      </c>
      <c r="B26" s="2" t="s">
        <v>1207</v>
      </c>
      <c r="C26" s="2" t="s">
        <v>1208</v>
      </c>
      <c r="D26" s="2" t="s">
        <v>65</v>
      </c>
      <c r="E26" s="2">
        <v>0</v>
      </c>
      <c r="F26" s="2">
        <v>1</v>
      </c>
      <c r="G26" s="2">
        <v>0</v>
      </c>
      <c r="H26" s="2">
        <v>0</v>
      </c>
      <c r="I26" s="2">
        <v>0</v>
      </c>
      <c r="J26" s="8">
        <v>33</v>
      </c>
      <c r="K26" s="2">
        <v>1</v>
      </c>
      <c r="L26" s="8">
        <v>71.33</v>
      </c>
      <c r="M26" s="2" t="s">
        <v>118</v>
      </c>
    </row>
    <row r="27" spans="1:13" x14ac:dyDescent="0.25">
      <c r="A27" s="2" t="s">
        <v>51</v>
      </c>
      <c r="B27" s="2" t="s">
        <v>1209</v>
      </c>
      <c r="C27" s="2" t="s">
        <v>1210</v>
      </c>
      <c r="D27" s="2" t="s">
        <v>54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16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45</v>
      </c>
      <c r="B28" s="2" t="s">
        <v>1211</v>
      </c>
      <c r="C28" s="2" t="s">
        <v>1212</v>
      </c>
      <c r="D28" s="2" t="s">
        <v>52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43</v>
      </c>
      <c r="B29" s="2" t="s">
        <v>1213</v>
      </c>
      <c r="C29" s="2" t="s">
        <v>1214</v>
      </c>
      <c r="D29" s="2" t="s">
        <v>54</v>
      </c>
      <c r="E29" s="2">
        <v>1</v>
      </c>
      <c r="F29" s="2">
        <v>0</v>
      </c>
      <c r="G29" s="2">
        <v>0</v>
      </c>
      <c r="H29" s="2">
        <v>0</v>
      </c>
      <c r="I29" s="2">
        <v>0</v>
      </c>
      <c r="J29" s="8">
        <v>24</v>
      </c>
      <c r="K29" s="2">
        <v>1</v>
      </c>
      <c r="L29" s="8">
        <v>0</v>
      </c>
      <c r="M29" s="2" t="s">
        <v>78</v>
      </c>
    </row>
    <row r="30" spans="1:13" x14ac:dyDescent="0.25">
      <c r="A30" s="2" t="s">
        <v>51</v>
      </c>
      <c r="B30" s="2" t="s">
        <v>1215</v>
      </c>
      <c r="C30" s="2" t="s">
        <v>1216</v>
      </c>
      <c r="D30" s="2" t="s">
        <v>52</v>
      </c>
      <c r="E30" s="2">
        <v>0</v>
      </c>
      <c r="F30" s="2">
        <v>0</v>
      </c>
      <c r="G30" s="2">
        <v>1</v>
      </c>
      <c r="H30" s="2">
        <v>0</v>
      </c>
      <c r="I30" s="2">
        <v>0</v>
      </c>
      <c r="J30" s="8">
        <v>15</v>
      </c>
      <c r="K30" s="2">
        <v>1</v>
      </c>
      <c r="L30" s="8">
        <v>7.31</v>
      </c>
      <c r="M30" s="2" t="s">
        <v>78</v>
      </c>
    </row>
    <row r="31" spans="1:13" x14ac:dyDescent="0.25">
      <c r="A31" s="2" t="s">
        <v>43</v>
      </c>
      <c r="B31" s="2" t="s">
        <v>1217</v>
      </c>
      <c r="C31" s="2" t="s">
        <v>1218</v>
      </c>
      <c r="D31" s="2" t="s">
        <v>38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8">
        <v>24</v>
      </c>
      <c r="K31" s="2">
        <v>1</v>
      </c>
      <c r="L31" s="8">
        <v>55.85</v>
      </c>
      <c r="M31" s="2" t="s">
        <v>78</v>
      </c>
    </row>
    <row r="32" spans="1:13" x14ac:dyDescent="0.25">
      <c r="A32" s="2" t="s">
        <v>33</v>
      </c>
      <c r="B32" s="2" t="s">
        <v>1219</v>
      </c>
      <c r="C32" s="2" t="s">
        <v>1220</v>
      </c>
      <c r="D32" s="2" t="s">
        <v>63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8">
        <v>0</v>
      </c>
      <c r="K32" s="2">
        <v>1</v>
      </c>
      <c r="L32" s="8">
        <v>105.51</v>
      </c>
      <c r="M32" s="2" t="s">
        <v>78</v>
      </c>
    </row>
    <row r="33" spans="1:13" x14ac:dyDescent="0.25">
      <c r="A33" s="2" t="s">
        <v>41</v>
      </c>
      <c r="B33" s="2" t="s">
        <v>1221</v>
      </c>
      <c r="C33" s="2" t="s">
        <v>1222</v>
      </c>
      <c r="D33" s="2" t="s">
        <v>69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8">
        <v>16</v>
      </c>
      <c r="K33" s="2">
        <v>0</v>
      </c>
      <c r="L33" s="8">
        <v>6.26</v>
      </c>
      <c r="M33" s="2" t="s">
        <v>78</v>
      </c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1223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53</v>
      </c>
      <c r="B4" s="2" t="s">
        <v>1224</v>
      </c>
      <c r="C4" s="2" t="s">
        <v>1225</v>
      </c>
      <c r="D4" s="2" t="s">
        <v>54</v>
      </c>
      <c r="E4" s="2">
        <v>0</v>
      </c>
      <c r="F4" s="2">
        <v>1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2</v>
      </c>
      <c r="R4" s="2">
        <f t="shared" ref="R4:R15" si="1">SUMIF($A$4:$A$43,$P4,F$4:F$43)</f>
        <v>0</v>
      </c>
      <c r="S4" s="2">
        <f t="shared" ref="S4:S15" si="2">SUMIF($A$4:$A$43,$P4,G$4:G$43)</f>
        <v>1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18</v>
      </c>
      <c r="W4" s="2">
        <f t="shared" ref="W4:W15" si="6">SUMIF($A$4:$A$43,$P4,K$4:K$43)</f>
        <v>3</v>
      </c>
      <c r="X4" s="8">
        <f t="shared" ref="X4:X15" si="7">SUMIF($A$4:$A$43,$P4,L$4:L$43)</f>
        <v>229.63</v>
      </c>
    </row>
    <row r="5" spans="1:24" x14ac:dyDescent="0.25">
      <c r="A5" s="2" t="s">
        <v>33</v>
      </c>
      <c r="B5" s="2" t="s">
        <v>1226</v>
      </c>
      <c r="C5" s="2" t="s">
        <v>1227</v>
      </c>
      <c r="D5" s="2" t="s">
        <v>56</v>
      </c>
      <c r="E5" s="2">
        <v>0</v>
      </c>
      <c r="F5" s="2">
        <v>0</v>
      </c>
      <c r="G5" s="2">
        <v>1</v>
      </c>
      <c r="H5" s="2">
        <v>0</v>
      </c>
      <c r="I5" s="2">
        <v>0</v>
      </c>
      <c r="J5" s="8">
        <v>18</v>
      </c>
      <c r="K5" s="2">
        <v>1</v>
      </c>
      <c r="L5" s="8">
        <v>94.56</v>
      </c>
      <c r="M5" s="2" t="s">
        <v>78</v>
      </c>
      <c r="P5" s="2" t="str">
        <f>Setup!$A$5</f>
        <v>Expert 02</v>
      </c>
      <c r="Q5" s="2">
        <f t="shared" si="0"/>
        <v>0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18</v>
      </c>
      <c r="W5" s="2">
        <f t="shared" si="6"/>
        <v>2</v>
      </c>
      <c r="X5" s="8">
        <f t="shared" si="7"/>
        <v>184.5</v>
      </c>
    </row>
    <row r="6" spans="1:24" x14ac:dyDescent="0.25">
      <c r="A6" s="2" t="s">
        <v>55</v>
      </c>
      <c r="B6" s="2" t="s">
        <v>1228</v>
      </c>
      <c r="C6" s="2" t="s">
        <v>1229</v>
      </c>
      <c r="D6" s="2" t="s">
        <v>57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8">
        <v>18</v>
      </c>
      <c r="K6" s="2">
        <v>1</v>
      </c>
      <c r="L6" s="8">
        <v>84.7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0</v>
      </c>
      <c r="W6" s="2">
        <f t="shared" si="6"/>
        <v>0</v>
      </c>
      <c r="X6" s="8">
        <f t="shared" si="7"/>
        <v>0</v>
      </c>
    </row>
    <row r="7" spans="1:24" x14ac:dyDescent="0.25">
      <c r="A7" s="2" t="s">
        <v>35</v>
      </c>
      <c r="B7" s="2" t="s">
        <v>1230</v>
      </c>
      <c r="C7" s="2" t="s">
        <v>1231</v>
      </c>
      <c r="D7" s="2" t="s">
        <v>69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0</v>
      </c>
      <c r="L7" s="8">
        <v>17.78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0</v>
      </c>
      <c r="W7" s="2">
        <f t="shared" si="6"/>
        <v>0</v>
      </c>
      <c r="X7" s="8">
        <f t="shared" si="7"/>
        <v>0</v>
      </c>
    </row>
    <row r="8" spans="1:24" x14ac:dyDescent="0.25">
      <c r="A8" s="2" t="s">
        <v>35</v>
      </c>
      <c r="B8" s="2" t="s">
        <v>1232</v>
      </c>
      <c r="C8" s="2" t="s">
        <v>1233</v>
      </c>
      <c r="D8" s="2" t="s">
        <v>48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166.72</v>
      </c>
      <c r="M8" s="2" t="s">
        <v>118</v>
      </c>
      <c r="P8" s="2" t="str">
        <f>Setup!$A$8</f>
        <v>Expert 05</v>
      </c>
      <c r="Q8" s="2">
        <f t="shared" si="0"/>
        <v>1</v>
      </c>
      <c r="R8" s="2">
        <f t="shared" si="1"/>
        <v>1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51</v>
      </c>
      <c r="W8" s="2">
        <f t="shared" si="6"/>
        <v>2</v>
      </c>
      <c r="X8" s="8">
        <f t="shared" si="7"/>
        <v>139.88</v>
      </c>
    </row>
    <row r="9" spans="1:24" x14ac:dyDescent="0.25">
      <c r="A9" s="2" t="s">
        <v>55</v>
      </c>
      <c r="B9" s="2" t="s">
        <v>1234</v>
      </c>
      <c r="C9" s="2" t="s">
        <v>1235</v>
      </c>
      <c r="D9" s="2" t="s">
        <v>63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160.31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33</v>
      </c>
      <c r="W9" s="2">
        <f t="shared" si="6"/>
        <v>2</v>
      </c>
      <c r="X9" s="8">
        <f t="shared" si="7"/>
        <v>0</v>
      </c>
    </row>
    <row r="10" spans="1:24" x14ac:dyDescent="0.25">
      <c r="A10" s="2" t="s">
        <v>53</v>
      </c>
      <c r="B10" s="2" t="s">
        <v>1236</v>
      </c>
      <c r="C10" s="2" t="s">
        <v>1237</v>
      </c>
      <c r="D10" s="2" t="s">
        <v>38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1</v>
      </c>
      <c r="L10" s="8">
        <v>79.25</v>
      </c>
      <c r="M10" s="2" t="s">
        <v>78</v>
      </c>
      <c r="P10" s="2" t="str">
        <f>Setup!$A$10</f>
        <v>Expert 07</v>
      </c>
      <c r="Q10" s="2">
        <f t="shared" si="0"/>
        <v>3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24</v>
      </c>
      <c r="W10" s="2">
        <f t="shared" si="6"/>
        <v>3</v>
      </c>
      <c r="X10" s="8">
        <f t="shared" si="7"/>
        <v>263.94</v>
      </c>
    </row>
    <row r="11" spans="1:24" x14ac:dyDescent="0.25">
      <c r="A11" s="2" t="s">
        <v>43</v>
      </c>
      <c r="B11" s="2" t="s">
        <v>1238</v>
      </c>
      <c r="C11" s="2" t="s">
        <v>1239</v>
      </c>
      <c r="D11" s="2" t="s">
        <v>56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8">
        <v>15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0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0</v>
      </c>
      <c r="X11" s="8">
        <f t="shared" si="7"/>
        <v>0</v>
      </c>
    </row>
    <row r="12" spans="1:24" x14ac:dyDescent="0.25">
      <c r="A12" s="2" t="s">
        <v>55</v>
      </c>
      <c r="B12" s="2" t="s">
        <v>1240</v>
      </c>
      <c r="C12" s="2" t="s">
        <v>1241</v>
      </c>
      <c r="D12" s="2" t="s">
        <v>38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33</v>
      </c>
      <c r="K12" s="2">
        <v>1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0</v>
      </c>
      <c r="X12" s="8">
        <f t="shared" si="7"/>
        <v>0</v>
      </c>
    </row>
    <row r="13" spans="1:24" x14ac:dyDescent="0.25">
      <c r="A13" s="2" t="s">
        <v>55</v>
      </c>
      <c r="B13" s="2" t="s">
        <v>1242</v>
      </c>
      <c r="C13" s="2" t="s">
        <v>1243</v>
      </c>
      <c r="D13" s="2" t="s">
        <v>60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114.49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18</v>
      </c>
      <c r="W13" s="2">
        <f t="shared" si="6"/>
        <v>1</v>
      </c>
      <c r="X13" s="8">
        <f t="shared" si="7"/>
        <v>161.5</v>
      </c>
    </row>
    <row r="14" spans="1:24" x14ac:dyDescent="0.25">
      <c r="A14" s="2" t="s">
        <v>41</v>
      </c>
      <c r="B14" s="2" t="s">
        <v>1244</v>
      </c>
      <c r="C14" s="2" t="s">
        <v>1245</v>
      </c>
      <c r="D14" s="2" t="s">
        <v>46</v>
      </c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8">
        <v>18</v>
      </c>
      <c r="K14" s="2">
        <v>1</v>
      </c>
      <c r="L14" s="8">
        <v>139.88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1</v>
      </c>
      <c r="S14" s="2">
        <f t="shared" si="2"/>
        <v>1</v>
      </c>
      <c r="T14" s="2">
        <f t="shared" si="3"/>
        <v>0</v>
      </c>
      <c r="U14" s="2">
        <f t="shared" si="4"/>
        <v>0</v>
      </c>
      <c r="V14" s="8">
        <f t="shared" si="5"/>
        <v>15</v>
      </c>
      <c r="W14" s="2">
        <f t="shared" si="6"/>
        <v>2</v>
      </c>
      <c r="X14" s="8">
        <f t="shared" si="7"/>
        <v>151.01999999999998</v>
      </c>
    </row>
    <row r="15" spans="1:24" x14ac:dyDescent="0.25">
      <c r="A15" s="2" t="s">
        <v>53</v>
      </c>
      <c r="B15" s="2" t="s">
        <v>1246</v>
      </c>
      <c r="C15" s="2" t="s">
        <v>1247</v>
      </c>
      <c r="D15" s="2" t="s">
        <v>69</v>
      </c>
      <c r="E15" s="2">
        <v>0</v>
      </c>
      <c r="F15" s="2">
        <v>0</v>
      </c>
      <c r="G15" s="2">
        <v>1</v>
      </c>
      <c r="H15" s="2">
        <v>0</v>
      </c>
      <c r="I15" s="2">
        <v>0</v>
      </c>
      <c r="J15" s="8">
        <v>0</v>
      </c>
      <c r="K15" s="2">
        <v>0</v>
      </c>
      <c r="L15" s="8">
        <v>71.77</v>
      </c>
      <c r="M15" s="2" t="s">
        <v>78</v>
      </c>
      <c r="P15" s="2" t="str">
        <f>Setup!$A$15</f>
        <v>Expert 12</v>
      </c>
      <c r="Q15" s="2">
        <f t="shared" si="0"/>
        <v>3</v>
      </c>
      <c r="R15" s="2">
        <f t="shared" si="1"/>
        <v>1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51</v>
      </c>
      <c r="W15" s="2">
        <f t="shared" si="6"/>
        <v>4</v>
      </c>
      <c r="X15" s="8">
        <f t="shared" si="7"/>
        <v>359.5</v>
      </c>
    </row>
    <row r="16" spans="1:24" x14ac:dyDescent="0.25">
      <c r="A16" s="2" t="s">
        <v>51</v>
      </c>
      <c r="B16" s="2" t="s">
        <v>1248</v>
      </c>
      <c r="C16" s="2" t="s">
        <v>1249</v>
      </c>
      <c r="D16" s="2" t="s">
        <v>34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18</v>
      </c>
      <c r="K16" s="2">
        <v>1</v>
      </c>
      <c r="L16" s="8">
        <v>161.5</v>
      </c>
      <c r="M16" s="2" t="s">
        <v>78</v>
      </c>
      <c r="P16" s="9" t="s">
        <v>103</v>
      </c>
      <c r="Q16" s="10">
        <f t="shared" ref="Q16:X16" si="8">SUM(Q4:Q15)</f>
        <v>12</v>
      </c>
      <c r="R16" s="10">
        <f t="shared" si="8"/>
        <v>4</v>
      </c>
      <c r="S16" s="10">
        <f t="shared" si="8"/>
        <v>2</v>
      </c>
      <c r="T16" s="10">
        <f t="shared" si="8"/>
        <v>0</v>
      </c>
      <c r="U16" s="10">
        <f t="shared" si="8"/>
        <v>0</v>
      </c>
      <c r="V16" s="11">
        <f t="shared" si="8"/>
        <v>228</v>
      </c>
      <c r="W16" s="10">
        <f t="shared" si="8"/>
        <v>19</v>
      </c>
      <c r="X16" s="11">
        <f t="shared" si="8"/>
        <v>1489.97</v>
      </c>
    </row>
    <row r="17" spans="1:13" x14ac:dyDescent="0.25">
      <c r="A17" s="2" t="s">
        <v>33</v>
      </c>
      <c r="B17" s="2" t="s">
        <v>1250</v>
      </c>
      <c r="C17" s="2" t="s">
        <v>1251</v>
      </c>
      <c r="D17" s="2" t="s">
        <v>63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135.07</v>
      </c>
      <c r="M17" s="2" t="s">
        <v>78</v>
      </c>
    </row>
    <row r="18" spans="1:13" x14ac:dyDescent="0.25">
      <c r="A18" s="2" t="s">
        <v>41</v>
      </c>
      <c r="B18" s="2" t="s">
        <v>1252</v>
      </c>
      <c r="C18" s="2" t="s">
        <v>1253</v>
      </c>
      <c r="D18" s="2" t="s">
        <v>34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33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45</v>
      </c>
      <c r="B19" s="2" t="s">
        <v>1254</v>
      </c>
      <c r="C19" s="2" t="s">
        <v>1255</v>
      </c>
      <c r="D19" s="2" t="s">
        <v>58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12.42</v>
      </c>
      <c r="M19" s="2" t="s">
        <v>78</v>
      </c>
    </row>
    <row r="20" spans="1:13" x14ac:dyDescent="0.25">
      <c r="A20" s="2" t="s">
        <v>45</v>
      </c>
      <c r="B20" s="2" t="s">
        <v>1256</v>
      </c>
      <c r="C20" s="2" t="s">
        <v>1257</v>
      </c>
      <c r="D20" s="2" t="s">
        <v>36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24</v>
      </c>
      <c r="K20" s="2">
        <v>1</v>
      </c>
      <c r="L20" s="8">
        <v>87.51</v>
      </c>
      <c r="M20" s="2" t="s">
        <v>78</v>
      </c>
    </row>
    <row r="21" spans="1:13" x14ac:dyDescent="0.25">
      <c r="A21" s="2" t="s">
        <v>45</v>
      </c>
      <c r="B21" s="2" t="s">
        <v>1258</v>
      </c>
      <c r="C21" s="2" t="s">
        <v>1259</v>
      </c>
      <c r="D21" s="2" t="s">
        <v>42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164.01</v>
      </c>
      <c r="M21" s="2" t="s">
        <v>78</v>
      </c>
    </row>
    <row r="22" spans="1:13" x14ac:dyDescent="0.25">
      <c r="A22" s="2" t="s">
        <v>35</v>
      </c>
      <c r="B22" s="2" t="s">
        <v>1260</v>
      </c>
      <c r="C22" s="2" t="s">
        <v>1261</v>
      </c>
      <c r="D22" s="2" t="s">
        <v>50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18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43</v>
      </c>
      <c r="B23" s="2" t="s">
        <v>1262</v>
      </c>
      <c r="C23" s="2" t="s">
        <v>1263</v>
      </c>
      <c r="D23" s="2" t="s">
        <v>61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18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33</v>
      </c>
      <c r="B24" s="2" t="s">
        <v>1264</v>
      </c>
      <c r="C24" s="2" t="s">
        <v>1265</v>
      </c>
      <c r="D24" s="2" t="s">
        <v>61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8"/>
      <c r="K25" s="2"/>
      <c r="L25" s="8"/>
      <c r="M25" s="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8"/>
      <c r="K26" s="2"/>
      <c r="L26" s="8"/>
      <c r="M26" s="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8"/>
      <c r="K27" s="2"/>
      <c r="L27" s="8"/>
      <c r="M27" s="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8"/>
      <c r="K28" s="2"/>
      <c r="L28" s="8"/>
      <c r="M28" s="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1266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39</v>
      </c>
      <c r="B4" s="2" t="s">
        <v>1267</v>
      </c>
      <c r="C4" s="2" t="s">
        <v>1268</v>
      </c>
      <c r="D4" s="2" t="s">
        <v>57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113.53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33</v>
      </c>
      <c r="W4" s="2">
        <f t="shared" ref="W4:W15" si="6">SUMIF($A$4:$A$43,$P4,K$4:K$43)</f>
        <v>1</v>
      </c>
      <c r="X4" s="8">
        <f t="shared" ref="X4:X15" si="7">SUMIF($A$4:$A$43,$P4,L$4:L$43)</f>
        <v>40.270000000000003</v>
      </c>
    </row>
    <row r="5" spans="1:24" x14ac:dyDescent="0.25">
      <c r="A5" s="2" t="s">
        <v>53</v>
      </c>
      <c r="B5" s="2" t="s">
        <v>1269</v>
      </c>
      <c r="C5" s="2" t="s">
        <v>1270</v>
      </c>
      <c r="D5" s="2" t="s">
        <v>52</v>
      </c>
      <c r="E5" s="2">
        <v>1</v>
      </c>
      <c r="F5" s="2">
        <v>0</v>
      </c>
      <c r="G5" s="2">
        <v>0</v>
      </c>
      <c r="H5" s="2">
        <v>1</v>
      </c>
      <c r="I5" s="2">
        <v>0</v>
      </c>
      <c r="J5" s="8">
        <v>24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1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24</v>
      </c>
      <c r="W5" s="2">
        <f t="shared" si="6"/>
        <v>2</v>
      </c>
      <c r="X5" s="8">
        <f t="shared" si="7"/>
        <v>0</v>
      </c>
    </row>
    <row r="6" spans="1:24" x14ac:dyDescent="0.25">
      <c r="A6" s="2" t="s">
        <v>35</v>
      </c>
      <c r="B6" s="2" t="s">
        <v>1271</v>
      </c>
      <c r="C6" s="2" t="s">
        <v>1272</v>
      </c>
      <c r="D6" s="2" t="s">
        <v>57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3</v>
      </c>
      <c r="R6" s="2">
        <f t="shared" si="1"/>
        <v>1</v>
      </c>
      <c r="S6" s="2">
        <f t="shared" si="2"/>
        <v>0</v>
      </c>
      <c r="T6" s="2">
        <f t="shared" si="3"/>
        <v>1</v>
      </c>
      <c r="U6" s="2">
        <f t="shared" si="4"/>
        <v>0</v>
      </c>
      <c r="V6" s="8">
        <f t="shared" si="5"/>
        <v>66</v>
      </c>
      <c r="W6" s="2">
        <f t="shared" si="6"/>
        <v>4</v>
      </c>
      <c r="X6" s="8">
        <f t="shared" si="7"/>
        <v>359.75</v>
      </c>
    </row>
    <row r="7" spans="1:24" x14ac:dyDescent="0.25">
      <c r="A7" s="2" t="s">
        <v>53</v>
      </c>
      <c r="B7" s="2" t="s">
        <v>1273</v>
      </c>
      <c r="C7" s="2" t="s">
        <v>1274</v>
      </c>
      <c r="D7" s="2" t="s">
        <v>40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8">
        <v>15</v>
      </c>
      <c r="K7" s="2">
        <v>1</v>
      </c>
      <c r="L7" s="8">
        <v>16.559999999999999</v>
      </c>
      <c r="M7" s="2" t="s">
        <v>78</v>
      </c>
      <c r="P7" s="2" t="str">
        <f>Setup!$A$7</f>
        <v>Expert 04</v>
      </c>
      <c r="Q7" s="2">
        <f t="shared" si="0"/>
        <v>3</v>
      </c>
      <c r="R7" s="2">
        <f t="shared" si="1"/>
        <v>0</v>
      </c>
      <c r="S7" s="2">
        <f t="shared" si="2"/>
        <v>0</v>
      </c>
      <c r="T7" s="2">
        <f t="shared" si="3"/>
        <v>1</v>
      </c>
      <c r="U7" s="2">
        <f t="shared" si="4"/>
        <v>0</v>
      </c>
      <c r="V7" s="8">
        <f t="shared" si="5"/>
        <v>18</v>
      </c>
      <c r="W7" s="2">
        <f t="shared" si="6"/>
        <v>4</v>
      </c>
      <c r="X7" s="8">
        <f t="shared" si="7"/>
        <v>403.78000000000003</v>
      </c>
    </row>
    <row r="8" spans="1:24" x14ac:dyDescent="0.25">
      <c r="A8" s="2" t="s">
        <v>51</v>
      </c>
      <c r="B8" s="2" t="s">
        <v>1275</v>
      </c>
      <c r="C8" s="2" t="s">
        <v>1276</v>
      </c>
      <c r="D8" s="2" t="s">
        <v>50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24</v>
      </c>
      <c r="K8" s="2">
        <v>1</v>
      </c>
      <c r="L8" s="8">
        <v>25.15</v>
      </c>
      <c r="M8" s="2" t="s">
        <v>78</v>
      </c>
      <c r="P8" s="2" t="str">
        <f>Setup!$A$8</f>
        <v>Expert 05</v>
      </c>
      <c r="Q8" s="2">
        <f t="shared" si="0"/>
        <v>0</v>
      </c>
      <c r="R8" s="2">
        <f t="shared" si="1"/>
        <v>3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39</v>
      </c>
      <c r="W8" s="2">
        <f t="shared" si="6"/>
        <v>3</v>
      </c>
      <c r="X8" s="8">
        <f t="shared" si="7"/>
        <v>0</v>
      </c>
    </row>
    <row r="9" spans="1:24" x14ac:dyDescent="0.25">
      <c r="A9" s="2" t="s">
        <v>37</v>
      </c>
      <c r="B9" s="2" t="s">
        <v>1277</v>
      </c>
      <c r="C9" s="2" t="s">
        <v>1278</v>
      </c>
      <c r="D9" s="2" t="s">
        <v>44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162.80000000000001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0</v>
      </c>
    </row>
    <row r="10" spans="1:24" x14ac:dyDescent="0.25">
      <c r="A10" s="2" t="s">
        <v>45</v>
      </c>
      <c r="B10" s="2" t="s">
        <v>1279</v>
      </c>
      <c r="C10" s="2" t="s">
        <v>1280</v>
      </c>
      <c r="D10" s="2" t="s">
        <v>54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2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24</v>
      </c>
      <c r="W10" s="2">
        <f t="shared" si="6"/>
        <v>2</v>
      </c>
      <c r="X10" s="8">
        <f t="shared" si="7"/>
        <v>0</v>
      </c>
    </row>
    <row r="11" spans="1:24" x14ac:dyDescent="0.25">
      <c r="A11" s="2" t="s">
        <v>41</v>
      </c>
      <c r="B11" s="2" t="s">
        <v>1281</v>
      </c>
      <c r="C11" s="2" t="s">
        <v>1282</v>
      </c>
      <c r="D11" s="2" t="s">
        <v>36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0</v>
      </c>
      <c r="W11" s="2">
        <f t="shared" si="6"/>
        <v>1</v>
      </c>
      <c r="X11" s="8">
        <f t="shared" si="7"/>
        <v>125.42</v>
      </c>
    </row>
    <row r="12" spans="1:24" x14ac:dyDescent="0.25">
      <c r="A12" s="2" t="s">
        <v>47</v>
      </c>
      <c r="B12" s="2" t="s">
        <v>1283</v>
      </c>
      <c r="C12" s="2" t="s">
        <v>1284</v>
      </c>
      <c r="D12" s="2" t="s">
        <v>40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125.42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3</v>
      </c>
      <c r="X12" s="8">
        <f t="shared" si="7"/>
        <v>114.55000000000001</v>
      </c>
    </row>
    <row r="13" spans="1:24" x14ac:dyDescent="0.25">
      <c r="A13" s="2" t="s">
        <v>41</v>
      </c>
      <c r="B13" s="2" t="s">
        <v>1285</v>
      </c>
      <c r="C13" s="2" t="s">
        <v>1286</v>
      </c>
      <c r="D13" s="2" t="s">
        <v>69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8">
        <v>24</v>
      </c>
      <c r="K13" s="2">
        <v>0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3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42</v>
      </c>
      <c r="W13" s="2">
        <f t="shared" si="6"/>
        <v>4</v>
      </c>
      <c r="X13" s="8">
        <f t="shared" si="7"/>
        <v>168.58999999999997</v>
      </c>
    </row>
    <row r="14" spans="1:24" x14ac:dyDescent="0.25">
      <c r="A14" s="2" t="s">
        <v>33</v>
      </c>
      <c r="B14" s="2" t="s">
        <v>1287</v>
      </c>
      <c r="C14" s="2" t="s">
        <v>1288</v>
      </c>
      <c r="D14" s="2" t="s">
        <v>68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33</v>
      </c>
      <c r="K14" s="2">
        <v>1</v>
      </c>
      <c r="L14" s="8">
        <v>40.270000000000003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2</v>
      </c>
      <c r="S14" s="2">
        <f t="shared" si="2"/>
        <v>0</v>
      </c>
      <c r="T14" s="2">
        <f t="shared" si="3"/>
        <v>2</v>
      </c>
      <c r="U14" s="2">
        <f t="shared" si="4"/>
        <v>0</v>
      </c>
      <c r="V14" s="8">
        <f t="shared" si="5"/>
        <v>54</v>
      </c>
      <c r="W14" s="2">
        <f t="shared" si="6"/>
        <v>4</v>
      </c>
      <c r="X14" s="8">
        <f t="shared" si="7"/>
        <v>89.56</v>
      </c>
    </row>
    <row r="15" spans="1:24" x14ac:dyDescent="0.25">
      <c r="A15" s="2" t="s">
        <v>39</v>
      </c>
      <c r="B15" s="2" t="s">
        <v>1289</v>
      </c>
      <c r="C15" s="2" t="s">
        <v>1290</v>
      </c>
      <c r="D15" s="2" t="s">
        <v>38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18</v>
      </c>
      <c r="K15" s="2">
        <v>1</v>
      </c>
      <c r="L15" s="8">
        <v>111.84</v>
      </c>
      <c r="M15" s="2" t="s">
        <v>78</v>
      </c>
      <c r="P15" s="2" t="str">
        <f>Setup!$A$15</f>
        <v>Expert 12</v>
      </c>
      <c r="Q15" s="2">
        <f t="shared" si="0"/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1</v>
      </c>
      <c r="X15" s="8">
        <f t="shared" si="7"/>
        <v>0</v>
      </c>
    </row>
    <row r="16" spans="1:24" x14ac:dyDescent="0.25">
      <c r="A16" s="2" t="s">
        <v>49</v>
      </c>
      <c r="B16" s="2" t="s">
        <v>1291</v>
      </c>
      <c r="C16" s="2" t="s">
        <v>1292</v>
      </c>
      <c r="D16" s="2" t="s">
        <v>38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41.87</v>
      </c>
      <c r="M16" s="2" t="s">
        <v>78</v>
      </c>
      <c r="P16" s="9" t="s">
        <v>103</v>
      </c>
      <c r="Q16" s="10">
        <f t="shared" ref="Q16:X16" si="8">SUM(Q4:Q15)</f>
        <v>15</v>
      </c>
      <c r="R16" s="10">
        <f t="shared" si="8"/>
        <v>7</v>
      </c>
      <c r="S16" s="10">
        <f t="shared" si="8"/>
        <v>0</v>
      </c>
      <c r="T16" s="10">
        <f t="shared" si="8"/>
        <v>4</v>
      </c>
      <c r="U16" s="10">
        <f t="shared" si="8"/>
        <v>0</v>
      </c>
      <c r="V16" s="11">
        <f t="shared" si="8"/>
        <v>300</v>
      </c>
      <c r="W16" s="10">
        <f t="shared" si="8"/>
        <v>29</v>
      </c>
      <c r="X16" s="11">
        <f t="shared" si="8"/>
        <v>1301.9199999999998</v>
      </c>
    </row>
    <row r="17" spans="1:13" x14ac:dyDescent="0.25">
      <c r="A17" s="2" t="s">
        <v>51</v>
      </c>
      <c r="B17" s="2" t="s">
        <v>1293</v>
      </c>
      <c r="C17" s="2" t="s">
        <v>1294</v>
      </c>
      <c r="D17" s="2" t="s">
        <v>64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55.37</v>
      </c>
      <c r="M17" s="2" t="s">
        <v>78</v>
      </c>
    </row>
    <row r="18" spans="1:13" x14ac:dyDescent="0.25">
      <c r="A18" s="2" t="s">
        <v>39</v>
      </c>
      <c r="B18" s="2" t="s">
        <v>1295</v>
      </c>
      <c r="C18" s="2" t="s">
        <v>1296</v>
      </c>
      <c r="D18" s="2" t="s">
        <v>61</v>
      </c>
      <c r="E18" s="2">
        <v>1</v>
      </c>
      <c r="F18" s="2">
        <v>0</v>
      </c>
      <c r="G18" s="2">
        <v>0</v>
      </c>
      <c r="H18" s="2">
        <v>1</v>
      </c>
      <c r="I18" s="2">
        <v>0</v>
      </c>
      <c r="J18" s="8">
        <v>0</v>
      </c>
      <c r="K18" s="2">
        <v>1</v>
      </c>
      <c r="L18" s="8">
        <v>119.59</v>
      </c>
      <c r="M18" s="2" t="s">
        <v>78</v>
      </c>
    </row>
    <row r="19" spans="1:13" x14ac:dyDescent="0.25">
      <c r="A19" s="2" t="s">
        <v>51</v>
      </c>
      <c r="B19" s="2" t="s">
        <v>1297</v>
      </c>
      <c r="C19" s="2" t="s">
        <v>1298</v>
      </c>
      <c r="D19" s="2" t="s">
        <v>52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18</v>
      </c>
      <c r="K19" s="2">
        <v>1</v>
      </c>
      <c r="L19" s="8">
        <v>74.94</v>
      </c>
      <c r="M19" s="2" t="s">
        <v>78</v>
      </c>
    </row>
    <row r="20" spans="1:13" x14ac:dyDescent="0.25">
      <c r="A20" s="2" t="s">
        <v>49</v>
      </c>
      <c r="B20" s="2" t="s">
        <v>1299</v>
      </c>
      <c r="C20" s="2" t="s">
        <v>1300</v>
      </c>
      <c r="D20" s="2" t="s">
        <v>62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72.680000000000007</v>
      </c>
      <c r="M20" s="2" t="s">
        <v>78</v>
      </c>
    </row>
    <row r="21" spans="1:13" x14ac:dyDescent="0.25">
      <c r="A21" s="2" t="s">
        <v>41</v>
      </c>
      <c r="B21" s="2" t="s">
        <v>1301</v>
      </c>
      <c r="C21" s="2" t="s">
        <v>1302</v>
      </c>
      <c r="D21" s="2" t="s">
        <v>40</v>
      </c>
      <c r="E21" s="2">
        <v>0</v>
      </c>
      <c r="F21" s="2">
        <v>1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41</v>
      </c>
      <c r="B22" s="2" t="s">
        <v>1303</v>
      </c>
      <c r="C22" s="2" t="s">
        <v>1304</v>
      </c>
      <c r="D22" s="2" t="s">
        <v>36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15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53</v>
      </c>
      <c r="B23" s="2" t="s">
        <v>1305</v>
      </c>
      <c r="C23" s="2" t="s">
        <v>1306</v>
      </c>
      <c r="D23" s="2" t="s">
        <v>38</v>
      </c>
      <c r="E23" s="2">
        <v>0</v>
      </c>
      <c r="F23" s="2">
        <v>0</v>
      </c>
      <c r="G23" s="2">
        <v>0</v>
      </c>
      <c r="H23" s="2">
        <v>1</v>
      </c>
      <c r="I23" s="2">
        <v>0</v>
      </c>
      <c r="J23" s="8">
        <v>0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55</v>
      </c>
      <c r="B24" s="2" t="s">
        <v>1307</v>
      </c>
      <c r="C24" s="2" t="s">
        <v>1308</v>
      </c>
      <c r="D24" s="2" t="s">
        <v>60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37</v>
      </c>
      <c r="B25" s="2" t="s">
        <v>1309</v>
      </c>
      <c r="C25" s="2" t="s">
        <v>1310</v>
      </c>
      <c r="D25" s="2" t="s">
        <v>69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0</v>
      </c>
      <c r="L25" s="8">
        <v>0</v>
      </c>
      <c r="M25" s="2" t="s">
        <v>78</v>
      </c>
    </row>
    <row r="26" spans="1:13" x14ac:dyDescent="0.25">
      <c r="A26" s="2" t="s">
        <v>53</v>
      </c>
      <c r="B26" s="2" t="s">
        <v>1311</v>
      </c>
      <c r="C26" s="2" t="s">
        <v>1312</v>
      </c>
      <c r="D26" s="2" t="s">
        <v>42</v>
      </c>
      <c r="E26" s="2">
        <v>0</v>
      </c>
      <c r="F26" s="2">
        <v>1</v>
      </c>
      <c r="G26" s="2">
        <v>0</v>
      </c>
      <c r="H26" s="2">
        <v>0</v>
      </c>
      <c r="I26" s="2">
        <v>0</v>
      </c>
      <c r="J26" s="8">
        <v>15</v>
      </c>
      <c r="K26" s="2">
        <v>1</v>
      </c>
      <c r="L26" s="8">
        <v>73</v>
      </c>
      <c r="M26" s="2" t="s">
        <v>78</v>
      </c>
    </row>
    <row r="27" spans="1:13" x14ac:dyDescent="0.25">
      <c r="A27" s="2" t="s">
        <v>37</v>
      </c>
      <c r="B27" s="2" t="s">
        <v>1313</v>
      </c>
      <c r="C27" s="2" t="s">
        <v>1314</v>
      </c>
      <c r="D27" s="2" t="s">
        <v>46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33</v>
      </c>
      <c r="K27" s="2">
        <v>1</v>
      </c>
      <c r="L27" s="8">
        <v>34.68</v>
      </c>
      <c r="M27" s="2" t="s">
        <v>78</v>
      </c>
    </row>
    <row r="28" spans="1:13" x14ac:dyDescent="0.25">
      <c r="A28" s="2" t="s">
        <v>39</v>
      </c>
      <c r="B28" s="2" t="s">
        <v>1315</v>
      </c>
      <c r="C28" s="2" t="s">
        <v>1316</v>
      </c>
      <c r="D28" s="2" t="s">
        <v>58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58.82</v>
      </c>
      <c r="M28" s="2" t="s">
        <v>78</v>
      </c>
    </row>
    <row r="29" spans="1:13" x14ac:dyDescent="0.25">
      <c r="A29" s="2" t="s">
        <v>37</v>
      </c>
      <c r="B29" s="2" t="s">
        <v>1317</v>
      </c>
      <c r="C29" s="2" t="s">
        <v>1318</v>
      </c>
      <c r="D29" s="2" t="s">
        <v>40</v>
      </c>
      <c r="E29" s="2">
        <v>1</v>
      </c>
      <c r="F29" s="2">
        <v>0</v>
      </c>
      <c r="G29" s="2">
        <v>0</v>
      </c>
      <c r="H29" s="2">
        <v>1</v>
      </c>
      <c r="I29" s="2">
        <v>0</v>
      </c>
      <c r="J29" s="8">
        <v>33</v>
      </c>
      <c r="K29" s="2">
        <v>1</v>
      </c>
      <c r="L29" s="8">
        <v>109.99</v>
      </c>
      <c r="M29" s="2" t="s">
        <v>78</v>
      </c>
    </row>
    <row r="30" spans="1:13" x14ac:dyDescent="0.25">
      <c r="A30" s="2" t="s">
        <v>45</v>
      </c>
      <c r="B30" s="2" t="s">
        <v>1319</v>
      </c>
      <c r="C30" s="2" t="s">
        <v>1320</v>
      </c>
      <c r="D30" s="2" t="s">
        <v>52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24</v>
      </c>
      <c r="K30" s="2">
        <v>1</v>
      </c>
      <c r="L30" s="8">
        <v>0</v>
      </c>
      <c r="M30" s="2" t="s">
        <v>78</v>
      </c>
    </row>
    <row r="31" spans="1:13" x14ac:dyDescent="0.25">
      <c r="A31" s="2" t="s">
        <v>37</v>
      </c>
      <c r="B31" s="2" t="s">
        <v>1321</v>
      </c>
      <c r="C31" s="2" t="s">
        <v>1322</v>
      </c>
      <c r="D31" s="2" t="s">
        <v>62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0</v>
      </c>
      <c r="K31" s="2">
        <v>1</v>
      </c>
      <c r="L31" s="8">
        <v>52.28</v>
      </c>
      <c r="M31" s="2" t="s">
        <v>78</v>
      </c>
    </row>
    <row r="32" spans="1:13" x14ac:dyDescent="0.25">
      <c r="A32" s="2" t="s">
        <v>35</v>
      </c>
      <c r="B32" s="2" t="s">
        <v>1323</v>
      </c>
      <c r="C32" s="2" t="s">
        <v>1324</v>
      </c>
      <c r="D32" s="2" t="s">
        <v>60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8">
        <v>24</v>
      </c>
      <c r="K32" s="2">
        <v>1</v>
      </c>
      <c r="L32" s="8">
        <v>0</v>
      </c>
      <c r="M32" s="2" t="s">
        <v>78</v>
      </c>
    </row>
    <row r="33" spans="1:13" x14ac:dyDescent="0.25">
      <c r="A33" s="2" t="s">
        <v>51</v>
      </c>
      <c r="B33" s="2" t="s">
        <v>1325</v>
      </c>
      <c r="C33" s="2" t="s">
        <v>1326</v>
      </c>
      <c r="D33" s="2" t="s">
        <v>44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8">
        <v>0</v>
      </c>
      <c r="K33" s="2">
        <v>1</v>
      </c>
      <c r="L33" s="8">
        <v>13.13</v>
      </c>
      <c r="M33" s="2" t="s">
        <v>78</v>
      </c>
    </row>
    <row r="34" spans="1:13" x14ac:dyDescent="0.25">
      <c r="A34" s="2" t="s">
        <v>49</v>
      </c>
      <c r="B34" s="2" t="s">
        <v>1327</v>
      </c>
      <c r="C34" s="2" t="s">
        <v>1328</v>
      </c>
      <c r="D34" s="2" t="s">
        <v>58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8">
        <v>0</v>
      </c>
      <c r="K34" s="2">
        <v>1</v>
      </c>
      <c r="L34" s="8">
        <v>0</v>
      </c>
      <c r="M34" s="2" t="s">
        <v>78</v>
      </c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49</v>
      </c>
      <c r="B4" s="2" t="s">
        <v>1330</v>
      </c>
      <c r="C4" s="2" t="s">
        <v>1331</v>
      </c>
      <c r="D4" s="2" t="s">
        <v>68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16</v>
      </c>
      <c r="K4" s="2">
        <v>1</v>
      </c>
      <c r="L4" s="8">
        <v>173.53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1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15</v>
      </c>
      <c r="W4" s="2">
        <f t="shared" ref="W4:W15" si="6">SUMIF($A$4:$A$43,$P4,K$4:K$43)</f>
        <v>1</v>
      </c>
      <c r="X4" s="8">
        <f t="shared" ref="X4:X15" si="7">SUMIF($A$4:$A$43,$P4,L$4:L$43)</f>
        <v>0</v>
      </c>
    </row>
    <row r="5" spans="1:24" x14ac:dyDescent="0.25">
      <c r="A5" s="2" t="s">
        <v>41</v>
      </c>
      <c r="B5" s="2" t="s">
        <v>1332</v>
      </c>
      <c r="C5" s="2" t="s">
        <v>1333</v>
      </c>
      <c r="D5" s="2" t="s">
        <v>46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18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1</v>
      </c>
      <c r="X5" s="8">
        <f t="shared" si="7"/>
        <v>178.74</v>
      </c>
    </row>
    <row r="6" spans="1:24" x14ac:dyDescent="0.25">
      <c r="A6" s="2" t="s">
        <v>39</v>
      </c>
      <c r="B6" s="2" t="s">
        <v>1334</v>
      </c>
      <c r="C6" s="2" t="s">
        <v>1335</v>
      </c>
      <c r="D6" s="2" t="s">
        <v>65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8">
        <v>24</v>
      </c>
      <c r="K6" s="2">
        <v>1</v>
      </c>
      <c r="L6" s="8">
        <v>16.75</v>
      </c>
      <c r="M6" s="2" t="s">
        <v>78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33</v>
      </c>
      <c r="W6" s="2">
        <f t="shared" si="6"/>
        <v>1</v>
      </c>
      <c r="X6" s="8">
        <f t="shared" si="7"/>
        <v>150.85</v>
      </c>
    </row>
    <row r="7" spans="1:24" x14ac:dyDescent="0.25">
      <c r="A7" s="2" t="s">
        <v>35</v>
      </c>
      <c r="B7" s="2" t="s">
        <v>1336</v>
      </c>
      <c r="C7" s="2" t="s">
        <v>1337</v>
      </c>
      <c r="D7" s="2" t="s">
        <v>54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171.69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24</v>
      </c>
      <c r="W7" s="2">
        <f t="shared" si="6"/>
        <v>1</v>
      </c>
      <c r="X7" s="8">
        <f t="shared" si="7"/>
        <v>16.75</v>
      </c>
    </row>
    <row r="8" spans="1:24" x14ac:dyDescent="0.25">
      <c r="A8" s="2" t="s">
        <v>51</v>
      </c>
      <c r="B8" s="2" t="s">
        <v>1338</v>
      </c>
      <c r="C8" s="2" t="s">
        <v>1339</v>
      </c>
      <c r="D8" s="2" t="s">
        <v>58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131.01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57</v>
      </c>
      <c r="W8" s="2">
        <f t="shared" si="6"/>
        <v>3</v>
      </c>
      <c r="X8" s="8">
        <f t="shared" si="7"/>
        <v>0</v>
      </c>
    </row>
    <row r="9" spans="1:24" x14ac:dyDescent="0.25">
      <c r="A9" s="2" t="s">
        <v>49</v>
      </c>
      <c r="B9" s="2" t="s">
        <v>1340</v>
      </c>
      <c r="C9" s="2" t="s">
        <v>1341</v>
      </c>
      <c r="D9" s="2" t="s">
        <v>36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133.80000000000001</v>
      </c>
      <c r="M9" s="2" t="s">
        <v>78</v>
      </c>
      <c r="P9" s="2" t="str">
        <f>Setup!$A$9</f>
        <v>Expert 06</v>
      </c>
      <c r="Q9" s="2">
        <f t="shared" si="0"/>
        <v>4</v>
      </c>
      <c r="R9" s="2">
        <f t="shared" si="1"/>
        <v>0</v>
      </c>
      <c r="S9" s="2">
        <f t="shared" si="2"/>
        <v>0</v>
      </c>
      <c r="T9" s="2">
        <f t="shared" si="3"/>
        <v>1</v>
      </c>
      <c r="U9" s="2">
        <f t="shared" si="4"/>
        <v>0</v>
      </c>
      <c r="V9" s="8">
        <f t="shared" si="5"/>
        <v>40</v>
      </c>
      <c r="W9" s="2">
        <f t="shared" si="6"/>
        <v>5</v>
      </c>
      <c r="X9" s="8">
        <f t="shared" si="7"/>
        <v>706.55000000000007</v>
      </c>
    </row>
    <row r="10" spans="1:24" x14ac:dyDescent="0.25">
      <c r="A10" s="2" t="s">
        <v>33</v>
      </c>
      <c r="B10" s="2" t="s">
        <v>1342</v>
      </c>
      <c r="C10" s="2" t="s">
        <v>1343</v>
      </c>
      <c r="D10" s="2" t="s">
        <v>63</v>
      </c>
      <c r="E10" s="2">
        <v>1</v>
      </c>
      <c r="F10" s="2">
        <v>0</v>
      </c>
      <c r="G10" s="2">
        <v>1</v>
      </c>
      <c r="H10" s="2">
        <v>0</v>
      </c>
      <c r="I10" s="2">
        <v>0</v>
      </c>
      <c r="J10" s="8">
        <v>15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0</v>
      </c>
      <c r="X10" s="8">
        <f t="shared" si="7"/>
        <v>0</v>
      </c>
    </row>
    <row r="11" spans="1:24" x14ac:dyDescent="0.25">
      <c r="A11" s="2" t="s">
        <v>47</v>
      </c>
      <c r="B11" s="2" t="s">
        <v>1344</v>
      </c>
      <c r="C11" s="2" t="s">
        <v>1345</v>
      </c>
      <c r="D11" s="2" t="s">
        <v>65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46.72</v>
      </c>
      <c r="M11" s="2" t="s">
        <v>78</v>
      </c>
      <c r="P11" s="2" t="str">
        <f>Setup!$A$11</f>
        <v>Expert 08</v>
      </c>
      <c r="Q11" s="2">
        <f t="shared" si="0"/>
        <v>2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30</v>
      </c>
      <c r="W11" s="2">
        <f t="shared" si="6"/>
        <v>2</v>
      </c>
      <c r="X11" s="8">
        <f t="shared" si="7"/>
        <v>231.42000000000002</v>
      </c>
    </row>
    <row r="12" spans="1:24" x14ac:dyDescent="0.25">
      <c r="A12" s="2" t="s">
        <v>49</v>
      </c>
      <c r="B12" s="2" t="s">
        <v>1346</v>
      </c>
      <c r="C12" s="2" t="s">
        <v>1347</v>
      </c>
      <c r="D12" s="2" t="s">
        <v>66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8">
        <v>0</v>
      </c>
      <c r="K12" s="2">
        <v>0</v>
      </c>
      <c r="L12" s="8">
        <v>31.24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2</v>
      </c>
      <c r="S12" s="2">
        <f t="shared" si="2"/>
        <v>0</v>
      </c>
      <c r="T12" s="2">
        <f t="shared" si="3"/>
        <v>0</v>
      </c>
      <c r="U12" s="2">
        <f t="shared" si="4"/>
        <v>1</v>
      </c>
      <c r="V12" s="8">
        <f t="shared" si="5"/>
        <v>16</v>
      </c>
      <c r="W12" s="2">
        <f t="shared" si="6"/>
        <v>3</v>
      </c>
      <c r="X12" s="8">
        <f t="shared" si="7"/>
        <v>365.64000000000004</v>
      </c>
    </row>
    <row r="13" spans="1:24" x14ac:dyDescent="0.25">
      <c r="A13" s="2" t="s">
        <v>43</v>
      </c>
      <c r="B13" s="2" t="s">
        <v>1348</v>
      </c>
      <c r="C13" s="2" t="s">
        <v>1349</v>
      </c>
      <c r="D13" s="2" t="s">
        <v>60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16</v>
      </c>
      <c r="K13" s="2">
        <v>1</v>
      </c>
      <c r="L13" s="8">
        <v>110.85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0</v>
      </c>
      <c r="W13" s="2">
        <f t="shared" si="6"/>
        <v>2</v>
      </c>
      <c r="X13" s="8">
        <f t="shared" si="7"/>
        <v>204.19</v>
      </c>
    </row>
    <row r="14" spans="1:24" x14ac:dyDescent="0.25">
      <c r="A14" s="2" t="s">
        <v>55</v>
      </c>
      <c r="B14" s="2" t="s">
        <v>1350</v>
      </c>
      <c r="C14" s="2" t="s">
        <v>1351</v>
      </c>
      <c r="D14" s="2" t="s">
        <v>50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33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1</v>
      </c>
      <c r="X14" s="8">
        <f t="shared" si="7"/>
        <v>0</v>
      </c>
    </row>
    <row r="15" spans="1:24" x14ac:dyDescent="0.25">
      <c r="A15" s="2" t="s">
        <v>43</v>
      </c>
      <c r="B15" s="2" t="s">
        <v>1352</v>
      </c>
      <c r="C15" s="2" t="s">
        <v>1353</v>
      </c>
      <c r="D15" s="2" t="s">
        <v>52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137.33000000000001</v>
      </c>
      <c r="M15" s="2" t="s">
        <v>78</v>
      </c>
      <c r="P15" s="2" t="str">
        <f>Setup!$A$15</f>
        <v>Expert 12</v>
      </c>
      <c r="Q15" s="2">
        <f t="shared" si="0"/>
        <v>4</v>
      </c>
      <c r="R15" s="2">
        <f t="shared" si="1"/>
        <v>0</v>
      </c>
      <c r="S15" s="2">
        <f t="shared" si="2"/>
        <v>1</v>
      </c>
      <c r="T15" s="2">
        <f t="shared" si="3"/>
        <v>1</v>
      </c>
      <c r="U15" s="2">
        <f t="shared" si="4"/>
        <v>0</v>
      </c>
      <c r="V15" s="8">
        <f t="shared" si="5"/>
        <v>99</v>
      </c>
      <c r="W15" s="2">
        <f t="shared" si="6"/>
        <v>4</v>
      </c>
      <c r="X15" s="8">
        <f t="shared" si="7"/>
        <v>257.98</v>
      </c>
    </row>
    <row r="16" spans="1:24" x14ac:dyDescent="0.25">
      <c r="A16" s="2" t="s">
        <v>35</v>
      </c>
      <c r="B16" s="2" t="s">
        <v>1354</v>
      </c>
      <c r="C16" s="2" t="s">
        <v>1355</v>
      </c>
      <c r="D16" s="2" t="s">
        <v>69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0</v>
      </c>
      <c r="L16" s="8">
        <v>7.05</v>
      </c>
      <c r="M16" s="2" t="s">
        <v>78</v>
      </c>
      <c r="P16" s="9" t="s">
        <v>103</v>
      </c>
      <c r="Q16" s="10">
        <f t="shared" ref="Q16:X16" si="8">SUM(Q4:Q15)</f>
        <v>17</v>
      </c>
      <c r="R16" s="10">
        <f t="shared" si="8"/>
        <v>3</v>
      </c>
      <c r="S16" s="10">
        <f t="shared" si="8"/>
        <v>2</v>
      </c>
      <c r="T16" s="10">
        <f t="shared" si="8"/>
        <v>2</v>
      </c>
      <c r="U16" s="10">
        <f t="shared" si="8"/>
        <v>1</v>
      </c>
      <c r="V16" s="11">
        <f t="shared" si="8"/>
        <v>314</v>
      </c>
      <c r="W16" s="10">
        <f t="shared" si="8"/>
        <v>24</v>
      </c>
      <c r="X16" s="11">
        <f t="shared" si="8"/>
        <v>2112.1200000000003</v>
      </c>
    </row>
    <row r="17" spans="1:13" x14ac:dyDescent="0.25">
      <c r="A17" s="2" t="s">
        <v>55</v>
      </c>
      <c r="B17" s="2" t="s">
        <v>1356</v>
      </c>
      <c r="C17" s="2" t="s">
        <v>1357</v>
      </c>
      <c r="D17" s="2" t="s">
        <v>34</v>
      </c>
      <c r="E17" s="2">
        <v>1</v>
      </c>
      <c r="F17" s="2">
        <v>0</v>
      </c>
      <c r="G17" s="2">
        <v>0</v>
      </c>
      <c r="H17" s="2">
        <v>1</v>
      </c>
      <c r="I17" s="2">
        <v>0</v>
      </c>
      <c r="J17" s="8">
        <v>33</v>
      </c>
      <c r="K17" s="2">
        <v>1</v>
      </c>
      <c r="L17" s="8">
        <v>162.75</v>
      </c>
      <c r="M17" s="2" t="s">
        <v>78</v>
      </c>
    </row>
    <row r="18" spans="1:13" x14ac:dyDescent="0.25">
      <c r="A18" s="2" t="s">
        <v>43</v>
      </c>
      <c r="B18" s="2" t="s">
        <v>1358</v>
      </c>
      <c r="C18" s="2" t="s">
        <v>1359</v>
      </c>
      <c r="D18" s="2" t="s">
        <v>65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125.27</v>
      </c>
      <c r="M18" s="2" t="s">
        <v>78</v>
      </c>
    </row>
    <row r="19" spans="1:13" x14ac:dyDescent="0.25">
      <c r="A19" s="2" t="s">
        <v>51</v>
      </c>
      <c r="B19" s="2" t="s">
        <v>1360</v>
      </c>
      <c r="C19" s="2" t="s">
        <v>1361</v>
      </c>
      <c r="D19" s="2" t="s">
        <v>34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73.180000000000007</v>
      </c>
      <c r="M19" s="2" t="s">
        <v>78</v>
      </c>
    </row>
    <row r="20" spans="1:13" x14ac:dyDescent="0.25">
      <c r="A20" s="2" t="s">
        <v>55</v>
      </c>
      <c r="B20" s="2" t="s">
        <v>1362</v>
      </c>
      <c r="C20" s="2" t="s">
        <v>1363</v>
      </c>
      <c r="D20" s="2" t="s">
        <v>68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33</v>
      </c>
      <c r="K20" s="2">
        <v>1</v>
      </c>
      <c r="L20" s="8">
        <v>0</v>
      </c>
      <c r="M20" s="2" t="s">
        <v>118</v>
      </c>
    </row>
    <row r="21" spans="1:13" x14ac:dyDescent="0.25">
      <c r="A21" s="2" t="s">
        <v>37</v>
      </c>
      <c r="B21" s="2" t="s">
        <v>1364</v>
      </c>
      <c r="C21" s="2" t="s">
        <v>1365</v>
      </c>
      <c r="D21" s="2" t="s">
        <v>54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33</v>
      </c>
      <c r="K21" s="2">
        <v>1</v>
      </c>
      <c r="L21" s="8">
        <v>150.85</v>
      </c>
      <c r="M21" s="2" t="s">
        <v>78</v>
      </c>
    </row>
    <row r="22" spans="1:13" x14ac:dyDescent="0.25">
      <c r="A22" s="2" t="s">
        <v>41</v>
      </c>
      <c r="B22" s="2" t="s">
        <v>1366</v>
      </c>
      <c r="C22" s="2" t="s">
        <v>1367</v>
      </c>
      <c r="D22" s="2" t="s">
        <v>54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15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55</v>
      </c>
      <c r="B23" s="2" t="s">
        <v>1368</v>
      </c>
      <c r="C23" s="2" t="s">
        <v>1369</v>
      </c>
      <c r="D23" s="2" t="s">
        <v>63</v>
      </c>
      <c r="E23" s="2">
        <v>1</v>
      </c>
      <c r="F23" s="2">
        <v>0</v>
      </c>
      <c r="G23" s="2">
        <v>1</v>
      </c>
      <c r="H23" s="2">
        <v>0</v>
      </c>
      <c r="I23" s="2">
        <v>0</v>
      </c>
      <c r="J23" s="8">
        <v>0</v>
      </c>
      <c r="K23" s="2">
        <v>1</v>
      </c>
      <c r="L23" s="8">
        <v>95.23</v>
      </c>
      <c r="M23" s="2" t="s">
        <v>78</v>
      </c>
    </row>
    <row r="24" spans="1:13" x14ac:dyDescent="0.25">
      <c r="A24" s="2" t="s">
        <v>47</v>
      </c>
      <c r="B24" s="2" t="s">
        <v>1370</v>
      </c>
      <c r="C24" s="2" t="s">
        <v>1371</v>
      </c>
      <c r="D24" s="2" t="s">
        <v>67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15</v>
      </c>
      <c r="K24" s="2">
        <v>0</v>
      </c>
      <c r="L24" s="8">
        <v>86.84</v>
      </c>
      <c r="M24" s="2" t="s">
        <v>78</v>
      </c>
    </row>
    <row r="25" spans="1:13" x14ac:dyDescent="0.25">
      <c r="A25" s="2" t="s">
        <v>43</v>
      </c>
      <c r="B25" s="2" t="s">
        <v>1372</v>
      </c>
      <c r="C25" s="2" t="s">
        <v>1373</v>
      </c>
      <c r="D25" s="2" t="s">
        <v>48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91.04</v>
      </c>
      <c r="M25" s="2" t="s">
        <v>78</v>
      </c>
    </row>
    <row r="26" spans="1:13" x14ac:dyDescent="0.25">
      <c r="A26" s="2" t="s">
        <v>43</v>
      </c>
      <c r="B26" s="2" t="s">
        <v>1374</v>
      </c>
      <c r="C26" s="2" t="s">
        <v>1375</v>
      </c>
      <c r="D26" s="2" t="s">
        <v>56</v>
      </c>
      <c r="E26" s="2">
        <v>1</v>
      </c>
      <c r="F26" s="2">
        <v>0</v>
      </c>
      <c r="G26" s="2">
        <v>0</v>
      </c>
      <c r="H26" s="2">
        <v>1</v>
      </c>
      <c r="I26" s="2">
        <v>0</v>
      </c>
      <c r="J26" s="8">
        <v>24</v>
      </c>
      <c r="K26" s="2">
        <v>1</v>
      </c>
      <c r="L26" s="8">
        <v>132.61000000000001</v>
      </c>
      <c r="M26" s="2" t="s">
        <v>78</v>
      </c>
    </row>
    <row r="27" spans="1:13" x14ac:dyDescent="0.25">
      <c r="A27" s="2" t="s">
        <v>53</v>
      </c>
      <c r="B27" s="2" t="s">
        <v>1376</v>
      </c>
      <c r="C27" s="2" t="s">
        <v>1377</v>
      </c>
      <c r="D27" s="2" t="s">
        <v>61</v>
      </c>
      <c r="E27" s="2">
        <v>0</v>
      </c>
      <c r="F27" s="2">
        <v>1</v>
      </c>
      <c r="G27" s="2">
        <v>0</v>
      </c>
      <c r="H27" s="2">
        <v>0</v>
      </c>
      <c r="I27" s="2">
        <v>0</v>
      </c>
      <c r="J27" s="8">
        <v>0</v>
      </c>
      <c r="K27" s="2">
        <v>1</v>
      </c>
      <c r="L27" s="8">
        <v>0</v>
      </c>
      <c r="M27" s="2" t="s">
        <v>118</v>
      </c>
    </row>
    <row r="28" spans="1:13" x14ac:dyDescent="0.25">
      <c r="A28" s="2" t="s">
        <v>47</v>
      </c>
      <c r="B28" s="2" t="s">
        <v>1378</v>
      </c>
      <c r="C28" s="2" t="s">
        <v>1379</v>
      </c>
      <c r="D28" s="2" t="s">
        <v>34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15</v>
      </c>
      <c r="K28" s="2">
        <v>1</v>
      </c>
      <c r="L28" s="8">
        <v>97.86</v>
      </c>
      <c r="M28" s="2" t="s">
        <v>78</v>
      </c>
    </row>
    <row r="29" spans="1:13" x14ac:dyDescent="0.25">
      <c r="A29" s="2" t="s">
        <v>49</v>
      </c>
      <c r="B29" s="2" t="s">
        <v>1380</v>
      </c>
      <c r="C29" s="2" t="s">
        <v>1381</v>
      </c>
      <c r="D29" s="2" t="s">
        <v>60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27.07</v>
      </c>
      <c r="M29" s="2" t="s">
        <v>78</v>
      </c>
    </row>
    <row r="30" spans="1:13" x14ac:dyDescent="0.25">
      <c r="A30" s="2" t="s">
        <v>43</v>
      </c>
      <c r="B30" s="2" t="s">
        <v>1382</v>
      </c>
      <c r="C30" s="2" t="s">
        <v>1383</v>
      </c>
      <c r="D30" s="2" t="s">
        <v>67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0</v>
      </c>
      <c r="K30" s="2">
        <v>0</v>
      </c>
      <c r="L30" s="8">
        <v>109.45</v>
      </c>
      <c r="M30" s="2" t="s">
        <v>78</v>
      </c>
    </row>
    <row r="31" spans="1:13" x14ac:dyDescent="0.25">
      <c r="A31" s="2" t="s">
        <v>41</v>
      </c>
      <c r="B31" s="2" t="s">
        <v>1384</v>
      </c>
      <c r="C31" s="2" t="s">
        <v>1385</v>
      </c>
      <c r="D31" s="2" t="s">
        <v>57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8">
        <v>24</v>
      </c>
      <c r="K31" s="2">
        <v>1</v>
      </c>
      <c r="L31" s="8">
        <v>0</v>
      </c>
      <c r="M31" s="2" t="s">
        <v>78</v>
      </c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1386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51</v>
      </c>
      <c r="B4" s="2" t="s">
        <v>1387</v>
      </c>
      <c r="C4" s="2" t="s">
        <v>1388</v>
      </c>
      <c r="D4" s="2" t="s">
        <v>60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18</v>
      </c>
      <c r="W4" s="2">
        <f t="shared" ref="W4:W15" si="6">SUMIF($A$4:$A$43,$P4,K$4:K$43)</f>
        <v>1</v>
      </c>
      <c r="X4" s="8">
        <f t="shared" ref="X4:X15" si="7">SUMIF($A$4:$A$43,$P4,L$4:L$43)</f>
        <v>67.260000000000005</v>
      </c>
    </row>
    <row r="5" spans="1:24" x14ac:dyDescent="0.25">
      <c r="A5" s="2" t="s">
        <v>35</v>
      </c>
      <c r="B5" s="2" t="s">
        <v>1389</v>
      </c>
      <c r="C5" s="2" t="s">
        <v>1390</v>
      </c>
      <c r="D5" s="2" t="s">
        <v>40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8">
        <v>24</v>
      </c>
      <c r="K5" s="2">
        <v>1</v>
      </c>
      <c r="L5" s="8">
        <v>0</v>
      </c>
      <c r="M5" s="2" t="s">
        <v>118</v>
      </c>
      <c r="P5" s="2" t="str">
        <f>Setup!$A$5</f>
        <v>Expert 02</v>
      </c>
      <c r="Q5" s="2">
        <f t="shared" si="0"/>
        <v>2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66</v>
      </c>
      <c r="W5" s="2">
        <f t="shared" si="6"/>
        <v>4</v>
      </c>
      <c r="X5" s="8">
        <f t="shared" si="7"/>
        <v>199.74</v>
      </c>
    </row>
    <row r="6" spans="1:24" x14ac:dyDescent="0.25">
      <c r="A6" s="2" t="s">
        <v>35</v>
      </c>
      <c r="B6" s="2" t="s">
        <v>1391</v>
      </c>
      <c r="C6" s="2" t="s">
        <v>1392</v>
      </c>
      <c r="D6" s="2" t="s">
        <v>36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18</v>
      </c>
      <c r="K6" s="2">
        <v>1</v>
      </c>
      <c r="L6" s="8">
        <v>94.86</v>
      </c>
      <c r="M6" s="2" t="s">
        <v>118</v>
      </c>
      <c r="P6" s="2" t="str">
        <f>Setup!$A$6</f>
        <v>Expert 03</v>
      </c>
      <c r="Q6" s="2">
        <f t="shared" si="0"/>
        <v>2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1</v>
      </c>
      <c r="V6" s="8">
        <f t="shared" si="5"/>
        <v>32</v>
      </c>
      <c r="W6" s="2">
        <f t="shared" si="6"/>
        <v>2</v>
      </c>
      <c r="X6" s="8">
        <f t="shared" si="7"/>
        <v>48.3</v>
      </c>
    </row>
    <row r="7" spans="1:24" x14ac:dyDescent="0.25">
      <c r="A7" s="2" t="s">
        <v>39</v>
      </c>
      <c r="B7" s="2" t="s">
        <v>1393</v>
      </c>
      <c r="C7" s="2" t="s">
        <v>1394</v>
      </c>
      <c r="D7" s="2" t="s">
        <v>38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63.02</v>
      </c>
      <c r="M7" s="2" t="s">
        <v>78</v>
      </c>
      <c r="P7" s="2" t="str">
        <f>Setup!$A$7</f>
        <v>Expert 04</v>
      </c>
      <c r="Q7" s="2">
        <f t="shared" si="0"/>
        <v>1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0</v>
      </c>
      <c r="W7" s="2">
        <f t="shared" si="6"/>
        <v>1</v>
      </c>
      <c r="X7" s="8">
        <f t="shared" si="7"/>
        <v>63.02</v>
      </c>
    </row>
    <row r="8" spans="1:24" x14ac:dyDescent="0.25">
      <c r="A8" s="2" t="s">
        <v>55</v>
      </c>
      <c r="B8" s="2" t="s">
        <v>1395</v>
      </c>
      <c r="C8" s="2" t="s">
        <v>1396</v>
      </c>
      <c r="D8" s="2" t="s">
        <v>48</v>
      </c>
      <c r="E8" s="2">
        <v>0</v>
      </c>
      <c r="F8" s="2">
        <v>1</v>
      </c>
      <c r="G8" s="2">
        <v>0</v>
      </c>
      <c r="H8" s="2">
        <v>0</v>
      </c>
      <c r="I8" s="2">
        <v>0</v>
      </c>
      <c r="J8" s="8">
        <v>16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24</v>
      </c>
      <c r="W8" s="2">
        <f t="shared" si="6"/>
        <v>3</v>
      </c>
      <c r="X8" s="8">
        <f t="shared" si="7"/>
        <v>89.65</v>
      </c>
    </row>
    <row r="9" spans="1:24" x14ac:dyDescent="0.25">
      <c r="A9" s="2" t="s">
        <v>51</v>
      </c>
      <c r="B9" s="2" t="s">
        <v>1397</v>
      </c>
      <c r="C9" s="2" t="s">
        <v>1398</v>
      </c>
      <c r="D9" s="2" t="s">
        <v>56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33</v>
      </c>
      <c r="K9" s="2">
        <v>1</v>
      </c>
      <c r="L9" s="8">
        <v>38.6</v>
      </c>
      <c r="M9" s="2" t="s">
        <v>78</v>
      </c>
      <c r="P9" s="2" t="str">
        <f>Setup!$A$9</f>
        <v>Expert 06</v>
      </c>
      <c r="Q9" s="2">
        <f t="shared" si="0"/>
        <v>4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84</v>
      </c>
      <c r="W9" s="2">
        <f t="shared" si="6"/>
        <v>4</v>
      </c>
      <c r="X9" s="8">
        <f t="shared" si="7"/>
        <v>143.32</v>
      </c>
    </row>
    <row r="10" spans="1:24" x14ac:dyDescent="0.25">
      <c r="A10" s="2" t="s">
        <v>41</v>
      </c>
      <c r="B10" s="2" t="s">
        <v>1399</v>
      </c>
      <c r="C10" s="2" t="s">
        <v>1400</v>
      </c>
      <c r="D10" s="2" t="s">
        <v>54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0</v>
      </c>
      <c r="M10" s="2" t="s">
        <v>118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0</v>
      </c>
    </row>
    <row r="11" spans="1:24" x14ac:dyDescent="0.25">
      <c r="A11" s="2" t="s">
        <v>43</v>
      </c>
      <c r="B11" s="2" t="s">
        <v>1401</v>
      </c>
      <c r="C11" s="2" t="s">
        <v>1402</v>
      </c>
      <c r="D11" s="2" t="s">
        <v>44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22.19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1</v>
      </c>
      <c r="V11" s="8">
        <f t="shared" si="5"/>
        <v>15</v>
      </c>
      <c r="W11" s="2">
        <f t="shared" si="6"/>
        <v>1</v>
      </c>
      <c r="X11" s="8">
        <f t="shared" si="7"/>
        <v>102.18</v>
      </c>
    </row>
    <row r="12" spans="1:24" x14ac:dyDescent="0.25">
      <c r="A12" s="2" t="s">
        <v>43</v>
      </c>
      <c r="B12" s="2" t="s">
        <v>1403</v>
      </c>
      <c r="C12" s="2" t="s">
        <v>1404</v>
      </c>
      <c r="D12" s="2" t="s">
        <v>34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33</v>
      </c>
      <c r="K12" s="2">
        <v>1</v>
      </c>
      <c r="L12" s="8">
        <v>121.13</v>
      </c>
      <c r="M12" s="2" t="s">
        <v>78</v>
      </c>
      <c r="P12" s="2" t="str">
        <f>Setup!$A$12</f>
        <v>Expert 09</v>
      </c>
      <c r="Q12" s="2">
        <f t="shared" si="0"/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0</v>
      </c>
      <c r="X12" s="8">
        <f t="shared" si="7"/>
        <v>0</v>
      </c>
    </row>
    <row r="13" spans="1:24" x14ac:dyDescent="0.25">
      <c r="A13" s="2" t="s">
        <v>37</v>
      </c>
      <c r="B13" s="2" t="s">
        <v>1405</v>
      </c>
      <c r="C13" s="2" t="s">
        <v>1406</v>
      </c>
      <c r="D13" s="2" t="s">
        <v>66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8">
        <v>0</v>
      </c>
      <c r="K13" s="2">
        <v>0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3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33</v>
      </c>
      <c r="W13" s="2">
        <f t="shared" si="6"/>
        <v>3</v>
      </c>
      <c r="X13" s="8">
        <f t="shared" si="7"/>
        <v>143.4</v>
      </c>
    </row>
    <row r="14" spans="1:24" x14ac:dyDescent="0.25">
      <c r="A14" s="2" t="s">
        <v>37</v>
      </c>
      <c r="B14" s="2" t="s">
        <v>1407</v>
      </c>
      <c r="C14" s="2" t="s">
        <v>1408</v>
      </c>
      <c r="D14" s="2" t="s">
        <v>64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16</v>
      </c>
      <c r="K14" s="2">
        <v>1</v>
      </c>
      <c r="L14" s="8">
        <v>48.3</v>
      </c>
      <c r="M14" s="2" t="s">
        <v>78</v>
      </c>
      <c r="P14" s="2" t="str">
        <f>Setup!$A$14</f>
        <v>Expert 11</v>
      </c>
      <c r="Q14" s="2">
        <f t="shared" si="0"/>
        <v>1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18</v>
      </c>
      <c r="W14" s="2">
        <f t="shared" si="6"/>
        <v>1</v>
      </c>
      <c r="X14" s="8">
        <f t="shared" si="7"/>
        <v>0</v>
      </c>
    </row>
    <row r="15" spans="1:24" x14ac:dyDescent="0.25">
      <c r="A15" s="2" t="s">
        <v>53</v>
      </c>
      <c r="B15" s="2" t="s">
        <v>1409</v>
      </c>
      <c r="C15" s="2" t="s">
        <v>1410</v>
      </c>
      <c r="D15" s="2" t="s">
        <v>69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0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1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48</v>
      </c>
      <c r="W15" s="2">
        <f t="shared" si="6"/>
        <v>3</v>
      </c>
      <c r="X15" s="8">
        <f t="shared" si="7"/>
        <v>167.18</v>
      </c>
    </row>
    <row r="16" spans="1:24" x14ac:dyDescent="0.25">
      <c r="A16" s="2" t="s">
        <v>53</v>
      </c>
      <c r="B16" s="2" t="s">
        <v>1411</v>
      </c>
      <c r="C16" s="2" t="s">
        <v>1412</v>
      </c>
      <c r="D16" s="2" t="s">
        <v>50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18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18</v>
      </c>
      <c r="R16" s="10">
        <f t="shared" si="8"/>
        <v>1</v>
      </c>
      <c r="S16" s="10">
        <f t="shared" si="8"/>
        <v>0</v>
      </c>
      <c r="T16" s="10">
        <f t="shared" si="8"/>
        <v>0</v>
      </c>
      <c r="U16" s="10">
        <f t="shared" si="8"/>
        <v>2</v>
      </c>
      <c r="V16" s="11">
        <f t="shared" si="8"/>
        <v>338</v>
      </c>
      <c r="W16" s="10">
        <f t="shared" si="8"/>
        <v>24</v>
      </c>
      <c r="X16" s="11">
        <f t="shared" si="8"/>
        <v>1024.05</v>
      </c>
    </row>
    <row r="17" spans="1:13" x14ac:dyDescent="0.25">
      <c r="A17" s="2" t="s">
        <v>47</v>
      </c>
      <c r="B17" s="2" t="s">
        <v>1413</v>
      </c>
      <c r="C17" s="2" t="s">
        <v>1414</v>
      </c>
      <c r="D17" s="2" t="s">
        <v>60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15</v>
      </c>
      <c r="K17" s="2">
        <v>1</v>
      </c>
      <c r="L17" s="8">
        <v>102.18</v>
      </c>
      <c r="M17" s="2" t="s">
        <v>78</v>
      </c>
    </row>
    <row r="18" spans="1:13" x14ac:dyDescent="0.25">
      <c r="A18" s="2" t="s">
        <v>43</v>
      </c>
      <c r="B18" s="2" t="s">
        <v>1415</v>
      </c>
      <c r="C18" s="2" t="s">
        <v>1416</v>
      </c>
      <c r="D18" s="2" t="s">
        <v>44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18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35</v>
      </c>
      <c r="B19" s="2" t="s">
        <v>1417</v>
      </c>
      <c r="C19" s="2" t="s">
        <v>1418</v>
      </c>
      <c r="D19" s="2" t="s">
        <v>34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24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33</v>
      </c>
      <c r="B20" s="2" t="s">
        <v>1419</v>
      </c>
      <c r="C20" s="2" t="s">
        <v>1420</v>
      </c>
      <c r="D20" s="2" t="s">
        <v>69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18</v>
      </c>
      <c r="K20" s="2">
        <v>0</v>
      </c>
      <c r="L20" s="8">
        <v>0</v>
      </c>
      <c r="M20" s="2" t="s">
        <v>118</v>
      </c>
    </row>
    <row r="21" spans="1:13" x14ac:dyDescent="0.25">
      <c r="A21" s="2" t="s">
        <v>41</v>
      </c>
      <c r="B21" s="2" t="s">
        <v>1421</v>
      </c>
      <c r="C21" s="2" t="s">
        <v>1422</v>
      </c>
      <c r="D21" s="2" t="s">
        <v>62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34.22</v>
      </c>
      <c r="M21" s="2" t="s">
        <v>78</v>
      </c>
    </row>
    <row r="22" spans="1:13" x14ac:dyDescent="0.25">
      <c r="A22" s="2" t="s">
        <v>33</v>
      </c>
      <c r="B22" s="2" t="s">
        <v>1423</v>
      </c>
      <c r="C22" s="2" t="s">
        <v>1424</v>
      </c>
      <c r="D22" s="2" t="s">
        <v>36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67.260000000000005</v>
      </c>
      <c r="M22" s="2" t="s">
        <v>78</v>
      </c>
    </row>
    <row r="23" spans="1:13" x14ac:dyDescent="0.25">
      <c r="A23" s="2" t="s">
        <v>35</v>
      </c>
      <c r="B23" s="2" t="s">
        <v>1425</v>
      </c>
      <c r="C23" s="2" t="s">
        <v>1426</v>
      </c>
      <c r="D23" s="2" t="s">
        <v>56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104.88</v>
      </c>
      <c r="M23" s="2" t="s">
        <v>78</v>
      </c>
    </row>
    <row r="24" spans="1:13" x14ac:dyDescent="0.25">
      <c r="A24" s="2" t="s">
        <v>55</v>
      </c>
      <c r="B24" s="2" t="s">
        <v>1427</v>
      </c>
      <c r="C24" s="2" t="s">
        <v>1428</v>
      </c>
      <c r="D24" s="2" t="s">
        <v>36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8">
        <v>16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37</v>
      </c>
      <c r="B25" s="2" t="s">
        <v>1429</v>
      </c>
      <c r="C25" s="2" t="s">
        <v>1430</v>
      </c>
      <c r="D25" s="2" t="s">
        <v>61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16</v>
      </c>
      <c r="K25" s="2">
        <v>1</v>
      </c>
      <c r="L25" s="8">
        <v>0</v>
      </c>
      <c r="M25" s="2" t="s">
        <v>78</v>
      </c>
    </row>
    <row r="26" spans="1:13" x14ac:dyDescent="0.25">
      <c r="A26" s="2" t="s">
        <v>41</v>
      </c>
      <c r="B26" s="2" t="s">
        <v>1431</v>
      </c>
      <c r="C26" s="2" t="s">
        <v>1432</v>
      </c>
      <c r="D26" s="2" t="s">
        <v>68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8">
        <v>24</v>
      </c>
      <c r="K26" s="2">
        <v>1</v>
      </c>
      <c r="L26" s="8">
        <v>55.43</v>
      </c>
      <c r="M26" s="2" t="s">
        <v>78</v>
      </c>
    </row>
    <row r="27" spans="1:13" x14ac:dyDescent="0.25">
      <c r="A27" s="2" t="s">
        <v>43</v>
      </c>
      <c r="B27" s="2" t="s">
        <v>1433</v>
      </c>
      <c r="C27" s="2" t="s">
        <v>1434</v>
      </c>
      <c r="D27" s="2" t="s">
        <v>65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33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55</v>
      </c>
      <c r="B28" s="2" t="s">
        <v>1435</v>
      </c>
      <c r="C28" s="2" t="s">
        <v>1436</v>
      </c>
      <c r="D28" s="2" t="s">
        <v>54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16</v>
      </c>
      <c r="K28" s="2">
        <v>1</v>
      </c>
      <c r="L28" s="8">
        <v>167.18</v>
      </c>
      <c r="M28" s="2" t="s">
        <v>78</v>
      </c>
    </row>
    <row r="29" spans="1:13" x14ac:dyDescent="0.25">
      <c r="A29" s="2" t="s">
        <v>47</v>
      </c>
      <c r="B29" s="2" t="s">
        <v>1437</v>
      </c>
      <c r="C29" s="2" t="s">
        <v>1438</v>
      </c>
      <c r="D29" s="2" t="s">
        <v>66</v>
      </c>
      <c r="E29" s="2">
        <v>0</v>
      </c>
      <c r="F29" s="2">
        <v>0</v>
      </c>
      <c r="G29" s="2">
        <v>0</v>
      </c>
      <c r="H29" s="2">
        <v>0</v>
      </c>
      <c r="I29" s="2">
        <v>1</v>
      </c>
      <c r="J29" s="8">
        <v>0</v>
      </c>
      <c r="K29" s="2">
        <v>0</v>
      </c>
      <c r="L29" s="8">
        <v>0</v>
      </c>
      <c r="M29" s="2" t="s">
        <v>78</v>
      </c>
    </row>
    <row r="30" spans="1:13" x14ac:dyDescent="0.25">
      <c r="A30" s="2" t="s">
        <v>51</v>
      </c>
      <c r="B30" s="2" t="s">
        <v>1439</v>
      </c>
      <c r="C30" s="2" t="s">
        <v>1440</v>
      </c>
      <c r="D30" s="2" t="s">
        <v>61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0</v>
      </c>
      <c r="K30" s="2">
        <v>1</v>
      </c>
      <c r="L30" s="8">
        <v>104.8</v>
      </c>
      <c r="M30" s="2" t="s">
        <v>78</v>
      </c>
    </row>
    <row r="31" spans="1:13" x14ac:dyDescent="0.25">
      <c r="A31" s="2" t="s">
        <v>45</v>
      </c>
      <c r="B31" s="2" t="s">
        <v>1441</v>
      </c>
      <c r="C31" s="2" t="s">
        <v>1442</v>
      </c>
      <c r="D31" s="2" t="s">
        <v>34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0</v>
      </c>
      <c r="K31" s="2">
        <v>1</v>
      </c>
      <c r="L31" s="8">
        <v>0</v>
      </c>
      <c r="M31" s="2" t="s">
        <v>78</v>
      </c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1443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53</v>
      </c>
      <c r="B4" s="2" t="s">
        <v>1444</v>
      </c>
      <c r="C4" s="2" t="s">
        <v>1445</v>
      </c>
      <c r="D4" s="2" t="s">
        <v>52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0</v>
      </c>
      <c r="X4" s="8">
        <f t="shared" ref="X4:X15" si="7">SUMIF($A$4:$A$43,$P4,L$4:L$43)</f>
        <v>0</v>
      </c>
    </row>
    <row r="5" spans="1:24" x14ac:dyDescent="0.25">
      <c r="A5" s="2" t="s">
        <v>41</v>
      </c>
      <c r="B5" s="2" t="s">
        <v>1446</v>
      </c>
      <c r="C5" s="2" t="s">
        <v>1447</v>
      </c>
      <c r="D5" s="2" t="s">
        <v>64</v>
      </c>
      <c r="E5" s="2">
        <v>1</v>
      </c>
      <c r="F5" s="2">
        <v>0</v>
      </c>
      <c r="G5" s="2">
        <v>1</v>
      </c>
      <c r="H5" s="2">
        <v>0</v>
      </c>
      <c r="I5" s="2">
        <v>0</v>
      </c>
      <c r="J5" s="8">
        <v>18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1</v>
      </c>
      <c r="S5" s="2">
        <f t="shared" si="2"/>
        <v>0</v>
      </c>
      <c r="T5" s="2">
        <f t="shared" si="3"/>
        <v>1</v>
      </c>
      <c r="U5" s="2">
        <f t="shared" si="4"/>
        <v>0</v>
      </c>
      <c r="V5" s="8">
        <f t="shared" si="5"/>
        <v>91</v>
      </c>
      <c r="W5" s="2">
        <f t="shared" si="6"/>
        <v>4</v>
      </c>
      <c r="X5" s="8">
        <f t="shared" si="7"/>
        <v>299.90999999999997</v>
      </c>
    </row>
    <row r="6" spans="1:24" x14ac:dyDescent="0.25">
      <c r="A6" s="2" t="s">
        <v>53</v>
      </c>
      <c r="B6" s="2" t="s">
        <v>1448</v>
      </c>
      <c r="C6" s="2" t="s">
        <v>1449</v>
      </c>
      <c r="D6" s="2" t="s">
        <v>44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8">
        <v>16</v>
      </c>
      <c r="K6" s="2">
        <v>1</v>
      </c>
      <c r="L6" s="8">
        <v>83.61</v>
      </c>
      <c r="M6" s="2" t="s">
        <v>78</v>
      </c>
      <c r="P6" s="2" t="str">
        <f>Setup!$A$6</f>
        <v>Expert 03</v>
      </c>
      <c r="Q6" s="2">
        <f t="shared" si="0"/>
        <v>4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15</v>
      </c>
      <c r="W6" s="2">
        <f t="shared" si="6"/>
        <v>4</v>
      </c>
      <c r="X6" s="8">
        <f t="shared" si="7"/>
        <v>129.62</v>
      </c>
    </row>
    <row r="7" spans="1:24" x14ac:dyDescent="0.25">
      <c r="A7" s="2" t="s">
        <v>37</v>
      </c>
      <c r="B7" s="2" t="s">
        <v>1450</v>
      </c>
      <c r="C7" s="2" t="s">
        <v>1451</v>
      </c>
      <c r="D7" s="2" t="s">
        <v>58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8">
        <v>15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0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0</v>
      </c>
      <c r="W7" s="2">
        <f t="shared" si="6"/>
        <v>0</v>
      </c>
      <c r="X7" s="8">
        <f t="shared" si="7"/>
        <v>0</v>
      </c>
    </row>
    <row r="8" spans="1:24" x14ac:dyDescent="0.25">
      <c r="A8" s="2" t="s">
        <v>53</v>
      </c>
      <c r="B8" s="2" t="s">
        <v>1452</v>
      </c>
      <c r="C8" s="2" t="s">
        <v>1453</v>
      </c>
      <c r="D8" s="2" t="s">
        <v>61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24</v>
      </c>
      <c r="K8" s="2">
        <v>1</v>
      </c>
      <c r="L8" s="8">
        <v>29.36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0</v>
      </c>
      <c r="S8" s="2">
        <f t="shared" si="2"/>
        <v>1</v>
      </c>
      <c r="T8" s="2">
        <f t="shared" si="3"/>
        <v>0</v>
      </c>
      <c r="U8" s="2">
        <f t="shared" si="4"/>
        <v>0</v>
      </c>
      <c r="V8" s="8">
        <f t="shared" si="5"/>
        <v>18</v>
      </c>
      <c r="W8" s="2">
        <f t="shared" si="6"/>
        <v>1</v>
      </c>
      <c r="X8" s="8">
        <f t="shared" si="7"/>
        <v>0</v>
      </c>
    </row>
    <row r="9" spans="1:24" x14ac:dyDescent="0.25">
      <c r="A9" s="2" t="s">
        <v>45</v>
      </c>
      <c r="B9" s="2" t="s">
        <v>1454</v>
      </c>
      <c r="C9" s="2" t="s">
        <v>1455</v>
      </c>
      <c r="D9" s="2" t="s">
        <v>60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8">
        <v>0</v>
      </c>
      <c r="K9" s="2">
        <v>1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2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51</v>
      </c>
      <c r="W9" s="2">
        <f t="shared" si="6"/>
        <v>3</v>
      </c>
      <c r="X9" s="8">
        <f t="shared" si="7"/>
        <v>25.830000000000002</v>
      </c>
    </row>
    <row r="10" spans="1:24" x14ac:dyDescent="0.25">
      <c r="A10" s="2" t="s">
        <v>47</v>
      </c>
      <c r="B10" s="2" t="s">
        <v>1456</v>
      </c>
      <c r="C10" s="2" t="s">
        <v>1457</v>
      </c>
      <c r="D10" s="2" t="s">
        <v>63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1</v>
      </c>
      <c r="L10" s="8">
        <v>66.09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0</v>
      </c>
      <c r="S10" s="2">
        <f t="shared" si="2"/>
        <v>1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2</v>
      </c>
      <c r="X10" s="8">
        <f t="shared" si="7"/>
        <v>165.84</v>
      </c>
    </row>
    <row r="11" spans="1:24" x14ac:dyDescent="0.25">
      <c r="A11" s="2" t="s">
        <v>37</v>
      </c>
      <c r="B11" s="2" t="s">
        <v>1458</v>
      </c>
      <c r="C11" s="2" t="s">
        <v>1459</v>
      </c>
      <c r="D11" s="2" t="s">
        <v>65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1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39</v>
      </c>
      <c r="W11" s="2">
        <f t="shared" si="6"/>
        <v>3</v>
      </c>
      <c r="X11" s="8">
        <f t="shared" si="7"/>
        <v>167.32999999999998</v>
      </c>
    </row>
    <row r="12" spans="1:24" x14ac:dyDescent="0.25">
      <c r="A12" s="2" t="s">
        <v>45</v>
      </c>
      <c r="B12" s="2" t="s">
        <v>1460</v>
      </c>
      <c r="C12" s="2" t="s">
        <v>1461</v>
      </c>
      <c r="D12" s="2" t="s">
        <v>62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165.84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24</v>
      </c>
      <c r="W12" s="2">
        <f t="shared" si="6"/>
        <v>1</v>
      </c>
      <c r="X12" s="8">
        <f t="shared" si="7"/>
        <v>39.22</v>
      </c>
    </row>
    <row r="13" spans="1:24" x14ac:dyDescent="0.25">
      <c r="A13" s="2" t="s">
        <v>47</v>
      </c>
      <c r="B13" s="2" t="s">
        <v>1462</v>
      </c>
      <c r="C13" s="2" t="s">
        <v>1463</v>
      </c>
      <c r="D13" s="2" t="s">
        <v>44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8">
        <v>24</v>
      </c>
      <c r="K13" s="2">
        <v>1</v>
      </c>
      <c r="L13" s="8">
        <v>101.24</v>
      </c>
      <c r="M13" s="2" t="s">
        <v>78</v>
      </c>
      <c r="P13" s="2" t="str">
        <f>Setup!$A$13</f>
        <v>Expert 10</v>
      </c>
      <c r="Q13" s="2">
        <f t="shared" si="0"/>
        <v>2</v>
      </c>
      <c r="R13" s="2">
        <f t="shared" si="1"/>
        <v>0</v>
      </c>
      <c r="S13" s="2">
        <f t="shared" si="2"/>
        <v>0</v>
      </c>
      <c r="T13" s="2">
        <f t="shared" si="3"/>
        <v>1</v>
      </c>
      <c r="U13" s="2">
        <f t="shared" si="4"/>
        <v>0</v>
      </c>
      <c r="V13" s="8">
        <f t="shared" si="5"/>
        <v>15</v>
      </c>
      <c r="W13" s="2">
        <f t="shared" si="6"/>
        <v>2</v>
      </c>
      <c r="X13" s="8">
        <f t="shared" si="7"/>
        <v>0</v>
      </c>
    </row>
    <row r="14" spans="1:24" x14ac:dyDescent="0.25">
      <c r="A14" s="2" t="s">
        <v>35</v>
      </c>
      <c r="B14" s="2" t="s">
        <v>1464</v>
      </c>
      <c r="C14" s="2" t="s">
        <v>1465</v>
      </c>
      <c r="D14" s="2" t="s">
        <v>36</v>
      </c>
      <c r="E14" s="2">
        <v>0</v>
      </c>
      <c r="F14" s="2">
        <v>0</v>
      </c>
      <c r="G14" s="2">
        <v>0</v>
      </c>
      <c r="H14" s="2">
        <v>1</v>
      </c>
      <c r="I14" s="2">
        <v>0</v>
      </c>
      <c r="J14" s="8">
        <v>0</v>
      </c>
      <c r="K14" s="2">
        <v>1</v>
      </c>
      <c r="L14" s="8">
        <v>155.52000000000001</v>
      </c>
      <c r="M14" s="2" t="s">
        <v>78</v>
      </c>
      <c r="P14" s="2" t="str">
        <f>Setup!$A$14</f>
        <v>Expert 11</v>
      </c>
      <c r="Q14" s="2">
        <f t="shared" si="0"/>
        <v>4</v>
      </c>
      <c r="R14" s="2">
        <f t="shared" si="1"/>
        <v>1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73</v>
      </c>
      <c r="W14" s="2">
        <f t="shared" si="6"/>
        <v>5</v>
      </c>
      <c r="X14" s="8">
        <f t="shared" si="7"/>
        <v>225.12</v>
      </c>
    </row>
    <row r="15" spans="1:24" x14ac:dyDescent="0.25">
      <c r="A15" s="2" t="s">
        <v>43</v>
      </c>
      <c r="B15" s="2" t="s">
        <v>1466</v>
      </c>
      <c r="C15" s="2" t="s">
        <v>1467</v>
      </c>
      <c r="D15" s="2" t="s">
        <v>63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18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15</v>
      </c>
      <c r="W15" s="2">
        <f t="shared" si="6"/>
        <v>1</v>
      </c>
      <c r="X15" s="8">
        <f t="shared" si="7"/>
        <v>0</v>
      </c>
    </row>
    <row r="16" spans="1:24" x14ac:dyDescent="0.25">
      <c r="A16" s="2" t="s">
        <v>47</v>
      </c>
      <c r="B16" s="2" t="s">
        <v>1468</v>
      </c>
      <c r="C16" s="2" t="s">
        <v>1469</v>
      </c>
      <c r="D16" s="2" t="s">
        <v>57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18</v>
      </c>
      <c r="R16" s="10">
        <f t="shared" si="8"/>
        <v>4</v>
      </c>
      <c r="S16" s="10">
        <f t="shared" si="8"/>
        <v>2</v>
      </c>
      <c r="T16" s="10">
        <f t="shared" si="8"/>
        <v>2</v>
      </c>
      <c r="U16" s="10">
        <f t="shared" si="8"/>
        <v>0</v>
      </c>
      <c r="V16" s="11">
        <f t="shared" si="8"/>
        <v>341</v>
      </c>
      <c r="W16" s="10">
        <f t="shared" si="8"/>
        <v>26</v>
      </c>
      <c r="X16" s="11">
        <f t="shared" si="8"/>
        <v>1052.8699999999999</v>
      </c>
    </row>
    <row r="17" spans="1:13" x14ac:dyDescent="0.25">
      <c r="A17" s="2" t="s">
        <v>37</v>
      </c>
      <c r="B17" s="2" t="s">
        <v>1470</v>
      </c>
      <c r="C17" s="2" t="s">
        <v>1471</v>
      </c>
      <c r="D17" s="2" t="s">
        <v>52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55</v>
      </c>
      <c r="B18" s="2" t="s">
        <v>1472</v>
      </c>
      <c r="C18" s="2" t="s">
        <v>1473</v>
      </c>
      <c r="D18" s="2" t="s">
        <v>50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15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49</v>
      </c>
      <c r="B19" s="2" t="s">
        <v>1474</v>
      </c>
      <c r="C19" s="2" t="s">
        <v>1475</v>
      </c>
      <c r="D19" s="2" t="s">
        <v>34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24</v>
      </c>
      <c r="K19" s="2">
        <v>1</v>
      </c>
      <c r="L19" s="8">
        <v>39.22</v>
      </c>
      <c r="M19" s="2" t="s">
        <v>78</v>
      </c>
    </row>
    <row r="20" spans="1:13" x14ac:dyDescent="0.25">
      <c r="A20" s="2" t="s">
        <v>53</v>
      </c>
      <c r="B20" s="2" t="s">
        <v>1476</v>
      </c>
      <c r="C20" s="2" t="s">
        <v>1477</v>
      </c>
      <c r="D20" s="2" t="s">
        <v>50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43</v>
      </c>
      <c r="B21" s="2" t="s">
        <v>1478</v>
      </c>
      <c r="C21" s="2" t="s">
        <v>1479</v>
      </c>
      <c r="D21" s="2" t="s">
        <v>36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33</v>
      </c>
      <c r="K21" s="2">
        <v>1</v>
      </c>
      <c r="L21" s="8">
        <v>18.3</v>
      </c>
      <c r="M21" s="2" t="s">
        <v>78</v>
      </c>
    </row>
    <row r="22" spans="1:13" x14ac:dyDescent="0.25">
      <c r="A22" s="2" t="s">
        <v>43</v>
      </c>
      <c r="B22" s="2" t="s">
        <v>1480</v>
      </c>
      <c r="C22" s="2" t="s">
        <v>1481</v>
      </c>
      <c r="D22" s="2" t="s">
        <v>40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7.53</v>
      </c>
      <c r="M22" s="2" t="s">
        <v>78</v>
      </c>
    </row>
    <row r="23" spans="1:13" x14ac:dyDescent="0.25">
      <c r="A23" s="2" t="s">
        <v>35</v>
      </c>
      <c r="B23" s="2" t="s">
        <v>1482</v>
      </c>
      <c r="C23" s="2" t="s">
        <v>1483</v>
      </c>
      <c r="D23" s="2" t="s">
        <v>60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33</v>
      </c>
      <c r="K23" s="2">
        <v>1</v>
      </c>
      <c r="L23" s="8">
        <v>0</v>
      </c>
      <c r="M23" s="2" t="s">
        <v>78</v>
      </c>
    </row>
    <row r="24" spans="1:13" x14ac:dyDescent="0.25">
      <c r="A24" s="2" t="s">
        <v>51</v>
      </c>
      <c r="B24" s="2" t="s">
        <v>1484</v>
      </c>
      <c r="C24" s="2" t="s">
        <v>1485</v>
      </c>
      <c r="D24" s="2" t="s">
        <v>38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35</v>
      </c>
      <c r="B25" s="2" t="s">
        <v>1486</v>
      </c>
      <c r="C25" s="2" t="s">
        <v>1487</v>
      </c>
      <c r="D25" s="2" t="s">
        <v>40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18</v>
      </c>
      <c r="K25" s="2">
        <v>1</v>
      </c>
      <c r="L25" s="8">
        <v>144.38999999999999</v>
      </c>
      <c r="M25" s="2" t="s">
        <v>78</v>
      </c>
    </row>
    <row r="26" spans="1:13" x14ac:dyDescent="0.25">
      <c r="A26" s="2" t="s">
        <v>37</v>
      </c>
      <c r="B26" s="2" t="s">
        <v>1488</v>
      </c>
      <c r="C26" s="2" t="s">
        <v>1489</v>
      </c>
      <c r="D26" s="2" t="s">
        <v>42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0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37</v>
      </c>
      <c r="B27" s="2" t="s">
        <v>1490</v>
      </c>
      <c r="C27" s="2" t="s">
        <v>1491</v>
      </c>
      <c r="D27" s="2" t="s">
        <v>67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0</v>
      </c>
      <c r="K27" s="2">
        <v>0</v>
      </c>
      <c r="L27" s="8">
        <v>129.62</v>
      </c>
      <c r="M27" s="2" t="s">
        <v>78</v>
      </c>
    </row>
    <row r="28" spans="1:13" x14ac:dyDescent="0.25">
      <c r="A28" s="2" t="s">
        <v>51</v>
      </c>
      <c r="B28" s="2" t="s">
        <v>1492</v>
      </c>
      <c r="C28" s="2" t="s">
        <v>1493</v>
      </c>
      <c r="D28" s="2" t="s">
        <v>56</v>
      </c>
      <c r="E28" s="2">
        <v>1</v>
      </c>
      <c r="F28" s="2">
        <v>0</v>
      </c>
      <c r="G28" s="2">
        <v>0</v>
      </c>
      <c r="H28" s="2">
        <v>1</v>
      </c>
      <c r="I28" s="2">
        <v>0</v>
      </c>
      <c r="J28" s="8">
        <v>15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35</v>
      </c>
      <c r="B29" s="2" t="s">
        <v>1494</v>
      </c>
      <c r="C29" s="2" t="s">
        <v>1495</v>
      </c>
      <c r="D29" s="2" t="s">
        <v>69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8">
        <v>24</v>
      </c>
      <c r="K29" s="2">
        <v>0</v>
      </c>
      <c r="L29" s="8">
        <v>0</v>
      </c>
      <c r="M29" s="2" t="s">
        <v>78</v>
      </c>
    </row>
    <row r="30" spans="1:13" x14ac:dyDescent="0.25">
      <c r="A30" s="2" t="s">
        <v>35</v>
      </c>
      <c r="B30" s="2" t="s">
        <v>1496</v>
      </c>
      <c r="C30" s="2" t="s">
        <v>1497</v>
      </c>
      <c r="D30" s="2" t="s">
        <v>60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8">
        <v>16</v>
      </c>
      <c r="K30" s="2">
        <v>1</v>
      </c>
      <c r="L30" s="8">
        <v>0</v>
      </c>
      <c r="M30" s="2" t="s">
        <v>78</v>
      </c>
    </row>
    <row r="31" spans="1:13" x14ac:dyDescent="0.25">
      <c r="A31" s="2" t="s">
        <v>53</v>
      </c>
      <c r="B31" s="2" t="s">
        <v>1498</v>
      </c>
      <c r="C31" s="2" t="s">
        <v>1499</v>
      </c>
      <c r="D31" s="2" t="s">
        <v>61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33</v>
      </c>
      <c r="K31" s="2">
        <v>1</v>
      </c>
      <c r="L31" s="8">
        <v>112.15</v>
      </c>
      <c r="M31" s="2" t="s">
        <v>78</v>
      </c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1500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55</v>
      </c>
      <c r="B4" s="2" t="s">
        <v>1501</v>
      </c>
      <c r="C4" s="2" t="s">
        <v>1502</v>
      </c>
      <c r="D4" s="2" t="s">
        <v>34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2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1</v>
      </c>
      <c r="U4" s="2">
        <f t="shared" ref="U4:U15" si="4">SUMIF($A$4:$A$43,$P4,I$4:I$43)</f>
        <v>0</v>
      </c>
      <c r="V4" s="8">
        <f t="shared" ref="V4:V15" si="5">SUMIF($A$4:$A$43,$P4,J$4:J$43)</f>
        <v>33</v>
      </c>
      <c r="W4" s="2">
        <f t="shared" ref="W4:W15" si="6">SUMIF($A$4:$A$43,$P4,K$4:K$43)</f>
        <v>2</v>
      </c>
      <c r="X4" s="8">
        <f t="shared" ref="X4:X15" si="7">SUMIF($A$4:$A$43,$P4,L$4:L$43)</f>
        <v>6.17</v>
      </c>
    </row>
    <row r="5" spans="1:24" x14ac:dyDescent="0.25">
      <c r="A5" s="2" t="s">
        <v>41</v>
      </c>
      <c r="B5" s="2" t="s">
        <v>1503</v>
      </c>
      <c r="C5" s="2" t="s">
        <v>1504</v>
      </c>
      <c r="D5" s="2" t="s">
        <v>63</v>
      </c>
      <c r="E5" s="2">
        <v>1</v>
      </c>
      <c r="F5" s="2">
        <v>0</v>
      </c>
      <c r="G5" s="2">
        <v>0</v>
      </c>
      <c r="H5" s="2">
        <v>1</v>
      </c>
      <c r="I5" s="2">
        <v>0</v>
      </c>
      <c r="J5" s="8">
        <v>0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16</v>
      </c>
      <c r="W5" s="2">
        <f t="shared" si="6"/>
        <v>1</v>
      </c>
      <c r="X5" s="8">
        <f t="shared" si="7"/>
        <v>9.9600000000000009</v>
      </c>
    </row>
    <row r="6" spans="1:24" x14ac:dyDescent="0.25">
      <c r="A6" s="2" t="s">
        <v>41</v>
      </c>
      <c r="B6" s="2" t="s">
        <v>1505</v>
      </c>
      <c r="C6" s="2" t="s">
        <v>1506</v>
      </c>
      <c r="D6" s="2" t="s">
        <v>69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8">
        <v>33</v>
      </c>
      <c r="K6" s="2">
        <v>0</v>
      </c>
      <c r="L6" s="8">
        <v>67.12</v>
      </c>
      <c r="M6" s="2" t="s">
        <v>78</v>
      </c>
      <c r="P6" s="2" t="str">
        <f>Setup!$A$6</f>
        <v>Expert 03</v>
      </c>
      <c r="Q6" s="2">
        <f t="shared" si="0"/>
        <v>2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33</v>
      </c>
      <c r="W6" s="2">
        <f t="shared" si="6"/>
        <v>2</v>
      </c>
      <c r="X6" s="8">
        <f t="shared" si="7"/>
        <v>138.88</v>
      </c>
    </row>
    <row r="7" spans="1:24" x14ac:dyDescent="0.25">
      <c r="A7" s="2" t="s">
        <v>37</v>
      </c>
      <c r="B7" s="2" t="s">
        <v>1507</v>
      </c>
      <c r="C7" s="2" t="s">
        <v>1508</v>
      </c>
      <c r="D7" s="2" t="s">
        <v>44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4</v>
      </c>
      <c r="R7" s="2">
        <f t="shared" si="1"/>
        <v>0</v>
      </c>
      <c r="S7" s="2">
        <f t="shared" si="2"/>
        <v>0</v>
      </c>
      <c r="T7" s="2">
        <f t="shared" si="3"/>
        <v>1</v>
      </c>
      <c r="U7" s="2">
        <f t="shared" si="4"/>
        <v>0</v>
      </c>
      <c r="V7" s="8">
        <f t="shared" si="5"/>
        <v>75</v>
      </c>
      <c r="W7" s="2">
        <f t="shared" si="6"/>
        <v>5</v>
      </c>
      <c r="X7" s="8">
        <f t="shared" si="7"/>
        <v>243.72</v>
      </c>
    </row>
    <row r="8" spans="1:24" x14ac:dyDescent="0.25">
      <c r="A8" s="2" t="s">
        <v>55</v>
      </c>
      <c r="B8" s="2" t="s">
        <v>1509</v>
      </c>
      <c r="C8" s="2" t="s">
        <v>1510</v>
      </c>
      <c r="D8" s="2" t="s">
        <v>34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15</v>
      </c>
      <c r="K8" s="2">
        <v>1</v>
      </c>
      <c r="L8" s="8">
        <v>6.79</v>
      </c>
      <c r="M8" s="2" t="s">
        <v>78</v>
      </c>
      <c r="P8" s="2" t="str">
        <f>Setup!$A$8</f>
        <v>Expert 05</v>
      </c>
      <c r="Q8" s="2">
        <f t="shared" si="0"/>
        <v>3</v>
      </c>
      <c r="R8" s="2">
        <f t="shared" si="1"/>
        <v>1</v>
      </c>
      <c r="S8" s="2">
        <f t="shared" si="2"/>
        <v>0</v>
      </c>
      <c r="T8" s="2">
        <f t="shared" si="3"/>
        <v>1</v>
      </c>
      <c r="U8" s="2">
        <f t="shared" si="4"/>
        <v>0</v>
      </c>
      <c r="V8" s="8">
        <f t="shared" si="5"/>
        <v>81</v>
      </c>
      <c r="W8" s="2">
        <f t="shared" si="6"/>
        <v>4</v>
      </c>
      <c r="X8" s="8">
        <f t="shared" si="7"/>
        <v>205.85000000000002</v>
      </c>
    </row>
    <row r="9" spans="1:24" x14ac:dyDescent="0.25">
      <c r="A9" s="2" t="s">
        <v>37</v>
      </c>
      <c r="B9" s="2" t="s">
        <v>1511</v>
      </c>
      <c r="C9" s="2" t="s">
        <v>1512</v>
      </c>
      <c r="D9" s="2" t="s">
        <v>38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138.88</v>
      </c>
      <c r="M9" s="2" t="s">
        <v>78</v>
      </c>
      <c r="P9" s="2" t="str">
        <f>Setup!$A$9</f>
        <v>Expert 06</v>
      </c>
      <c r="Q9" s="2">
        <f t="shared" si="0"/>
        <v>0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0</v>
      </c>
      <c r="W9" s="2">
        <f t="shared" si="6"/>
        <v>0</v>
      </c>
      <c r="X9" s="8">
        <f t="shared" si="7"/>
        <v>0</v>
      </c>
    </row>
    <row r="10" spans="1:24" x14ac:dyDescent="0.25">
      <c r="A10" s="2" t="s">
        <v>53</v>
      </c>
      <c r="B10" s="2" t="s">
        <v>1513</v>
      </c>
      <c r="C10" s="2" t="s">
        <v>1514</v>
      </c>
      <c r="D10" s="2" t="s">
        <v>56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0</v>
      </c>
      <c r="R10" s="2">
        <f t="shared" si="1"/>
        <v>0</v>
      </c>
      <c r="S10" s="2">
        <f t="shared" si="2"/>
        <v>1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131.4</v>
      </c>
    </row>
    <row r="11" spans="1:24" x14ac:dyDescent="0.25">
      <c r="A11" s="2" t="s">
        <v>37</v>
      </c>
      <c r="B11" s="2" t="s">
        <v>1515</v>
      </c>
      <c r="C11" s="2" t="s">
        <v>1516</v>
      </c>
      <c r="D11" s="2" t="s">
        <v>69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33</v>
      </c>
      <c r="K11" s="2">
        <v>0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1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24</v>
      </c>
      <c r="W11" s="2">
        <f t="shared" si="6"/>
        <v>2</v>
      </c>
      <c r="X11" s="8">
        <f t="shared" si="7"/>
        <v>170.01</v>
      </c>
    </row>
    <row r="12" spans="1:24" x14ac:dyDescent="0.25">
      <c r="A12" s="2" t="s">
        <v>51</v>
      </c>
      <c r="B12" s="2" t="s">
        <v>1517</v>
      </c>
      <c r="C12" s="2" t="s">
        <v>1518</v>
      </c>
      <c r="D12" s="2" t="s">
        <v>63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18</v>
      </c>
      <c r="K12" s="2">
        <v>1</v>
      </c>
      <c r="L12" s="8">
        <v>176.97</v>
      </c>
      <c r="M12" s="2" t="s">
        <v>118</v>
      </c>
      <c r="P12" s="2" t="str">
        <f>Setup!$A$12</f>
        <v>Expert 09</v>
      </c>
      <c r="Q12" s="2">
        <f t="shared" si="0"/>
        <v>1</v>
      </c>
      <c r="R12" s="2">
        <f t="shared" si="1"/>
        <v>1</v>
      </c>
      <c r="S12" s="2">
        <f t="shared" si="2"/>
        <v>0</v>
      </c>
      <c r="T12" s="2">
        <f t="shared" si="3"/>
        <v>0</v>
      </c>
      <c r="U12" s="2">
        <f t="shared" si="4"/>
        <v>1</v>
      </c>
      <c r="V12" s="8">
        <f t="shared" si="5"/>
        <v>39</v>
      </c>
      <c r="W12" s="2">
        <f t="shared" si="6"/>
        <v>1</v>
      </c>
      <c r="X12" s="8">
        <f t="shared" si="7"/>
        <v>163.97</v>
      </c>
    </row>
    <row r="13" spans="1:24" x14ac:dyDescent="0.25">
      <c r="A13" s="2" t="s">
        <v>39</v>
      </c>
      <c r="B13" s="2" t="s">
        <v>1519</v>
      </c>
      <c r="C13" s="2" t="s">
        <v>1520</v>
      </c>
      <c r="D13" s="2" t="s">
        <v>34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24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1</v>
      </c>
      <c r="U13" s="2">
        <f t="shared" si="4"/>
        <v>1</v>
      </c>
      <c r="V13" s="8">
        <f t="shared" si="5"/>
        <v>42</v>
      </c>
      <c r="W13" s="2">
        <f t="shared" si="6"/>
        <v>2</v>
      </c>
      <c r="X13" s="8">
        <f t="shared" si="7"/>
        <v>176.97</v>
      </c>
    </row>
    <row r="14" spans="1:24" x14ac:dyDescent="0.25">
      <c r="A14" s="2" t="s">
        <v>51</v>
      </c>
      <c r="B14" s="2" t="s">
        <v>1521</v>
      </c>
      <c r="C14" s="2" t="s">
        <v>1522</v>
      </c>
      <c r="D14" s="2" t="s">
        <v>66</v>
      </c>
      <c r="E14" s="2">
        <v>0</v>
      </c>
      <c r="F14" s="2">
        <v>0</v>
      </c>
      <c r="G14" s="2">
        <v>0</v>
      </c>
      <c r="H14" s="2">
        <v>1</v>
      </c>
      <c r="I14" s="2">
        <v>1</v>
      </c>
      <c r="J14" s="8">
        <v>24</v>
      </c>
      <c r="K14" s="2">
        <v>0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15</v>
      </c>
      <c r="W14" s="2">
        <f t="shared" si="6"/>
        <v>2</v>
      </c>
      <c r="X14" s="8">
        <f t="shared" si="7"/>
        <v>51.64</v>
      </c>
    </row>
    <row r="15" spans="1:24" x14ac:dyDescent="0.25">
      <c r="A15" s="2" t="s">
        <v>41</v>
      </c>
      <c r="B15" s="2" t="s">
        <v>1523</v>
      </c>
      <c r="C15" s="2" t="s">
        <v>1524</v>
      </c>
      <c r="D15" s="2" t="s">
        <v>57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33</v>
      </c>
      <c r="K15" s="2">
        <v>1</v>
      </c>
      <c r="L15" s="8">
        <v>108.62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15</v>
      </c>
      <c r="W15" s="2">
        <f t="shared" si="6"/>
        <v>3</v>
      </c>
      <c r="X15" s="8">
        <f t="shared" si="7"/>
        <v>91.79</v>
      </c>
    </row>
    <row r="16" spans="1:24" x14ac:dyDescent="0.25">
      <c r="A16" s="2" t="s">
        <v>33</v>
      </c>
      <c r="B16" s="2" t="s">
        <v>1525</v>
      </c>
      <c r="C16" s="2" t="s">
        <v>1526</v>
      </c>
      <c r="D16" s="2" t="s">
        <v>60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33</v>
      </c>
      <c r="K16" s="2">
        <v>1</v>
      </c>
      <c r="L16" s="8">
        <v>6.17</v>
      </c>
      <c r="M16" s="2" t="s">
        <v>78</v>
      </c>
      <c r="P16" s="9" t="s">
        <v>103</v>
      </c>
      <c r="Q16" s="10">
        <f t="shared" ref="Q16:X16" si="8">SUM(Q4:Q15)</f>
        <v>19</v>
      </c>
      <c r="R16" s="10">
        <f t="shared" si="8"/>
        <v>2</v>
      </c>
      <c r="S16" s="10">
        <f t="shared" si="8"/>
        <v>1</v>
      </c>
      <c r="T16" s="10">
        <f t="shared" si="8"/>
        <v>4</v>
      </c>
      <c r="U16" s="10">
        <f t="shared" si="8"/>
        <v>2</v>
      </c>
      <c r="V16" s="11">
        <f t="shared" si="8"/>
        <v>373</v>
      </c>
      <c r="W16" s="10">
        <f t="shared" si="8"/>
        <v>25</v>
      </c>
      <c r="X16" s="11">
        <f t="shared" si="8"/>
        <v>1390.3600000000001</v>
      </c>
    </row>
    <row r="17" spans="1:13" x14ac:dyDescent="0.25">
      <c r="A17" s="2" t="s">
        <v>33</v>
      </c>
      <c r="B17" s="2" t="s">
        <v>1527</v>
      </c>
      <c r="C17" s="2" t="s">
        <v>1528</v>
      </c>
      <c r="D17" s="2" t="s">
        <v>48</v>
      </c>
      <c r="E17" s="2">
        <v>1</v>
      </c>
      <c r="F17" s="2">
        <v>0</v>
      </c>
      <c r="G17" s="2">
        <v>0</v>
      </c>
      <c r="H17" s="2">
        <v>1</v>
      </c>
      <c r="I17" s="2">
        <v>0</v>
      </c>
      <c r="J17" s="8">
        <v>0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39</v>
      </c>
      <c r="B18" s="2" t="s">
        <v>1529</v>
      </c>
      <c r="C18" s="2" t="s">
        <v>1530</v>
      </c>
      <c r="D18" s="2" t="s">
        <v>34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18</v>
      </c>
      <c r="K18" s="2">
        <v>1</v>
      </c>
      <c r="L18" s="8">
        <v>171.88</v>
      </c>
      <c r="M18" s="2" t="s">
        <v>78</v>
      </c>
    </row>
    <row r="19" spans="1:13" x14ac:dyDescent="0.25">
      <c r="A19" s="2" t="s">
        <v>39</v>
      </c>
      <c r="B19" s="2" t="s">
        <v>1531</v>
      </c>
      <c r="C19" s="2" t="s">
        <v>1532</v>
      </c>
      <c r="D19" s="2" t="s">
        <v>65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44.94</v>
      </c>
      <c r="M19" s="2" t="s">
        <v>78</v>
      </c>
    </row>
    <row r="20" spans="1:13" x14ac:dyDescent="0.25">
      <c r="A20" s="2" t="s">
        <v>55</v>
      </c>
      <c r="B20" s="2" t="s">
        <v>1533</v>
      </c>
      <c r="C20" s="2" t="s">
        <v>1534</v>
      </c>
      <c r="D20" s="2" t="s">
        <v>57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85</v>
      </c>
      <c r="M20" s="2" t="s">
        <v>78</v>
      </c>
    </row>
    <row r="21" spans="1:13" x14ac:dyDescent="0.25">
      <c r="A21" s="2" t="s">
        <v>49</v>
      </c>
      <c r="B21" s="2" t="s">
        <v>1535</v>
      </c>
      <c r="C21" s="2" t="s">
        <v>1536</v>
      </c>
      <c r="D21" s="2" t="s">
        <v>66</v>
      </c>
      <c r="E21" s="2">
        <v>0</v>
      </c>
      <c r="F21" s="2">
        <v>1</v>
      </c>
      <c r="G21" s="2">
        <v>0</v>
      </c>
      <c r="H21" s="2">
        <v>0</v>
      </c>
      <c r="I21" s="2">
        <v>1</v>
      </c>
      <c r="J21" s="8">
        <v>24</v>
      </c>
      <c r="K21" s="2">
        <v>0</v>
      </c>
      <c r="L21" s="8">
        <v>153.78</v>
      </c>
      <c r="M21" s="2" t="s">
        <v>78</v>
      </c>
    </row>
    <row r="22" spans="1:13" x14ac:dyDescent="0.25">
      <c r="A22" s="2" t="s">
        <v>51</v>
      </c>
      <c r="B22" s="2" t="s">
        <v>1537</v>
      </c>
      <c r="C22" s="2" t="s">
        <v>1538</v>
      </c>
      <c r="D22" s="2" t="s">
        <v>38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39</v>
      </c>
      <c r="B23" s="2" t="s">
        <v>1539</v>
      </c>
      <c r="C23" s="2" t="s">
        <v>1540</v>
      </c>
      <c r="D23" s="2" t="s">
        <v>58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15</v>
      </c>
      <c r="K23" s="2">
        <v>1</v>
      </c>
      <c r="L23" s="8">
        <v>26.9</v>
      </c>
      <c r="M23" s="2" t="s">
        <v>78</v>
      </c>
    </row>
    <row r="24" spans="1:13" x14ac:dyDescent="0.25">
      <c r="A24" s="2" t="s">
        <v>41</v>
      </c>
      <c r="B24" s="2" t="s">
        <v>1541</v>
      </c>
      <c r="C24" s="2" t="s">
        <v>1542</v>
      </c>
      <c r="D24" s="2" t="s">
        <v>34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45</v>
      </c>
      <c r="B25" s="2" t="s">
        <v>1543</v>
      </c>
      <c r="C25" s="2" t="s">
        <v>1544</v>
      </c>
      <c r="D25" s="2" t="s">
        <v>50</v>
      </c>
      <c r="E25" s="2">
        <v>0</v>
      </c>
      <c r="F25" s="2">
        <v>0</v>
      </c>
      <c r="G25" s="2">
        <v>1</v>
      </c>
      <c r="H25" s="2">
        <v>0</v>
      </c>
      <c r="I25" s="2">
        <v>0</v>
      </c>
      <c r="J25" s="8">
        <v>0</v>
      </c>
      <c r="K25" s="2">
        <v>1</v>
      </c>
      <c r="L25" s="8">
        <v>131.4</v>
      </c>
      <c r="M25" s="2" t="s">
        <v>78</v>
      </c>
    </row>
    <row r="26" spans="1:13" x14ac:dyDescent="0.25">
      <c r="A26" s="2" t="s">
        <v>39</v>
      </c>
      <c r="B26" s="2" t="s">
        <v>1545</v>
      </c>
      <c r="C26" s="2" t="s">
        <v>1546</v>
      </c>
      <c r="D26" s="2" t="s">
        <v>63</v>
      </c>
      <c r="E26" s="2">
        <v>1</v>
      </c>
      <c r="F26" s="2">
        <v>0</v>
      </c>
      <c r="G26" s="2">
        <v>0</v>
      </c>
      <c r="H26" s="2">
        <v>1</v>
      </c>
      <c r="I26" s="2">
        <v>0</v>
      </c>
      <c r="J26" s="8">
        <v>18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49</v>
      </c>
      <c r="B27" s="2" t="s">
        <v>1547</v>
      </c>
      <c r="C27" s="2" t="s">
        <v>1548</v>
      </c>
      <c r="D27" s="2" t="s">
        <v>63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15</v>
      </c>
      <c r="K27" s="2">
        <v>1</v>
      </c>
      <c r="L27" s="8">
        <v>10.19</v>
      </c>
      <c r="M27" s="2" t="s">
        <v>78</v>
      </c>
    </row>
    <row r="28" spans="1:13" x14ac:dyDescent="0.25">
      <c r="A28" s="2" t="s">
        <v>53</v>
      </c>
      <c r="B28" s="2" t="s">
        <v>1549</v>
      </c>
      <c r="C28" s="2" t="s">
        <v>1550</v>
      </c>
      <c r="D28" s="2" t="s">
        <v>46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51.64</v>
      </c>
      <c r="M28" s="2" t="s">
        <v>78</v>
      </c>
    </row>
    <row r="29" spans="1:13" x14ac:dyDescent="0.25">
      <c r="A29" s="2" t="s">
        <v>47</v>
      </c>
      <c r="B29" s="2" t="s">
        <v>1551</v>
      </c>
      <c r="C29" s="2" t="s">
        <v>1552</v>
      </c>
      <c r="D29" s="2" t="s">
        <v>38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170.01</v>
      </c>
      <c r="M29" s="2" t="s">
        <v>78</v>
      </c>
    </row>
    <row r="30" spans="1:13" x14ac:dyDescent="0.25">
      <c r="A30" s="2" t="s">
        <v>35</v>
      </c>
      <c r="B30" s="2" t="s">
        <v>1553</v>
      </c>
      <c r="C30" s="2" t="s">
        <v>1554</v>
      </c>
      <c r="D30" s="2" t="s">
        <v>57</v>
      </c>
      <c r="E30" s="2">
        <v>1</v>
      </c>
      <c r="F30" s="2">
        <v>0</v>
      </c>
      <c r="G30" s="2">
        <v>0</v>
      </c>
      <c r="H30" s="2">
        <v>0</v>
      </c>
      <c r="I30" s="2">
        <v>0</v>
      </c>
      <c r="J30" s="8">
        <v>16</v>
      </c>
      <c r="K30" s="2">
        <v>1</v>
      </c>
      <c r="L30" s="8">
        <v>9.9600000000000009</v>
      </c>
      <c r="M30" s="2" t="s">
        <v>78</v>
      </c>
    </row>
    <row r="31" spans="1:13" x14ac:dyDescent="0.25">
      <c r="A31" s="2" t="s">
        <v>41</v>
      </c>
      <c r="B31" s="2" t="s">
        <v>1555</v>
      </c>
      <c r="C31" s="2" t="s">
        <v>1556</v>
      </c>
      <c r="D31" s="2" t="s">
        <v>62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15</v>
      </c>
      <c r="K31" s="2">
        <v>1</v>
      </c>
      <c r="L31" s="8">
        <v>30.11</v>
      </c>
      <c r="M31" s="2" t="s">
        <v>78</v>
      </c>
    </row>
    <row r="32" spans="1:13" x14ac:dyDescent="0.25">
      <c r="A32" s="2" t="s">
        <v>47</v>
      </c>
      <c r="B32" s="2" t="s">
        <v>1557</v>
      </c>
      <c r="C32" s="2" t="s">
        <v>1558</v>
      </c>
      <c r="D32" s="2" t="s">
        <v>46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8">
        <v>24</v>
      </c>
      <c r="K32" s="2">
        <v>1</v>
      </c>
      <c r="L32" s="8">
        <v>0</v>
      </c>
      <c r="M32" s="2" t="s">
        <v>78</v>
      </c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1559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49</v>
      </c>
      <c r="B4" s="2" t="s">
        <v>1560</v>
      </c>
      <c r="C4" s="2" t="s">
        <v>1561</v>
      </c>
      <c r="D4" s="2" t="s">
        <v>66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8">
        <v>15</v>
      </c>
      <c r="K4" s="2">
        <v>0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0</v>
      </c>
      <c r="X4" s="8">
        <f t="shared" ref="X4:X15" si="7">SUMIF($A$4:$A$43,$P4,L$4:L$43)</f>
        <v>0</v>
      </c>
    </row>
    <row r="5" spans="1:24" x14ac:dyDescent="0.25">
      <c r="A5" s="2" t="s">
        <v>37</v>
      </c>
      <c r="B5" s="2" t="s">
        <v>1562</v>
      </c>
      <c r="C5" s="2" t="s">
        <v>1563</v>
      </c>
      <c r="D5" s="2" t="s">
        <v>54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74.989999999999995</v>
      </c>
      <c r="M5" s="2" t="s">
        <v>78</v>
      </c>
      <c r="P5" s="2" t="str">
        <f>Setup!$A$5</f>
        <v>Expert 02</v>
      </c>
      <c r="Q5" s="2">
        <f t="shared" si="0"/>
        <v>2</v>
      </c>
      <c r="R5" s="2">
        <f t="shared" si="1"/>
        <v>0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24</v>
      </c>
      <c r="W5" s="2">
        <f t="shared" si="6"/>
        <v>2</v>
      </c>
      <c r="X5" s="8">
        <f t="shared" si="7"/>
        <v>179.45</v>
      </c>
    </row>
    <row r="6" spans="1:24" x14ac:dyDescent="0.25">
      <c r="A6" s="2" t="s">
        <v>53</v>
      </c>
      <c r="B6" s="2" t="s">
        <v>1564</v>
      </c>
      <c r="C6" s="2" t="s">
        <v>1565</v>
      </c>
      <c r="D6" s="2" t="s">
        <v>63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16</v>
      </c>
      <c r="K6" s="2">
        <v>1</v>
      </c>
      <c r="L6" s="8">
        <v>97.96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2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0</v>
      </c>
      <c r="W6" s="2">
        <f t="shared" si="6"/>
        <v>3</v>
      </c>
      <c r="X6" s="8">
        <f t="shared" si="7"/>
        <v>245.55</v>
      </c>
    </row>
    <row r="7" spans="1:24" x14ac:dyDescent="0.25">
      <c r="A7" s="2" t="s">
        <v>43</v>
      </c>
      <c r="B7" s="2" t="s">
        <v>1566</v>
      </c>
      <c r="C7" s="2" t="s">
        <v>1567</v>
      </c>
      <c r="D7" s="2" t="s">
        <v>38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16</v>
      </c>
      <c r="K7" s="2">
        <v>1</v>
      </c>
      <c r="L7" s="8">
        <v>161.55000000000001</v>
      </c>
      <c r="M7" s="2" t="s">
        <v>78</v>
      </c>
      <c r="P7" s="2" t="str">
        <f>Setup!$A$7</f>
        <v>Expert 04</v>
      </c>
      <c r="Q7" s="2">
        <f t="shared" si="0"/>
        <v>1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0</v>
      </c>
      <c r="W7" s="2">
        <f t="shared" si="6"/>
        <v>2</v>
      </c>
      <c r="X7" s="8">
        <f t="shared" si="7"/>
        <v>190.51</v>
      </c>
    </row>
    <row r="8" spans="1:24" x14ac:dyDescent="0.25">
      <c r="A8" s="2" t="s">
        <v>53</v>
      </c>
      <c r="B8" s="2" t="s">
        <v>1568</v>
      </c>
      <c r="C8" s="2" t="s">
        <v>1569</v>
      </c>
      <c r="D8" s="2" t="s">
        <v>67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24</v>
      </c>
      <c r="K8" s="2">
        <v>0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0</v>
      </c>
      <c r="W8" s="2">
        <f t="shared" si="6"/>
        <v>1</v>
      </c>
      <c r="X8" s="8">
        <f t="shared" si="7"/>
        <v>120.79</v>
      </c>
    </row>
    <row r="9" spans="1:24" x14ac:dyDescent="0.25">
      <c r="A9" s="2" t="s">
        <v>45</v>
      </c>
      <c r="B9" s="2" t="s">
        <v>1570</v>
      </c>
      <c r="C9" s="2" t="s">
        <v>1571</v>
      </c>
      <c r="D9" s="2" t="s">
        <v>36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8">
        <v>18</v>
      </c>
      <c r="K9" s="2">
        <v>1</v>
      </c>
      <c r="L9" s="8">
        <v>1.68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16</v>
      </c>
      <c r="W9" s="2">
        <f t="shared" si="6"/>
        <v>2</v>
      </c>
      <c r="X9" s="8">
        <f t="shared" si="7"/>
        <v>161.55000000000001</v>
      </c>
    </row>
    <row r="10" spans="1:24" x14ac:dyDescent="0.25">
      <c r="A10" s="2" t="s">
        <v>45</v>
      </c>
      <c r="B10" s="2" t="s">
        <v>1572</v>
      </c>
      <c r="C10" s="2" t="s">
        <v>1573</v>
      </c>
      <c r="D10" s="2" t="s">
        <v>50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0</v>
      </c>
      <c r="K10" s="2">
        <v>1</v>
      </c>
      <c r="L10" s="8">
        <v>130.33000000000001</v>
      </c>
      <c r="M10" s="2" t="s">
        <v>78</v>
      </c>
      <c r="P10" s="2" t="str">
        <f>Setup!$A$10</f>
        <v>Expert 07</v>
      </c>
      <c r="Q10" s="2">
        <f t="shared" si="0"/>
        <v>2</v>
      </c>
      <c r="R10" s="2">
        <f t="shared" si="1"/>
        <v>1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34</v>
      </c>
      <c r="W10" s="2">
        <f t="shared" si="6"/>
        <v>3</v>
      </c>
      <c r="X10" s="8">
        <f t="shared" si="7"/>
        <v>224.37</v>
      </c>
    </row>
    <row r="11" spans="1:24" x14ac:dyDescent="0.25">
      <c r="A11" s="2" t="s">
        <v>35</v>
      </c>
      <c r="B11" s="2" t="s">
        <v>1574</v>
      </c>
      <c r="C11" s="2" t="s">
        <v>1575</v>
      </c>
      <c r="D11" s="2" t="s">
        <v>62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0</v>
      </c>
      <c r="K11" s="2">
        <v>1</v>
      </c>
      <c r="L11" s="8">
        <v>127.97</v>
      </c>
      <c r="M11" s="2" t="s">
        <v>78</v>
      </c>
      <c r="P11" s="2" t="str">
        <f>Setup!$A$11</f>
        <v>Expert 08</v>
      </c>
      <c r="Q11" s="2">
        <f t="shared" si="0"/>
        <v>2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24</v>
      </c>
      <c r="W11" s="2">
        <f t="shared" si="6"/>
        <v>3</v>
      </c>
      <c r="X11" s="8">
        <f t="shared" si="7"/>
        <v>72.27</v>
      </c>
    </row>
    <row r="12" spans="1:24" x14ac:dyDescent="0.25">
      <c r="A12" s="2" t="s">
        <v>35</v>
      </c>
      <c r="B12" s="2" t="s">
        <v>1576</v>
      </c>
      <c r="C12" s="2" t="s">
        <v>1577</v>
      </c>
      <c r="D12" s="2" t="s">
        <v>65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24</v>
      </c>
      <c r="K12" s="2">
        <v>1</v>
      </c>
      <c r="L12" s="8">
        <v>51.48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1</v>
      </c>
      <c r="V12" s="8">
        <f t="shared" si="5"/>
        <v>15</v>
      </c>
      <c r="W12" s="2">
        <f t="shared" si="6"/>
        <v>0</v>
      </c>
      <c r="X12" s="8">
        <f t="shared" si="7"/>
        <v>139.9</v>
      </c>
    </row>
    <row r="13" spans="1:24" x14ac:dyDescent="0.25">
      <c r="A13" s="2" t="s">
        <v>55</v>
      </c>
      <c r="B13" s="2" t="s">
        <v>1578</v>
      </c>
      <c r="C13" s="2" t="s">
        <v>1579</v>
      </c>
      <c r="D13" s="2" t="s">
        <v>62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0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U13" s="2">
        <f t="shared" si="4"/>
        <v>0</v>
      </c>
      <c r="V13" s="8">
        <f t="shared" si="5"/>
        <v>0</v>
      </c>
      <c r="W13" s="2">
        <f t="shared" si="6"/>
        <v>0</v>
      </c>
      <c r="X13" s="8">
        <f t="shared" si="7"/>
        <v>0</v>
      </c>
    </row>
    <row r="14" spans="1:24" x14ac:dyDescent="0.25">
      <c r="A14" s="2" t="s">
        <v>47</v>
      </c>
      <c r="B14" s="2" t="s">
        <v>1580</v>
      </c>
      <c r="C14" s="2" t="s">
        <v>1581</v>
      </c>
      <c r="D14" s="2" t="s">
        <v>52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24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2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55</v>
      </c>
      <c r="W14" s="2">
        <f t="shared" si="6"/>
        <v>3</v>
      </c>
      <c r="X14" s="8">
        <f t="shared" si="7"/>
        <v>156.69</v>
      </c>
    </row>
    <row r="15" spans="1:24" x14ac:dyDescent="0.25">
      <c r="A15" s="2" t="s">
        <v>47</v>
      </c>
      <c r="B15" s="2" t="s">
        <v>1582</v>
      </c>
      <c r="C15" s="2" t="s">
        <v>1583</v>
      </c>
      <c r="D15" s="2" t="s">
        <v>57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8">
        <v>0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2</v>
      </c>
      <c r="X15" s="8">
        <f t="shared" si="7"/>
        <v>0</v>
      </c>
    </row>
    <row r="16" spans="1:24" x14ac:dyDescent="0.25">
      <c r="A16" s="2" t="s">
        <v>39</v>
      </c>
      <c r="B16" s="2" t="s">
        <v>1584</v>
      </c>
      <c r="C16" s="2" t="s">
        <v>1585</v>
      </c>
      <c r="D16" s="2" t="s">
        <v>56</v>
      </c>
      <c r="E16" s="2">
        <v>0</v>
      </c>
      <c r="F16" s="2">
        <v>1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115.48</v>
      </c>
      <c r="M16" s="2" t="s">
        <v>78</v>
      </c>
      <c r="P16" s="9" t="s">
        <v>103</v>
      </c>
      <c r="Q16" s="10">
        <f t="shared" ref="Q16:X16" si="8">SUM(Q4:Q15)</f>
        <v>14</v>
      </c>
      <c r="R16" s="10">
        <f t="shared" si="8"/>
        <v>6</v>
      </c>
      <c r="S16" s="10">
        <f t="shared" si="8"/>
        <v>0</v>
      </c>
      <c r="T16" s="10">
        <f t="shared" si="8"/>
        <v>0</v>
      </c>
      <c r="U16" s="10">
        <f t="shared" si="8"/>
        <v>1</v>
      </c>
      <c r="V16" s="11">
        <f t="shared" si="8"/>
        <v>168</v>
      </c>
      <c r="W16" s="10">
        <f t="shared" si="8"/>
        <v>21</v>
      </c>
      <c r="X16" s="11">
        <f t="shared" si="8"/>
        <v>1491.08</v>
      </c>
    </row>
    <row r="17" spans="1:13" x14ac:dyDescent="0.25">
      <c r="A17" s="2" t="s">
        <v>41</v>
      </c>
      <c r="B17" s="2" t="s">
        <v>1586</v>
      </c>
      <c r="C17" s="2" t="s">
        <v>1587</v>
      </c>
      <c r="D17" s="2" t="s">
        <v>34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0</v>
      </c>
      <c r="K17" s="2">
        <v>1</v>
      </c>
      <c r="L17" s="8">
        <v>120.79</v>
      </c>
      <c r="M17" s="2" t="s">
        <v>78</v>
      </c>
    </row>
    <row r="18" spans="1:13" x14ac:dyDescent="0.25">
      <c r="A18" s="2" t="s">
        <v>37</v>
      </c>
      <c r="B18" s="2" t="s">
        <v>1588</v>
      </c>
      <c r="C18" s="2" t="s">
        <v>1589</v>
      </c>
      <c r="D18" s="2" t="s">
        <v>44</v>
      </c>
      <c r="E18" s="2">
        <v>0</v>
      </c>
      <c r="F18" s="2">
        <v>1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47</v>
      </c>
      <c r="B19" s="2" t="s">
        <v>1590</v>
      </c>
      <c r="C19" s="2" t="s">
        <v>1591</v>
      </c>
      <c r="D19" s="2" t="s">
        <v>63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72.27</v>
      </c>
      <c r="M19" s="2" t="s">
        <v>78</v>
      </c>
    </row>
    <row r="20" spans="1:13" x14ac:dyDescent="0.25">
      <c r="A20" s="2" t="s">
        <v>43</v>
      </c>
      <c r="B20" s="2" t="s">
        <v>1592</v>
      </c>
      <c r="C20" s="2" t="s">
        <v>1593</v>
      </c>
      <c r="D20" s="2" t="s">
        <v>61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39</v>
      </c>
      <c r="B21" s="2" t="s">
        <v>1594</v>
      </c>
      <c r="C21" s="2" t="s">
        <v>1595</v>
      </c>
      <c r="D21" s="2" t="s">
        <v>34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75.03</v>
      </c>
      <c r="M21" s="2" t="s">
        <v>118</v>
      </c>
    </row>
    <row r="22" spans="1:13" x14ac:dyDescent="0.25">
      <c r="A22" s="2" t="s">
        <v>55</v>
      </c>
      <c r="B22" s="2" t="s">
        <v>1596</v>
      </c>
      <c r="C22" s="2" t="s">
        <v>1597</v>
      </c>
      <c r="D22" s="2" t="s">
        <v>57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37</v>
      </c>
      <c r="B23" s="2" t="s">
        <v>1598</v>
      </c>
      <c r="C23" s="2" t="s">
        <v>1599</v>
      </c>
      <c r="D23" s="2" t="s">
        <v>63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170.56</v>
      </c>
      <c r="M23" s="2" t="s">
        <v>78</v>
      </c>
    </row>
    <row r="24" spans="1:13" x14ac:dyDescent="0.25">
      <c r="A24" s="2" t="s">
        <v>53</v>
      </c>
      <c r="B24" s="2" t="s">
        <v>1600</v>
      </c>
      <c r="C24" s="2" t="s">
        <v>1601</v>
      </c>
      <c r="D24" s="2" t="s">
        <v>67</v>
      </c>
      <c r="E24" s="2">
        <v>0</v>
      </c>
      <c r="F24" s="2">
        <v>1</v>
      </c>
      <c r="G24" s="2">
        <v>0</v>
      </c>
      <c r="H24" s="2">
        <v>0</v>
      </c>
      <c r="I24" s="2">
        <v>0</v>
      </c>
      <c r="J24" s="8">
        <v>15</v>
      </c>
      <c r="K24" s="2">
        <v>0</v>
      </c>
      <c r="L24" s="8">
        <v>58.73</v>
      </c>
      <c r="M24" s="2" t="s">
        <v>78</v>
      </c>
    </row>
    <row r="25" spans="1:13" x14ac:dyDescent="0.25">
      <c r="A25" s="2" t="s">
        <v>45</v>
      </c>
      <c r="B25" s="2" t="s">
        <v>1602</v>
      </c>
      <c r="C25" s="2" t="s">
        <v>1603</v>
      </c>
      <c r="D25" s="2" t="s">
        <v>63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16</v>
      </c>
      <c r="K25" s="2">
        <v>1</v>
      </c>
      <c r="L25" s="8">
        <v>92.36</v>
      </c>
      <c r="M25" s="2" t="s">
        <v>78</v>
      </c>
    </row>
    <row r="26" spans="1:13" x14ac:dyDescent="0.25">
      <c r="A26" s="2" t="s">
        <v>49</v>
      </c>
      <c r="B26" s="2" t="s">
        <v>1604</v>
      </c>
      <c r="C26" s="2" t="s">
        <v>1605</v>
      </c>
      <c r="D26" s="2" t="s">
        <v>67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0</v>
      </c>
      <c r="K26" s="2">
        <v>0</v>
      </c>
      <c r="L26" s="8">
        <v>139.9</v>
      </c>
      <c r="M26" s="2" t="s">
        <v>78</v>
      </c>
    </row>
    <row r="27" spans="1:13" x14ac:dyDescent="0.25">
      <c r="A27" s="2" t="s">
        <v>53</v>
      </c>
      <c r="B27" s="2" t="s">
        <v>1606</v>
      </c>
      <c r="C27" s="2" t="s">
        <v>1607</v>
      </c>
      <c r="D27" s="2" t="s">
        <v>34</v>
      </c>
      <c r="E27" s="2">
        <v>0</v>
      </c>
      <c r="F27" s="2">
        <v>1</v>
      </c>
      <c r="G27" s="2">
        <v>0</v>
      </c>
      <c r="H27" s="2">
        <v>0</v>
      </c>
      <c r="I27" s="2">
        <v>0</v>
      </c>
      <c r="J27" s="8">
        <v>0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53</v>
      </c>
      <c r="B28" s="2" t="s">
        <v>1608</v>
      </c>
      <c r="C28" s="2" t="s">
        <v>1609</v>
      </c>
      <c r="D28" s="2" t="s">
        <v>62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0</v>
      </c>
      <c r="M28" s="2" t="s">
        <v>78</v>
      </c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8"/>
      <c r="K29" s="2"/>
      <c r="L29" s="8"/>
      <c r="M29" s="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8"/>
      <c r="K30" s="2"/>
      <c r="L30" s="8"/>
      <c r="M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8"/>
      <c r="K31" s="2"/>
      <c r="L31" s="8"/>
      <c r="M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1610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49</v>
      </c>
      <c r="B4" s="2" t="s">
        <v>1611</v>
      </c>
      <c r="C4" s="2" t="s">
        <v>1612</v>
      </c>
      <c r="D4" s="2" t="s">
        <v>36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8">
        <v>33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1</v>
      </c>
      <c r="S4" s="2">
        <f t="shared" ref="S4:S15" si="2">SUMIF($A$4:$A$43,$P4,G$4:G$43)</f>
        <v>1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16</v>
      </c>
      <c r="W4" s="2">
        <f t="shared" ref="W4:W15" si="6">SUMIF($A$4:$A$43,$P4,K$4:K$43)</f>
        <v>2</v>
      </c>
      <c r="X4" s="8">
        <f t="shared" ref="X4:X15" si="7">SUMIF($A$4:$A$43,$P4,L$4:L$43)</f>
        <v>66.760000000000005</v>
      </c>
    </row>
    <row r="5" spans="1:24" x14ac:dyDescent="0.25">
      <c r="A5" s="2" t="s">
        <v>35</v>
      </c>
      <c r="B5" s="2" t="s">
        <v>1613</v>
      </c>
      <c r="C5" s="2" t="s">
        <v>1614</v>
      </c>
      <c r="D5" s="2" t="s">
        <v>40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2</v>
      </c>
      <c r="R5" s="2">
        <f t="shared" si="1"/>
        <v>1</v>
      </c>
      <c r="S5" s="2">
        <f t="shared" si="2"/>
        <v>0</v>
      </c>
      <c r="T5" s="2">
        <f t="shared" si="3"/>
        <v>1</v>
      </c>
      <c r="U5" s="2">
        <f t="shared" si="4"/>
        <v>0</v>
      </c>
      <c r="V5" s="8">
        <f t="shared" si="5"/>
        <v>0</v>
      </c>
      <c r="W5" s="2">
        <f t="shared" si="6"/>
        <v>3</v>
      </c>
      <c r="X5" s="8">
        <f t="shared" si="7"/>
        <v>162.63</v>
      </c>
    </row>
    <row r="6" spans="1:24" x14ac:dyDescent="0.25">
      <c r="A6" s="2" t="s">
        <v>39</v>
      </c>
      <c r="B6" s="2" t="s">
        <v>1615</v>
      </c>
      <c r="C6" s="2" t="s">
        <v>1616</v>
      </c>
      <c r="D6" s="2" t="s">
        <v>50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8">
        <v>0</v>
      </c>
      <c r="K6" s="2">
        <v>1</v>
      </c>
      <c r="L6" s="8">
        <v>0</v>
      </c>
      <c r="M6" s="2" t="s">
        <v>118</v>
      </c>
      <c r="P6" s="2" t="str">
        <f>Setup!$A$6</f>
        <v>Expert 03</v>
      </c>
      <c r="Q6" s="2">
        <f t="shared" si="0"/>
        <v>1</v>
      </c>
      <c r="R6" s="2">
        <f t="shared" si="1"/>
        <v>0</v>
      </c>
      <c r="S6" s="2">
        <f t="shared" si="2"/>
        <v>1</v>
      </c>
      <c r="T6" s="2">
        <f t="shared" si="3"/>
        <v>0</v>
      </c>
      <c r="U6" s="2">
        <f t="shared" si="4"/>
        <v>0</v>
      </c>
      <c r="V6" s="8">
        <f t="shared" si="5"/>
        <v>18</v>
      </c>
      <c r="W6" s="2">
        <f t="shared" si="6"/>
        <v>1</v>
      </c>
      <c r="X6" s="8">
        <f t="shared" si="7"/>
        <v>0</v>
      </c>
    </row>
    <row r="7" spans="1:24" x14ac:dyDescent="0.25">
      <c r="A7" s="2" t="s">
        <v>37</v>
      </c>
      <c r="B7" s="2" t="s">
        <v>1617</v>
      </c>
      <c r="C7" s="2" t="s">
        <v>1618</v>
      </c>
      <c r="D7" s="2" t="s">
        <v>68</v>
      </c>
      <c r="E7" s="2">
        <v>1</v>
      </c>
      <c r="F7" s="2">
        <v>0</v>
      </c>
      <c r="G7" s="2">
        <v>1</v>
      </c>
      <c r="H7" s="2">
        <v>0</v>
      </c>
      <c r="I7" s="2">
        <v>0</v>
      </c>
      <c r="J7" s="8">
        <v>18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2</v>
      </c>
      <c r="R7" s="2">
        <f t="shared" si="1"/>
        <v>0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15</v>
      </c>
      <c r="W7" s="2">
        <f t="shared" si="6"/>
        <v>2</v>
      </c>
      <c r="X7" s="8">
        <f t="shared" si="7"/>
        <v>114.11</v>
      </c>
    </row>
    <row r="8" spans="1:24" x14ac:dyDescent="0.25">
      <c r="A8" s="2" t="s">
        <v>33</v>
      </c>
      <c r="B8" s="2" t="s">
        <v>1619</v>
      </c>
      <c r="C8" s="2" t="s">
        <v>1620</v>
      </c>
      <c r="D8" s="2" t="s">
        <v>44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2</v>
      </c>
      <c r="R8" s="2">
        <f t="shared" si="1"/>
        <v>0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32</v>
      </c>
      <c r="W8" s="2">
        <f t="shared" si="6"/>
        <v>2</v>
      </c>
      <c r="X8" s="8">
        <f t="shared" si="7"/>
        <v>45.33</v>
      </c>
    </row>
    <row r="9" spans="1:24" x14ac:dyDescent="0.25">
      <c r="A9" s="2" t="s">
        <v>51</v>
      </c>
      <c r="B9" s="2" t="s">
        <v>1621</v>
      </c>
      <c r="C9" s="2" t="s">
        <v>1622</v>
      </c>
      <c r="D9" s="2" t="s">
        <v>57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4.79</v>
      </c>
      <c r="M9" s="2" t="s">
        <v>78</v>
      </c>
      <c r="P9" s="2" t="str">
        <f>Setup!$A$9</f>
        <v>Expert 06</v>
      </c>
      <c r="Q9" s="2">
        <f t="shared" si="0"/>
        <v>3</v>
      </c>
      <c r="R9" s="2">
        <f t="shared" si="1"/>
        <v>0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15</v>
      </c>
      <c r="W9" s="2">
        <f t="shared" si="6"/>
        <v>3</v>
      </c>
      <c r="X9" s="8">
        <f t="shared" si="7"/>
        <v>192.62000000000003</v>
      </c>
    </row>
    <row r="10" spans="1:24" x14ac:dyDescent="0.25">
      <c r="A10" s="2" t="s">
        <v>55</v>
      </c>
      <c r="B10" s="2" t="s">
        <v>1623</v>
      </c>
      <c r="C10" s="2" t="s">
        <v>1624</v>
      </c>
      <c r="D10" s="2" t="s">
        <v>64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1</v>
      </c>
      <c r="L10" s="8">
        <v>0</v>
      </c>
      <c r="M10" s="2" t="s">
        <v>118</v>
      </c>
      <c r="P10" s="2" t="str">
        <f>Setup!$A$10</f>
        <v>Expert 07</v>
      </c>
      <c r="Q10" s="2">
        <f t="shared" si="0"/>
        <v>0</v>
      </c>
      <c r="R10" s="2">
        <f t="shared" si="1"/>
        <v>1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0</v>
      </c>
      <c r="W10" s="2">
        <f t="shared" si="6"/>
        <v>1</v>
      </c>
      <c r="X10" s="8">
        <f t="shared" si="7"/>
        <v>161.22999999999999</v>
      </c>
    </row>
    <row r="11" spans="1:24" x14ac:dyDescent="0.25">
      <c r="A11" s="2" t="s">
        <v>41</v>
      </c>
      <c r="B11" s="2" t="s">
        <v>1625</v>
      </c>
      <c r="C11" s="2" t="s">
        <v>1626</v>
      </c>
      <c r="D11" s="2" t="s">
        <v>50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8">
        <v>16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3</v>
      </c>
      <c r="R11" s="2">
        <f t="shared" si="1"/>
        <v>0</v>
      </c>
      <c r="S11" s="2">
        <f t="shared" si="2"/>
        <v>0</v>
      </c>
      <c r="T11" s="2">
        <f t="shared" si="3"/>
        <v>1</v>
      </c>
      <c r="U11" s="2">
        <f t="shared" si="4"/>
        <v>0</v>
      </c>
      <c r="V11" s="8">
        <f t="shared" si="5"/>
        <v>39</v>
      </c>
      <c r="W11" s="2">
        <f t="shared" si="6"/>
        <v>3</v>
      </c>
      <c r="X11" s="8">
        <f t="shared" si="7"/>
        <v>216.87</v>
      </c>
    </row>
    <row r="12" spans="1:24" x14ac:dyDescent="0.25">
      <c r="A12" s="2" t="s">
        <v>35</v>
      </c>
      <c r="B12" s="2" t="s">
        <v>1627</v>
      </c>
      <c r="C12" s="2" t="s">
        <v>1628</v>
      </c>
      <c r="D12" s="2" t="s">
        <v>58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0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33</v>
      </c>
      <c r="W12" s="2">
        <f t="shared" si="6"/>
        <v>2</v>
      </c>
      <c r="X12" s="8">
        <f t="shared" si="7"/>
        <v>0</v>
      </c>
    </row>
    <row r="13" spans="1:24" x14ac:dyDescent="0.25">
      <c r="A13" s="2" t="s">
        <v>47</v>
      </c>
      <c r="B13" s="2" t="s">
        <v>1629</v>
      </c>
      <c r="C13" s="2" t="s">
        <v>1630</v>
      </c>
      <c r="D13" s="2" t="s">
        <v>42</v>
      </c>
      <c r="E13" s="2">
        <v>1</v>
      </c>
      <c r="F13" s="2">
        <v>0</v>
      </c>
      <c r="G13" s="2">
        <v>0</v>
      </c>
      <c r="H13" s="2">
        <v>1</v>
      </c>
      <c r="I13" s="2">
        <v>0</v>
      </c>
      <c r="J13" s="8">
        <v>0</v>
      </c>
      <c r="K13" s="2">
        <v>1</v>
      </c>
      <c r="L13" s="8">
        <v>40.35</v>
      </c>
      <c r="M13" s="2" t="s">
        <v>78</v>
      </c>
      <c r="P13" s="2" t="str">
        <f>Setup!$A$13</f>
        <v>Expert 10</v>
      </c>
      <c r="Q13" s="2">
        <f t="shared" si="0"/>
        <v>3</v>
      </c>
      <c r="R13" s="2">
        <f t="shared" si="1"/>
        <v>0</v>
      </c>
      <c r="S13" s="2">
        <f t="shared" si="2"/>
        <v>0</v>
      </c>
      <c r="T13" s="2">
        <f t="shared" si="3"/>
        <v>1</v>
      </c>
      <c r="U13" s="2">
        <f t="shared" si="4"/>
        <v>0</v>
      </c>
      <c r="V13" s="8">
        <f t="shared" si="5"/>
        <v>31</v>
      </c>
      <c r="W13" s="2">
        <f t="shared" si="6"/>
        <v>4</v>
      </c>
      <c r="X13" s="8">
        <f t="shared" si="7"/>
        <v>283.90999999999997</v>
      </c>
    </row>
    <row r="14" spans="1:24" x14ac:dyDescent="0.25">
      <c r="A14" s="2" t="s">
        <v>45</v>
      </c>
      <c r="B14" s="2" t="s">
        <v>1631</v>
      </c>
      <c r="C14" s="2" t="s">
        <v>1632</v>
      </c>
      <c r="D14" s="2" t="s">
        <v>42</v>
      </c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161.22999999999999</v>
      </c>
      <c r="M14" s="2" t="s">
        <v>118</v>
      </c>
      <c r="P14" s="2" t="str">
        <f>Setup!$A$14</f>
        <v>Expert 11</v>
      </c>
      <c r="Q14" s="2">
        <f t="shared" si="0"/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0</v>
      </c>
      <c r="X14" s="8">
        <f t="shared" si="7"/>
        <v>0</v>
      </c>
    </row>
    <row r="15" spans="1:24" x14ac:dyDescent="0.25">
      <c r="A15" s="2" t="s">
        <v>35</v>
      </c>
      <c r="B15" s="2" t="s">
        <v>1633</v>
      </c>
      <c r="C15" s="2" t="s">
        <v>1634</v>
      </c>
      <c r="D15" s="2" t="s">
        <v>36</v>
      </c>
      <c r="E15" s="2">
        <v>0</v>
      </c>
      <c r="F15" s="2">
        <v>1</v>
      </c>
      <c r="G15" s="2">
        <v>0</v>
      </c>
      <c r="H15" s="2">
        <v>1</v>
      </c>
      <c r="I15" s="2">
        <v>0</v>
      </c>
      <c r="J15" s="8">
        <v>0</v>
      </c>
      <c r="K15" s="2">
        <v>1</v>
      </c>
      <c r="L15" s="8">
        <v>162.63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0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54</v>
      </c>
      <c r="W15" s="2">
        <f t="shared" si="6"/>
        <v>2</v>
      </c>
      <c r="X15" s="8">
        <f t="shared" si="7"/>
        <v>15.42</v>
      </c>
    </row>
    <row r="16" spans="1:24" x14ac:dyDescent="0.25">
      <c r="A16" s="2" t="s">
        <v>39</v>
      </c>
      <c r="B16" s="2" t="s">
        <v>1635</v>
      </c>
      <c r="C16" s="2" t="s">
        <v>1636</v>
      </c>
      <c r="D16" s="2" t="s">
        <v>42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15</v>
      </c>
      <c r="K16" s="2">
        <v>1</v>
      </c>
      <c r="L16" s="8">
        <v>114.11</v>
      </c>
      <c r="M16" s="2" t="s">
        <v>78</v>
      </c>
      <c r="P16" s="9" t="s">
        <v>103</v>
      </c>
      <c r="Q16" s="10">
        <f t="shared" ref="Q16:X16" si="8">SUM(Q4:Q15)</f>
        <v>20</v>
      </c>
      <c r="R16" s="10">
        <f t="shared" si="8"/>
        <v>3</v>
      </c>
      <c r="S16" s="10">
        <f t="shared" si="8"/>
        <v>2</v>
      </c>
      <c r="T16" s="10">
        <f t="shared" si="8"/>
        <v>3</v>
      </c>
      <c r="U16" s="10">
        <f t="shared" si="8"/>
        <v>0</v>
      </c>
      <c r="V16" s="11">
        <f t="shared" si="8"/>
        <v>253</v>
      </c>
      <c r="W16" s="10">
        <f t="shared" si="8"/>
        <v>25</v>
      </c>
      <c r="X16" s="11">
        <f t="shared" si="8"/>
        <v>1258.8800000000001</v>
      </c>
    </row>
    <row r="17" spans="1:13" x14ac:dyDescent="0.25">
      <c r="A17" s="2" t="s">
        <v>41</v>
      </c>
      <c r="B17" s="2" t="s">
        <v>1637</v>
      </c>
      <c r="C17" s="2" t="s">
        <v>1638</v>
      </c>
      <c r="D17" s="2" t="s">
        <v>58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16</v>
      </c>
      <c r="K17" s="2">
        <v>1</v>
      </c>
      <c r="L17" s="8">
        <v>45.33</v>
      </c>
      <c r="M17" s="2" t="s">
        <v>78</v>
      </c>
    </row>
    <row r="18" spans="1:13" x14ac:dyDescent="0.25">
      <c r="A18" s="2" t="s">
        <v>49</v>
      </c>
      <c r="B18" s="2" t="s">
        <v>1639</v>
      </c>
      <c r="C18" s="2" t="s">
        <v>1640</v>
      </c>
      <c r="D18" s="2" t="s">
        <v>62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0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33</v>
      </c>
      <c r="B19" s="2" t="s">
        <v>1641</v>
      </c>
      <c r="C19" s="2" t="s">
        <v>1642</v>
      </c>
      <c r="D19" s="2" t="s">
        <v>57</v>
      </c>
      <c r="E19" s="2">
        <v>0</v>
      </c>
      <c r="F19" s="2">
        <v>1</v>
      </c>
      <c r="G19" s="2">
        <v>1</v>
      </c>
      <c r="H19" s="2">
        <v>0</v>
      </c>
      <c r="I19" s="2">
        <v>0</v>
      </c>
      <c r="J19" s="8">
        <v>16</v>
      </c>
      <c r="K19" s="2">
        <v>1</v>
      </c>
      <c r="L19" s="8">
        <v>66.760000000000005</v>
      </c>
      <c r="M19" s="2" t="s">
        <v>78</v>
      </c>
    </row>
    <row r="20" spans="1:13" x14ac:dyDescent="0.25">
      <c r="A20" s="2" t="s">
        <v>55</v>
      </c>
      <c r="B20" s="2" t="s">
        <v>1643</v>
      </c>
      <c r="C20" s="2" t="s">
        <v>1644</v>
      </c>
      <c r="D20" s="2" t="s">
        <v>60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15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43</v>
      </c>
      <c r="B21" s="2" t="s">
        <v>1645</v>
      </c>
      <c r="C21" s="2" t="s">
        <v>1646</v>
      </c>
      <c r="D21" s="2" t="s">
        <v>52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15</v>
      </c>
      <c r="K21" s="2">
        <v>1</v>
      </c>
      <c r="L21" s="8">
        <v>21.61</v>
      </c>
      <c r="M21" s="2" t="s">
        <v>78</v>
      </c>
    </row>
    <row r="22" spans="1:13" x14ac:dyDescent="0.25">
      <c r="A22" s="2" t="s">
        <v>51</v>
      </c>
      <c r="B22" s="2" t="s">
        <v>1647</v>
      </c>
      <c r="C22" s="2" t="s">
        <v>1648</v>
      </c>
      <c r="D22" s="2" t="s">
        <v>58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8">
        <v>0</v>
      </c>
      <c r="K22" s="2">
        <v>1</v>
      </c>
      <c r="L22" s="8">
        <v>175.72</v>
      </c>
      <c r="M22" s="2" t="s">
        <v>78</v>
      </c>
    </row>
    <row r="23" spans="1:13" x14ac:dyDescent="0.25">
      <c r="A23" s="2" t="s">
        <v>47</v>
      </c>
      <c r="B23" s="2" t="s">
        <v>1649</v>
      </c>
      <c r="C23" s="2" t="s">
        <v>1650</v>
      </c>
      <c r="D23" s="2" t="s">
        <v>44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24</v>
      </c>
      <c r="K23" s="2">
        <v>1</v>
      </c>
      <c r="L23" s="8">
        <v>96.31</v>
      </c>
      <c r="M23" s="2" t="s">
        <v>78</v>
      </c>
    </row>
    <row r="24" spans="1:13" x14ac:dyDescent="0.25">
      <c r="A24" s="2" t="s">
        <v>51</v>
      </c>
      <c r="B24" s="2" t="s">
        <v>1651</v>
      </c>
      <c r="C24" s="2" t="s">
        <v>1652</v>
      </c>
      <c r="D24" s="2" t="s">
        <v>67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8">
        <v>16</v>
      </c>
      <c r="K24" s="2">
        <v>0</v>
      </c>
      <c r="L24" s="8">
        <v>0</v>
      </c>
      <c r="M24" s="2" t="s">
        <v>78</v>
      </c>
    </row>
    <row r="25" spans="1:13" x14ac:dyDescent="0.25">
      <c r="A25" s="2" t="s">
        <v>43</v>
      </c>
      <c r="B25" s="2" t="s">
        <v>1653</v>
      </c>
      <c r="C25" s="2" t="s">
        <v>1654</v>
      </c>
      <c r="D25" s="2" t="s">
        <v>46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8">
        <v>0</v>
      </c>
      <c r="K25" s="2">
        <v>1</v>
      </c>
      <c r="L25" s="8">
        <v>138.24</v>
      </c>
      <c r="M25" s="2" t="s">
        <v>78</v>
      </c>
    </row>
    <row r="26" spans="1:13" x14ac:dyDescent="0.25">
      <c r="A26" s="2" t="s">
        <v>47</v>
      </c>
      <c r="B26" s="2" t="s">
        <v>1655</v>
      </c>
      <c r="C26" s="2" t="s">
        <v>1656</v>
      </c>
      <c r="D26" s="2" t="s">
        <v>46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8">
        <v>15</v>
      </c>
      <c r="K26" s="2">
        <v>1</v>
      </c>
      <c r="L26" s="8">
        <v>80.209999999999994</v>
      </c>
      <c r="M26" s="2" t="s">
        <v>78</v>
      </c>
    </row>
    <row r="27" spans="1:13" x14ac:dyDescent="0.25">
      <c r="A27" s="2" t="s">
        <v>43</v>
      </c>
      <c r="B27" s="2" t="s">
        <v>1657</v>
      </c>
      <c r="C27" s="2" t="s">
        <v>1658</v>
      </c>
      <c r="D27" s="2" t="s">
        <v>50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0</v>
      </c>
      <c r="K27" s="2">
        <v>1</v>
      </c>
      <c r="L27" s="8">
        <v>32.770000000000003</v>
      </c>
      <c r="M27" s="2" t="s">
        <v>78</v>
      </c>
    </row>
    <row r="28" spans="1:13" x14ac:dyDescent="0.25">
      <c r="A28" s="2" t="s">
        <v>37</v>
      </c>
      <c r="B28" s="2" t="s">
        <v>1659</v>
      </c>
      <c r="C28" s="2" t="s">
        <v>1660</v>
      </c>
      <c r="D28" s="2" t="s">
        <v>69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0</v>
      </c>
      <c r="L28" s="8">
        <v>0</v>
      </c>
      <c r="M28" s="2" t="s">
        <v>78</v>
      </c>
    </row>
    <row r="29" spans="1:13" x14ac:dyDescent="0.25">
      <c r="A29" s="2" t="s">
        <v>51</v>
      </c>
      <c r="B29" s="2" t="s">
        <v>1661</v>
      </c>
      <c r="C29" s="2" t="s">
        <v>1662</v>
      </c>
      <c r="D29" s="2" t="s">
        <v>61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28.74</v>
      </c>
      <c r="M29" s="2" t="s">
        <v>78</v>
      </c>
    </row>
    <row r="30" spans="1:13" x14ac:dyDescent="0.25">
      <c r="A30" s="2" t="s">
        <v>55</v>
      </c>
      <c r="B30" s="2" t="s">
        <v>1663</v>
      </c>
      <c r="C30" s="2" t="s">
        <v>1664</v>
      </c>
      <c r="D30" s="2" t="s">
        <v>69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8">
        <v>24</v>
      </c>
      <c r="K30" s="2">
        <v>0</v>
      </c>
      <c r="L30" s="8">
        <v>15.42</v>
      </c>
      <c r="M30" s="2" t="s">
        <v>78</v>
      </c>
    </row>
    <row r="31" spans="1:13" x14ac:dyDescent="0.25">
      <c r="A31" s="2" t="s">
        <v>51</v>
      </c>
      <c r="B31" s="2" t="s">
        <v>1665</v>
      </c>
      <c r="C31" s="2" t="s">
        <v>1666</v>
      </c>
      <c r="D31" s="2" t="s">
        <v>52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15</v>
      </c>
      <c r="K31" s="2">
        <v>1</v>
      </c>
      <c r="L31" s="8">
        <v>74.66</v>
      </c>
      <c r="M31" s="2" t="s">
        <v>78</v>
      </c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8"/>
      <c r="K32" s="2"/>
      <c r="L32" s="8"/>
      <c r="M32" s="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8"/>
      <c r="K33" s="2"/>
      <c r="L33" s="8"/>
      <c r="M33" s="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8"/>
      <c r="K34" s="2"/>
      <c r="L34" s="8"/>
      <c r="M34" s="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1667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47</v>
      </c>
      <c r="B4" s="2" t="s">
        <v>1668</v>
      </c>
      <c r="C4" s="2" t="s">
        <v>1669</v>
      </c>
      <c r="D4" s="2" t="s">
        <v>56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0</v>
      </c>
      <c r="K4" s="2">
        <v>1</v>
      </c>
      <c r="L4" s="8">
        <v>93.22</v>
      </c>
      <c r="M4" s="2" t="s">
        <v>78</v>
      </c>
      <c r="P4" s="2" t="str">
        <f>Setup!$A$4</f>
        <v>Expert 01</v>
      </c>
      <c r="Q4" s="2">
        <f t="shared" ref="Q4:Q15" si="0">SUMIF($A$4:$A$43,$P4,E$4:E$43)</f>
        <v>0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0</v>
      </c>
      <c r="X4" s="8">
        <f t="shared" ref="X4:X15" si="7">SUMIF($A$4:$A$43,$P4,L$4:L$43)</f>
        <v>0</v>
      </c>
    </row>
    <row r="5" spans="1:24" x14ac:dyDescent="0.25">
      <c r="A5" s="2" t="s">
        <v>47</v>
      </c>
      <c r="B5" s="2" t="s">
        <v>1670</v>
      </c>
      <c r="C5" s="2" t="s">
        <v>1671</v>
      </c>
      <c r="D5" s="2" t="s">
        <v>42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8">
        <v>0</v>
      </c>
      <c r="K5" s="2">
        <v>1</v>
      </c>
      <c r="L5" s="8">
        <v>110.21</v>
      </c>
      <c r="M5" s="2" t="s">
        <v>78</v>
      </c>
      <c r="P5" s="2" t="str">
        <f>Setup!$A$5</f>
        <v>Expert 02</v>
      </c>
      <c r="Q5" s="2">
        <f t="shared" si="0"/>
        <v>2</v>
      </c>
      <c r="R5" s="2">
        <f t="shared" si="1"/>
        <v>0</v>
      </c>
      <c r="S5" s="2">
        <f t="shared" si="2"/>
        <v>0</v>
      </c>
      <c r="T5" s="2">
        <f t="shared" si="3"/>
        <v>1</v>
      </c>
      <c r="U5" s="2">
        <f t="shared" si="4"/>
        <v>1</v>
      </c>
      <c r="V5" s="8">
        <f t="shared" si="5"/>
        <v>15</v>
      </c>
      <c r="W5" s="2">
        <f t="shared" si="6"/>
        <v>2</v>
      </c>
      <c r="X5" s="8">
        <f t="shared" si="7"/>
        <v>221.23999999999998</v>
      </c>
    </row>
    <row r="6" spans="1:24" x14ac:dyDescent="0.25">
      <c r="A6" s="2" t="s">
        <v>53</v>
      </c>
      <c r="B6" s="2" t="s">
        <v>1672</v>
      </c>
      <c r="C6" s="2" t="s">
        <v>1673</v>
      </c>
      <c r="D6" s="2" t="s">
        <v>67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8">
        <v>0</v>
      </c>
      <c r="K6" s="2">
        <v>0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24</v>
      </c>
      <c r="W6" s="2">
        <f t="shared" si="6"/>
        <v>1</v>
      </c>
      <c r="X6" s="8">
        <f t="shared" si="7"/>
        <v>98.18</v>
      </c>
    </row>
    <row r="7" spans="1:24" x14ac:dyDescent="0.25">
      <c r="A7" s="2" t="s">
        <v>45</v>
      </c>
      <c r="B7" s="2" t="s">
        <v>1674</v>
      </c>
      <c r="C7" s="2" t="s">
        <v>1675</v>
      </c>
      <c r="D7" s="2" t="s">
        <v>46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8">
        <v>0</v>
      </c>
      <c r="K7" s="2">
        <v>1</v>
      </c>
      <c r="L7" s="8">
        <v>61.53</v>
      </c>
      <c r="M7" s="2" t="s">
        <v>78</v>
      </c>
      <c r="P7" s="2" t="str">
        <f>Setup!$A$7</f>
        <v>Expert 04</v>
      </c>
      <c r="Q7" s="2">
        <f t="shared" si="0"/>
        <v>1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0</v>
      </c>
      <c r="V7" s="8">
        <f t="shared" si="5"/>
        <v>66</v>
      </c>
      <c r="W7" s="2">
        <f t="shared" si="6"/>
        <v>2</v>
      </c>
      <c r="X7" s="8">
        <f t="shared" si="7"/>
        <v>0</v>
      </c>
    </row>
    <row r="8" spans="1:24" x14ac:dyDescent="0.25">
      <c r="A8" s="2" t="s">
        <v>55</v>
      </c>
      <c r="B8" s="2" t="s">
        <v>1676</v>
      </c>
      <c r="C8" s="2" t="s">
        <v>1677</v>
      </c>
      <c r="D8" s="2" t="s">
        <v>68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165.99</v>
      </c>
      <c r="M8" s="2" t="s">
        <v>78</v>
      </c>
      <c r="P8" s="2" t="str">
        <f>Setup!$A$8</f>
        <v>Expert 05</v>
      </c>
      <c r="Q8" s="2">
        <f t="shared" si="0"/>
        <v>1</v>
      </c>
      <c r="R8" s="2">
        <f t="shared" si="1"/>
        <v>1</v>
      </c>
      <c r="S8" s="2">
        <f t="shared" si="2"/>
        <v>0</v>
      </c>
      <c r="T8" s="2">
        <f t="shared" si="3"/>
        <v>0</v>
      </c>
      <c r="U8" s="2">
        <f t="shared" si="4"/>
        <v>0</v>
      </c>
      <c r="V8" s="8">
        <f t="shared" si="5"/>
        <v>15</v>
      </c>
      <c r="W8" s="2">
        <f t="shared" si="6"/>
        <v>2</v>
      </c>
      <c r="X8" s="8">
        <f t="shared" si="7"/>
        <v>79.900000000000006</v>
      </c>
    </row>
    <row r="9" spans="1:24" x14ac:dyDescent="0.25">
      <c r="A9" s="2" t="s">
        <v>53</v>
      </c>
      <c r="B9" s="2" t="s">
        <v>1678</v>
      </c>
      <c r="C9" s="2" t="s">
        <v>1679</v>
      </c>
      <c r="D9" s="2" t="s">
        <v>40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110.94</v>
      </c>
      <c r="M9" s="2" t="s">
        <v>118</v>
      </c>
      <c r="P9" s="2" t="str">
        <f>Setup!$A$9</f>
        <v>Expert 06</v>
      </c>
      <c r="Q9" s="2">
        <f t="shared" si="0"/>
        <v>2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33</v>
      </c>
      <c r="W9" s="2">
        <f t="shared" si="6"/>
        <v>3</v>
      </c>
      <c r="X9" s="8">
        <f t="shared" si="7"/>
        <v>200.74</v>
      </c>
    </row>
    <row r="10" spans="1:24" x14ac:dyDescent="0.25">
      <c r="A10" s="2" t="s">
        <v>51</v>
      </c>
      <c r="B10" s="2" t="s">
        <v>1680</v>
      </c>
      <c r="C10" s="2" t="s">
        <v>1681</v>
      </c>
      <c r="D10" s="2" t="s">
        <v>61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8">
        <v>0</v>
      </c>
      <c r="K10" s="2">
        <v>1</v>
      </c>
      <c r="L10" s="8">
        <v>51.44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3</v>
      </c>
      <c r="S10" s="2">
        <f t="shared" si="2"/>
        <v>0</v>
      </c>
      <c r="T10" s="2">
        <f t="shared" si="3"/>
        <v>0</v>
      </c>
      <c r="U10" s="2">
        <f t="shared" si="4"/>
        <v>0</v>
      </c>
      <c r="V10" s="8">
        <f t="shared" si="5"/>
        <v>49</v>
      </c>
      <c r="W10" s="2">
        <f t="shared" si="6"/>
        <v>4</v>
      </c>
      <c r="X10" s="8">
        <f t="shared" si="7"/>
        <v>61.53</v>
      </c>
    </row>
    <row r="11" spans="1:24" x14ac:dyDescent="0.25">
      <c r="A11" s="2" t="s">
        <v>45</v>
      </c>
      <c r="B11" s="2" t="s">
        <v>1682</v>
      </c>
      <c r="C11" s="2" t="s">
        <v>1683</v>
      </c>
      <c r="D11" s="2" t="s">
        <v>62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8">
        <v>33</v>
      </c>
      <c r="K11" s="2">
        <v>1</v>
      </c>
      <c r="L11" s="8">
        <v>0</v>
      </c>
      <c r="M11" s="2" t="s">
        <v>78</v>
      </c>
      <c r="P11" s="2" t="str">
        <f>Setup!$A$11</f>
        <v>Expert 08</v>
      </c>
      <c r="Q11" s="2">
        <f t="shared" si="0"/>
        <v>4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34</v>
      </c>
      <c r="W11" s="2">
        <f t="shared" si="6"/>
        <v>3</v>
      </c>
      <c r="X11" s="8">
        <f t="shared" si="7"/>
        <v>323.94</v>
      </c>
    </row>
    <row r="12" spans="1:24" x14ac:dyDescent="0.25">
      <c r="A12" s="2" t="s">
        <v>43</v>
      </c>
      <c r="B12" s="2" t="s">
        <v>1684</v>
      </c>
      <c r="C12" s="2" t="s">
        <v>1685</v>
      </c>
      <c r="D12" s="2" t="s">
        <v>46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151.38999999999999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0</v>
      </c>
      <c r="W12" s="2">
        <f t="shared" si="6"/>
        <v>1</v>
      </c>
      <c r="X12" s="8">
        <f t="shared" si="7"/>
        <v>154.82</v>
      </c>
    </row>
    <row r="13" spans="1:24" x14ac:dyDescent="0.25">
      <c r="A13" s="2" t="s">
        <v>39</v>
      </c>
      <c r="B13" s="2" t="s">
        <v>1686</v>
      </c>
      <c r="C13" s="2" t="s">
        <v>1687</v>
      </c>
      <c r="D13" s="2" t="s">
        <v>52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8">
        <v>33</v>
      </c>
      <c r="K13" s="2">
        <v>1</v>
      </c>
      <c r="L13" s="8">
        <v>0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1</v>
      </c>
      <c r="T13" s="2">
        <f t="shared" si="3"/>
        <v>1</v>
      </c>
      <c r="U13" s="2">
        <f t="shared" si="4"/>
        <v>0</v>
      </c>
      <c r="V13" s="8">
        <f t="shared" si="5"/>
        <v>34</v>
      </c>
      <c r="W13" s="2">
        <f t="shared" si="6"/>
        <v>4</v>
      </c>
      <c r="X13" s="8">
        <f t="shared" si="7"/>
        <v>51.44</v>
      </c>
    </row>
    <row r="14" spans="1:24" x14ac:dyDescent="0.25">
      <c r="A14" s="2" t="s">
        <v>51</v>
      </c>
      <c r="B14" s="2" t="s">
        <v>1688</v>
      </c>
      <c r="C14" s="2" t="s">
        <v>1689</v>
      </c>
      <c r="D14" s="2" t="s">
        <v>58</v>
      </c>
      <c r="E14" s="2">
        <v>1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0</v>
      </c>
      <c r="M14" s="2" t="s">
        <v>78</v>
      </c>
      <c r="P14" s="2" t="str">
        <f>Setup!$A$14</f>
        <v>Expert 11</v>
      </c>
      <c r="Q14" s="2">
        <f t="shared" si="0"/>
        <v>2</v>
      </c>
      <c r="R14" s="2">
        <f t="shared" si="1"/>
        <v>2</v>
      </c>
      <c r="S14" s="2">
        <f t="shared" si="2"/>
        <v>0</v>
      </c>
      <c r="T14" s="2">
        <f t="shared" si="3"/>
        <v>0</v>
      </c>
      <c r="U14" s="2">
        <f t="shared" si="4"/>
        <v>0</v>
      </c>
      <c r="V14" s="8">
        <f t="shared" si="5"/>
        <v>0</v>
      </c>
      <c r="W14" s="2">
        <f t="shared" si="6"/>
        <v>3</v>
      </c>
      <c r="X14" s="8">
        <f t="shared" si="7"/>
        <v>243.38</v>
      </c>
    </row>
    <row r="15" spans="1:24" x14ac:dyDescent="0.25">
      <c r="A15" s="2" t="s">
        <v>39</v>
      </c>
      <c r="B15" s="2" t="s">
        <v>1690</v>
      </c>
      <c r="C15" s="2" t="s">
        <v>1691</v>
      </c>
      <c r="D15" s="2" t="s">
        <v>61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8">
        <v>33</v>
      </c>
      <c r="K15" s="2">
        <v>1</v>
      </c>
      <c r="L15" s="8">
        <v>0</v>
      </c>
      <c r="M15" s="2" t="s">
        <v>78</v>
      </c>
      <c r="P15" s="2" t="str">
        <f>Setup!$A$15</f>
        <v>Expert 12</v>
      </c>
      <c r="Q15" s="2">
        <f t="shared" si="0"/>
        <v>1</v>
      </c>
      <c r="R15" s="2">
        <f t="shared" si="1"/>
        <v>1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0</v>
      </c>
      <c r="W15" s="2">
        <f t="shared" si="6"/>
        <v>3</v>
      </c>
      <c r="X15" s="8">
        <f t="shared" si="7"/>
        <v>165.99</v>
      </c>
    </row>
    <row r="16" spans="1:24" x14ac:dyDescent="0.25">
      <c r="A16" s="2" t="s">
        <v>41</v>
      </c>
      <c r="B16" s="2" t="s">
        <v>1692</v>
      </c>
      <c r="C16" s="2" t="s">
        <v>1693</v>
      </c>
      <c r="D16" s="2" t="s">
        <v>64</v>
      </c>
      <c r="E16" s="2">
        <v>1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21.6</v>
      </c>
      <c r="M16" s="2" t="s">
        <v>78</v>
      </c>
      <c r="P16" s="9" t="s">
        <v>103</v>
      </c>
      <c r="Q16" s="10">
        <f t="shared" ref="Q16:X16" si="8">SUM(Q4:Q15)</f>
        <v>16</v>
      </c>
      <c r="R16" s="10">
        <f t="shared" si="8"/>
        <v>9</v>
      </c>
      <c r="S16" s="10">
        <f t="shared" si="8"/>
        <v>1</v>
      </c>
      <c r="T16" s="10">
        <f t="shared" si="8"/>
        <v>2</v>
      </c>
      <c r="U16" s="10">
        <f t="shared" si="8"/>
        <v>1</v>
      </c>
      <c r="V16" s="11">
        <f t="shared" si="8"/>
        <v>270</v>
      </c>
      <c r="W16" s="10">
        <f t="shared" si="8"/>
        <v>28</v>
      </c>
      <c r="X16" s="11">
        <f t="shared" si="8"/>
        <v>1601.16</v>
      </c>
    </row>
    <row r="17" spans="1:13" x14ac:dyDescent="0.25">
      <c r="A17" s="2" t="s">
        <v>35</v>
      </c>
      <c r="B17" s="2" t="s">
        <v>1694</v>
      </c>
      <c r="C17" s="2" t="s">
        <v>1695</v>
      </c>
      <c r="D17" s="2" t="s">
        <v>62</v>
      </c>
      <c r="E17" s="2">
        <v>1</v>
      </c>
      <c r="F17" s="2">
        <v>0</v>
      </c>
      <c r="G17" s="2">
        <v>0</v>
      </c>
      <c r="H17" s="2">
        <v>1</v>
      </c>
      <c r="I17" s="2">
        <v>0</v>
      </c>
      <c r="J17" s="8">
        <v>15</v>
      </c>
      <c r="K17" s="2">
        <v>1</v>
      </c>
      <c r="L17" s="8">
        <v>51.6</v>
      </c>
      <c r="M17" s="2" t="s">
        <v>78</v>
      </c>
    </row>
    <row r="18" spans="1:13" x14ac:dyDescent="0.25">
      <c r="A18" s="2" t="s">
        <v>47</v>
      </c>
      <c r="B18" s="2" t="s">
        <v>1696</v>
      </c>
      <c r="C18" s="2" t="s">
        <v>1697</v>
      </c>
      <c r="D18" s="2" t="s">
        <v>34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18</v>
      </c>
      <c r="K18" s="2">
        <v>1</v>
      </c>
      <c r="L18" s="8">
        <v>0</v>
      </c>
      <c r="M18" s="2" t="s">
        <v>118</v>
      </c>
    </row>
    <row r="19" spans="1:13" x14ac:dyDescent="0.25">
      <c r="A19" s="2" t="s">
        <v>45</v>
      </c>
      <c r="B19" s="2" t="s">
        <v>1698</v>
      </c>
      <c r="C19" s="2" t="s">
        <v>1699</v>
      </c>
      <c r="D19" s="2" t="s">
        <v>52</v>
      </c>
      <c r="E19" s="2">
        <v>1</v>
      </c>
      <c r="F19" s="2">
        <v>0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0</v>
      </c>
      <c r="M19" s="2" t="s">
        <v>78</v>
      </c>
    </row>
    <row r="20" spans="1:13" x14ac:dyDescent="0.25">
      <c r="A20" s="2" t="s">
        <v>53</v>
      </c>
      <c r="B20" s="2" t="s">
        <v>1700</v>
      </c>
      <c r="C20" s="2" t="s">
        <v>1701</v>
      </c>
      <c r="D20" s="2" t="s">
        <v>40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0</v>
      </c>
      <c r="M20" s="2" t="s">
        <v>78</v>
      </c>
    </row>
    <row r="21" spans="1:13" x14ac:dyDescent="0.25">
      <c r="A21" s="2" t="s">
        <v>55</v>
      </c>
      <c r="B21" s="2" t="s">
        <v>1702</v>
      </c>
      <c r="C21" s="2" t="s">
        <v>1703</v>
      </c>
      <c r="D21" s="2" t="s">
        <v>61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0</v>
      </c>
      <c r="M21" s="2" t="s">
        <v>78</v>
      </c>
    </row>
    <row r="22" spans="1:13" x14ac:dyDescent="0.25">
      <c r="A22" s="2" t="s">
        <v>51</v>
      </c>
      <c r="B22" s="2" t="s">
        <v>1704</v>
      </c>
      <c r="C22" s="2" t="s">
        <v>1705</v>
      </c>
      <c r="D22" s="2" t="s">
        <v>56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8">
        <v>16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41</v>
      </c>
      <c r="B23" s="2" t="s">
        <v>1706</v>
      </c>
      <c r="C23" s="2" t="s">
        <v>1707</v>
      </c>
      <c r="D23" s="2" t="s">
        <v>60</v>
      </c>
      <c r="E23" s="2">
        <v>0</v>
      </c>
      <c r="F23" s="2">
        <v>1</v>
      </c>
      <c r="G23" s="2">
        <v>0</v>
      </c>
      <c r="H23" s="2">
        <v>0</v>
      </c>
      <c r="I23" s="2">
        <v>0</v>
      </c>
      <c r="J23" s="8">
        <v>15</v>
      </c>
      <c r="K23" s="2">
        <v>1</v>
      </c>
      <c r="L23" s="8">
        <v>58.3</v>
      </c>
      <c r="M23" s="2" t="s">
        <v>78</v>
      </c>
    </row>
    <row r="24" spans="1:13" x14ac:dyDescent="0.25">
      <c r="A24" s="2" t="s">
        <v>55</v>
      </c>
      <c r="B24" s="2" t="s">
        <v>1708</v>
      </c>
      <c r="C24" s="2" t="s">
        <v>1709</v>
      </c>
      <c r="D24" s="2" t="s">
        <v>48</v>
      </c>
      <c r="E24" s="2">
        <v>0</v>
      </c>
      <c r="F24" s="2">
        <v>1</v>
      </c>
      <c r="G24" s="2">
        <v>0</v>
      </c>
      <c r="H24" s="2">
        <v>0</v>
      </c>
      <c r="I24" s="2">
        <v>0</v>
      </c>
      <c r="J24" s="8">
        <v>0</v>
      </c>
      <c r="K24" s="2">
        <v>1</v>
      </c>
      <c r="L24" s="8">
        <v>0</v>
      </c>
      <c r="M24" s="2" t="s">
        <v>78</v>
      </c>
    </row>
    <row r="25" spans="1:13" x14ac:dyDescent="0.25">
      <c r="A25" s="2" t="s">
        <v>37</v>
      </c>
      <c r="B25" s="2" t="s">
        <v>1710</v>
      </c>
      <c r="C25" s="2" t="s">
        <v>1711</v>
      </c>
      <c r="D25" s="2" t="s">
        <v>48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24</v>
      </c>
      <c r="K25" s="2">
        <v>1</v>
      </c>
      <c r="L25" s="8">
        <v>98.18</v>
      </c>
      <c r="M25" s="2" t="s">
        <v>78</v>
      </c>
    </row>
    <row r="26" spans="1:13" x14ac:dyDescent="0.25">
      <c r="A26" s="2" t="s">
        <v>51</v>
      </c>
      <c r="B26" s="2" t="s">
        <v>1712</v>
      </c>
      <c r="C26" s="2" t="s">
        <v>1713</v>
      </c>
      <c r="D26" s="2" t="s">
        <v>50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8">
        <v>18</v>
      </c>
      <c r="K26" s="2">
        <v>1</v>
      </c>
      <c r="L26" s="8">
        <v>0</v>
      </c>
      <c r="M26" s="2" t="s">
        <v>78</v>
      </c>
    </row>
    <row r="27" spans="1:13" x14ac:dyDescent="0.25">
      <c r="A27" s="2" t="s">
        <v>43</v>
      </c>
      <c r="B27" s="2" t="s">
        <v>1714</v>
      </c>
      <c r="C27" s="2" t="s">
        <v>1715</v>
      </c>
      <c r="D27" s="2" t="s">
        <v>57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33</v>
      </c>
      <c r="K27" s="2">
        <v>1</v>
      </c>
      <c r="L27" s="8">
        <v>16.86</v>
      </c>
      <c r="M27" s="2" t="s">
        <v>78</v>
      </c>
    </row>
    <row r="28" spans="1:13" x14ac:dyDescent="0.25">
      <c r="A28" s="2" t="s">
        <v>53</v>
      </c>
      <c r="B28" s="2" t="s">
        <v>1716</v>
      </c>
      <c r="C28" s="2" t="s">
        <v>1717</v>
      </c>
      <c r="D28" s="2" t="s">
        <v>54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132.44</v>
      </c>
      <c r="M28" s="2" t="s">
        <v>78</v>
      </c>
    </row>
    <row r="29" spans="1:13" x14ac:dyDescent="0.25">
      <c r="A29" s="2" t="s">
        <v>43</v>
      </c>
      <c r="B29" s="2" t="s">
        <v>1718</v>
      </c>
      <c r="C29" s="2" t="s">
        <v>1719</v>
      </c>
      <c r="D29" s="2" t="s">
        <v>57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8">
        <v>0</v>
      </c>
      <c r="K29" s="2">
        <v>1</v>
      </c>
      <c r="L29" s="8">
        <v>32.49</v>
      </c>
      <c r="M29" s="2" t="s">
        <v>78</v>
      </c>
    </row>
    <row r="30" spans="1:13" x14ac:dyDescent="0.25">
      <c r="A30" s="2" t="s">
        <v>45</v>
      </c>
      <c r="B30" s="2" t="s">
        <v>1720</v>
      </c>
      <c r="C30" s="2" t="s">
        <v>1721</v>
      </c>
      <c r="D30" s="2" t="s">
        <v>63</v>
      </c>
      <c r="E30" s="2">
        <v>0</v>
      </c>
      <c r="F30" s="2">
        <v>1</v>
      </c>
      <c r="G30" s="2">
        <v>0</v>
      </c>
      <c r="H30" s="2">
        <v>0</v>
      </c>
      <c r="I30" s="2">
        <v>0</v>
      </c>
      <c r="J30" s="8">
        <v>16</v>
      </c>
      <c r="K30" s="2">
        <v>1</v>
      </c>
      <c r="L30" s="8">
        <v>0</v>
      </c>
      <c r="M30" s="2" t="s">
        <v>78</v>
      </c>
    </row>
    <row r="31" spans="1:13" x14ac:dyDescent="0.25">
      <c r="A31" s="2" t="s">
        <v>47</v>
      </c>
      <c r="B31" s="2" t="s">
        <v>1722</v>
      </c>
      <c r="C31" s="2" t="s">
        <v>1723</v>
      </c>
      <c r="D31" s="2" t="s">
        <v>67</v>
      </c>
      <c r="E31" s="2">
        <v>1</v>
      </c>
      <c r="F31" s="2">
        <v>0</v>
      </c>
      <c r="G31" s="2">
        <v>0</v>
      </c>
      <c r="H31" s="2">
        <v>0</v>
      </c>
      <c r="I31" s="2">
        <v>0</v>
      </c>
      <c r="J31" s="8">
        <v>16</v>
      </c>
      <c r="K31" s="2">
        <v>0</v>
      </c>
      <c r="L31" s="8">
        <v>120.51</v>
      </c>
      <c r="M31" s="2" t="s">
        <v>78</v>
      </c>
    </row>
    <row r="32" spans="1:13" x14ac:dyDescent="0.25">
      <c r="A32" s="2" t="s">
        <v>35</v>
      </c>
      <c r="B32" s="2" t="s">
        <v>1724</v>
      </c>
      <c r="C32" s="2" t="s">
        <v>1725</v>
      </c>
      <c r="D32" s="2" t="s">
        <v>57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8">
        <v>0</v>
      </c>
      <c r="K32" s="2">
        <v>1</v>
      </c>
      <c r="L32" s="8">
        <v>0</v>
      </c>
      <c r="M32" s="2" t="s">
        <v>78</v>
      </c>
    </row>
    <row r="33" spans="1:13" x14ac:dyDescent="0.25">
      <c r="A33" s="2" t="s">
        <v>49</v>
      </c>
      <c r="B33" s="2" t="s">
        <v>1726</v>
      </c>
      <c r="C33" s="2" t="s">
        <v>1727</v>
      </c>
      <c r="D33" s="2" t="s">
        <v>48</v>
      </c>
      <c r="E33" s="2">
        <v>1</v>
      </c>
      <c r="F33" s="2">
        <v>0</v>
      </c>
      <c r="G33" s="2">
        <v>0</v>
      </c>
      <c r="H33" s="2">
        <v>0</v>
      </c>
      <c r="I33" s="2">
        <v>0</v>
      </c>
      <c r="J33" s="8">
        <v>0</v>
      </c>
      <c r="K33" s="2">
        <v>1</v>
      </c>
      <c r="L33" s="8">
        <v>154.82</v>
      </c>
      <c r="M33" s="2" t="s">
        <v>78</v>
      </c>
    </row>
    <row r="34" spans="1:13" x14ac:dyDescent="0.25">
      <c r="A34" s="2" t="s">
        <v>35</v>
      </c>
      <c r="B34" s="2" t="s">
        <v>1728</v>
      </c>
      <c r="C34" s="2" t="s">
        <v>1729</v>
      </c>
      <c r="D34" s="2" t="s">
        <v>66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8">
        <v>0</v>
      </c>
      <c r="K34" s="2">
        <v>0</v>
      </c>
      <c r="L34" s="8">
        <v>169.64</v>
      </c>
      <c r="M34" s="2" t="s">
        <v>78</v>
      </c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Setup!$C$4:$C$27</xm:f>
          </x14:formula1>
          <xm:sqref>D4:D43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43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1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1730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3" spans="1:24" x14ac:dyDescent="0.25">
      <c r="A3" s="3" t="s">
        <v>71</v>
      </c>
      <c r="B3" s="3" t="s">
        <v>72</v>
      </c>
      <c r="C3" s="3" t="s">
        <v>73</v>
      </c>
      <c r="D3" s="3" t="s">
        <v>74</v>
      </c>
      <c r="E3" s="3" t="s">
        <v>15</v>
      </c>
      <c r="F3" s="3" t="s">
        <v>16</v>
      </c>
      <c r="G3" s="3" t="s">
        <v>20</v>
      </c>
      <c r="H3" s="3" t="s">
        <v>8</v>
      </c>
      <c r="I3" s="3" t="s">
        <v>21</v>
      </c>
      <c r="J3" s="3" t="s">
        <v>22</v>
      </c>
      <c r="K3" s="3" t="s">
        <v>23</v>
      </c>
      <c r="L3" s="3" t="s">
        <v>18</v>
      </c>
      <c r="M3" s="3" t="s">
        <v>75</v>
      </c>
      <c r="P3" s="3" t="s">
        <v>14</v>
      </c>
      <c r="Q3" s="3" t="s">
        <v>15</v>
      </c>
      <c r="R3" s="3" t="s">
        <v>16</v>
      </c>
      <c r="S3" s="3" t="s">
        <v>20</v>
      </c>
      <c r="T3" s="3" t="s">
        <v>8</v>
      </c>
      <c r="U3" s="3" t="s">
        <v>21</v>
      </c>
      <c r="V3" s="3" t="s">
        <v>22</v>
      </c>
      <c r="W3" s="3" t="s">
        <v>23</v>
      </c>
      <c r="X3" s="3" t="s">
        <v>18</v>
      </c>
    </row>
    <row r="4" spans="1:24" x14ac:dyDescent="0.25">
      <c r="A4" s="2" t="s">
        <v>39</v>
      </c>
      <c r="B4" s="2" t="s">
        <v>1731</v>
      </c>
      <c r="C4" s="2" t="s">
        <v>1732</v>
      </c>
      <c r="D4" s="2" t="s">
        <v>62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8">
        <v>16</v>
      </c>
      <c r="K4" s="2">
        <v>1</v>
      </c>
      <c r="L4" s="8">
        <v>0</v>
      </c>
      <c r="M4" s="2" t="s">
        <v>78</v>
      </c>
      <c r="P4" s="2" t="str">
        <f>Setup!$A$4</f>
        <v>Expert 01</v>
      </c>
      <c r="Q4" s="2">
        <f t="shared" ref="Q4:Q15" si="0">SUMIF($A$4:$A$43,$P4,E$4:E$43)</f>
        <v>1</v>
      </c>
      <c r="R4" s="2">
        <f t="shared" ref="R4:R15" si="1">SUMIF($A$4:$A$43,$P4,F$4:F$43)</f>
        <v>0</v>
      </c>
      <c r="S4" s="2">
        <f t="shared" ref="S4:S15" si="2">SUMIF($A$4:$A$43,$P4,G$4:G$43)</f>
        <v>0</v>
      </c>
      <c r="T4" s="2">
        <f t="shared" ref="T4:T15" si="3">SUMIF($A$4:$A$43,$P4,H$4:H$43)</f>
        <v>0</v>
      </c>
      <c r="U4" s="2">
        <f t="shared" ref="U4:U15" si="4">SUMIF($A$4:$A$43,$P4,I$4:I$43)</f>
        <v>0</v>
      </c>
      <c r="V4" s="8">
        <f t="shared" ref="V4:V15" si="5">SUMIF($A$4:$A$43,$P4,J$4:J$43)</f>
        <v>0</v>
      </c>
      <c r="W4" s="2">
        <f t="shared" ref="W4:W15" si="6">SUMIF($A$4:$A$43,$P4,K$4:K$43)</f>
        <v>1</v>
      </c>
      <c r="X4" s="8">
        <f t="shared" ref="X4:X15" si="7">SUMIF($A$4:$A$43,$P4,L$4:L$43)</f>
        <v>0</v>
      </c>
    </row>
    <row r="5" spans="1:24" x14ac:dyDescent="0.25">
      <c r="A5" s="2" t="s">
        <v>55</v>
      </c>
      <c r="B5" s="2" t="s">
        <v>1733</v>
      </c>
      <c r="C5" s="2" t="s">
        <v>1734</v>
      </c>
      <c r="D5" s="2" t="s">
        <v>46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8">
        <v>18</v>
      </c>
      <c r="K5" s="2">
        <v>1</v>
      </c>
      <c r="L5" s="8">
        <v>0</v>
      </c>
      <c r="M5" s="2" t="s">
        <v>78</v>
      </c>
      <c r="P5" s="2" t="str">
        <f>Setup!$A$5</f>
        <v>Expert 02</v>
      </c>
      <c r="Q5" s="2">
        <f t="shared" si="0"/>
        <v>1</v>
      </c>
      <c r="R5" s="2">
        <f t="shared" si="1"/>
        <v>1</v>
      </c>
      <c r="S5" s="2">
        <f t="shared" si="2"/>
        <v>0</v>
      </c>
      <c r="T5" s="2">
        <f t="shared" si="3"/>
        <v>0</v>
      </c>
      <c r="U5" s="2">
        <f t="shared" si="4"/>
        <v>0</v>
      </c>
      <c r="V5" s="8">
        <f t="shared" si="5"/>
        <v>0</v>
      </c>
      <c r="W5" s="2">
        <f t="shared" si="6"/>
        <v>2</v>
      </c>
      <c r="X5" s="8">
        <f t="shared" si="7"/>
        <v>173.84</v>
      </c>
    </row>
    <row r="6" spans="1:24" x14ac:dyDescent="0.25">
      <c r="A6" s="2" t="s">
        <v>53</v>
      </c>
      <c r="B6" s="2" t="s">
        <v>1735</v>
      </c>
      <c r="C6" s="2" t="s">
        <v>1736</v>
      </c>
      <c r="D6" s="2" t="s">
        <v>65</v>
      </c>
      <c r="E6" s="2">
        <v>0</v>
      </c>
      <c r="F6" s="2">
        <v>0</v>
      </c>
      <c r="G6" s="2">
        <v>0</v>
      </c>
      <c r="H6" s="2">
        <v>1</v>
      </c>
      <c r="I6" s="2">
        <v>0</v>
      </c>
      <c r="J6" s="8">
        <v>18</v>
      </c>
      <c r="K6" s="2">
        <v>1</v>
      </c>
      <c r="L6" s="8">
        <v>0</v>
      </c>
      <c r="M6" s="2" t="s">
        <v>78</v>
      </c>
      <c r="P6" s="2" t="str">
        <f>Setup!$A$6</f>
        <v>Expert 03</v>
      </c>
      <c r="Q6" s="2">
        <f t="shared" si="0"/>
        <v>0</v>
      </c>
      <c r="R6" s="2">
        <f t="shared" si="1"/>
        <v>0</v>
      </c>
      <c r="S6" s="2">
        <f t="shared" si="2"/>
        <v>0</v>
      </c>
      <c r="T6" s="2">
        <f t="shared" si="3"/>
        <v>0</v>
      </c>
      <c r="U6" s="2">
        <f t="shared" si="4"/>
        <v>0</v>
      </c>
      <c r="V6" s="8">
        <f t="shared" si="5"/>
        <v>16</v>
      </c>
      <c r="W6" s="2">
        <f t="shared" si="6"/>
        <v>1</v>
      </c>
      <c r="X6" s="8">
        <f t="shared" si="7"/>
        <v>167.63</v>
      </c>
    </row>
    <row r="7" spans="1:24" x14ac:dyDescent="0.25">
      <c r="A7" s="2" t="s">
        <v>47</v>
      </c>
      <c r="B7" s="2" t="s">
        <v>1737</v>
      </c>
      <c r="C7" s="2" t="s">
        <v>1738</v>
      </c>
      <c r="D7" s="2" t="s">
        <v>42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8">
        <v>16</v>
      </c>
      <c r="K7" s="2">
        <v>1</v>
      </c>
      <c r="L7" s="8">
        <v>0</v>
      </c>
      <c r="M7" s="2" t="s">
        <v>78</v>
      </c>
      <c r="P7" s="2" t="str">
        <f>Setup!$A$7</f>
        <v>Expert 04</v>
      </c>
      <c r="Q7" s="2">
        <f t="shared" si="0"/>
        <v>3</v>
      </c>
      <c r="R7" s="2">
        <f t="shared" si="1"/>
        <v>1</v>
      </c>
      <c r="S7" s="2">
        <f t="shared" si="2"/>
        <v>0</v>
      </c>
      <c r="T7" s="2">
        <f t="shared" si="3"/>
        <v>0</v>
      </c>
      <c r="U7" s="2">
        <f t="shared" si="4"/>
        <v>1</v>
      </c>
      <c r="V7" s="8">
        <f t="shared" si="5"/>
        <v>64</v>
      </c>
      <c r="W7" s="2">
        <f t="shared" si="6"/>
        <v>4</v>
      </c>
      <c r="X7" s="8">
        <f t="shared" si="7"/>
        <v>133.44</v>
      </c>
    </row>
    <row r="8" spans="1:24" x14ac:dyDescent="0.25">
      <c r="A8" s="2" t="s">
        <v>39</v>
      </c>
      <c r="B8" s="2" t="s">
        <v>1739</v>
      </c>
      <c r="C8" s="2" t="s">
        <v>1740</v>
      </c>
      <c r="D8" s="2" t="s">
        <v>57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8">
        <v>0</v>
      </c>
      <c r="K8" s="2">
        <v>1</v>
      </c>
      <c r="L8" s="8">
        <v>0</v>
      </c>
      <c r="M8" s="2" t="s">
        <v>78</v>
      </c>
      <c r="P8" s="2" t="str">
        <f>Setup!$A$8</f>
        <v>Expert 05</v>
      </c>
      <c r="Q8" s="2">
        <f t="shared" si="0"/>
        <v>3</v>
      </c>
      <c r="R8" s="2">
        <f t="shared" si="1"/>
        <v>0</v>
      </c>
      <c r="S8" s="2">
        <f t="shared" si="2"/>
        <v>0</v>
      </c>
      <c r="T8" s="2">
        <f t="shared" si="3"/>
        <v>1</v>
      </c>
      <c r="U8" s="2">
        <f t="shared" si="4"/>
        <v>0</v>
      </c>
      <c r="V8" s="8">
        <f t="shared" si="5"/>
        <v>67</v>
      </c>
      <c r="W8" s="2">
        <f t="shared" si="6"/>
        <v>4</v>
      </c>
      <c r="X8" s="8">
        <f t="shared" si="7"/>
        <v>227.47</v>
      </c>
    </row>
    <row r="9" spans="1:24" x14ac:dyDescent="0.25">
      <c r="A9" s="2" t="s">
        <v>35</v>
      </c>
      <c r="B9" s="2" t="s">
        <v>1741</v>
      </c>
      <c r="C9" s="2" t="s">
        <v>1742</v>
      </c>
      <c r="D9" s="2" t="s">
        <v>57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8">
        <v>0</v>
      </c>
      <c r="K9" s="2">
        <v>1</v>
      </c>
      <c r="L9" s="8">
        <v>0</v>
      </c>
      <c r="M9" s="2" t="s">
        <v>78</v>
      </c>
      <c r="P9" s="2" t="str">
        <f>Setup!$A$9</f>
        <v>Expert 06</v>
      </c>
      <c r="Q9" s="2">
        <f t="shared" si="0"/>
        <v>1</v>
      </c>
      <c r="R9" s="2">
        <f t="shared" si="1"/>
        <v>1</v>
      </c>
      <c r="S9" s="2">
        <f t="shared" si="2"/>
        <v>0</v>
      </c>
      <c r="T9" s="2">
        <f t="shared" si="3"/>
        <v>0</v>
      </c>
      <c r="U9" s="2">
        <f t="shared" si="4"/>
        <v>0</v>
      </c>
      <c r="V9" s="8">
        <f t="shared" si="5"/>
        <v>16</v>
      </c>
      <c r="W9" s="2">
        <f t="shared" si="6"/>
        <v>3</v>
      </c>
      <c r="X9" s="8">
        <f t="shared" si="7"/>
        <v>180.48000000000002</v>
      </c>
    </row>
    <row r="10" spans="1:24" x14ac:dyDescent="0.25">
      <c r="A10" s="2" t="s">
        <v>47</v>
      </c>
      <c r="B10" s="2" t="s">
        <v>1743</v>
      </c>
      <c r="C10" s="2" t="s">
        <v>1744</v>
      </c>
      <c r="D10" s="2" t="s">
        <v>40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8">
        <v>15</v>
      </c>
      <c r="K10" s="2">
        <v>1</v>
      </c>
      <c r="L10" s="8">
        <v>0</v>
      </c>
      <c r="M10" s="2" t="s">
        <v>78</v>
      </c>
      <c r="P10" s="2" t="str">
        <f>Setup!$A$10</f>
        <v>Expert 07</v>
      </c>
      <c r="Q10" s="2">
        <f t="shared" si="0"/>
        <v>1</v>
      </c>
      <c r="R10" s="2">
        <f t="shared" si="1"/>
        <v>1</v>
      </c>
      <c r="S10" s="2">
        <f t="shared" si="2"/>
        <v>1</v>
      </c>
      <c r="T10" s="2">
        <f t="shared" si="3"/>
        <v>0</v>
      </c>
      <c r="U10" s="2">
        <f t="shared" si="4"/>
        <v>0</v>
      </c>
      <c r="V10" s="8">
        <f t="shared" si="5"/>
        <v>16</v>
      </c>
      <c r="W10" s="2">
        <f t="shared" si="6"/>
        <v>3</v>
      </c>
      <c r="X10" s="8">
        <f t="shared" si="7"/>
        <v>173.71</v>
      </c>
    </row>
    <row r="11" spans="1:24" x14ac:dyDescent="0.25">
      <c r="A11" s="2" t="s">
        <v>37</v>
      </c>
      <c r="B11" s="2" t="s">
        <v>1745</v>
      </c>
      <c r="C11" s="2" t="s">
        <v>1746</v>
      </c>
      <c r="D11" s="2" t="s">
        <v>56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8">
        <v>16</v>
      </c>
      <c r="K11" s="2">
        <v>1</v>
      </c>
      <c r="L11" s="8">
        <v>167.63</v>
      </c>
      <c r="M11" s="2" t="s">
        <v>78</v>
      </c>
      <c r="P11" s="2" t="str">
        <f>Setup!$A$11</f>
        <v>Expert 08</v>
      </c>
      <c r="Q11" s="2">
        <f t="shared" si="0"/>
        <v>2</v>
      </c>
      <c r="R11" s="2">
        <f t="shared" si="1"/>
        <v>0</v>
      </c>
      <c r="S11" s="2">
        <f t="shared" si="2"/>
        <v>0</v>
      </c>
      <c r="T11" s="2">
        <f t="shared" si="3"/>
        <v>0</v>
      </c>
      <c r="U11" s="2">
        <f t="shared" si="4"/>
        <v>0</v>
      </c>
      <c r="V11" s="8">
        <f t="shared" si="5"/>
        <v>31</v>
      </c>
      <c r="W11" s="2">
        <f t="shared" si="6"/>
        <v>2</v>
      </c>
      <c r="X11" s="8">
        <f t="shared" si="7"/>
        <v>0</v>
      </c>
    </row>
    <row r="12" spans="1:24" x14ac:dyDescent="0.25">
      <c r="A12" s="2" t="s">
        <v>35</v>
      </c>
      <c r="B12" s="2" t="s">
        <v>1747</v>
      </c>
      <c r="C12" s="2" t="s">
        <v>1748</v>
      </c>
      <c r="D12" s="2" t="s">
        <v>63</v>
      </c>
      <c r="E12" s="2">
        <v>0</v>
      </c>
      <c r="F12" s="2">
        <v>1</v>
      </c>
      <c r="G12" s="2">
        <v>0</v>
      </c>
      <c r="H12" s="2">
        <v>0</v>
      </c>
      <c r="I12" s="2">
        <v>0</v>
      </c>
      <c r="J12" s="8">
        <v>0</v>
      </c>
      <c r="K12" s="2">
        <v>1</v>
      </c>
      <c r="L12" s="8">
        <v>173.84</v>
      </c>
      <c r="M12" s="2" t="s">
        <v>78</v>
      </c>
      <c r="P12" s="2" t="str">
        <f>Setup!$A$12</f>
        <v>Expert 09</v>
      </c>
      <c r="Q12" s="2">
        <f t="shared" si="0"/>
        <v>1</v>
      </c>
      <c r="R12" s="2">
        <f t="shared" si="1"/>
        <v>0</v>
      </c>
      <c r="S12" s="2">
        <f t="shared" si="2"/>
        <v>0</v>
      </c>
      <c r="T12" s="2">
        <f t="shared" si="3"/>
        <v>0</v>
      </c>
      <c r="U12" s="2">
        <f t="shared" si="4"/>
        <v>0</v>
      </c>
      <c r="V12" s="8">
        <f t="shared" si="5"/>
        <v>33</v>
      </c>
      <c r="W12" s="2">
        <f t="shared" si="6"/>
        <v>2</v>
      </c>
      <c r="X12" s="8">
        <f t="shared" si="7"/>
        <v>7.13</v>
      </c>
    </row>
    <row r="13" spans="1:24" x14ac:dyDescent="0.25">
      <c r="A13" s="2" t="s">
        <v>43</v>
      </c>
      <c r="B13" s="2" t="s">
        <v>1749</v>
      </c>
      <c r="C13" s="2" t="s">
        <v>1750</v>
      </c>
      <c r="D13" s="2" t="s">
        <v>57</v>
      </c>
      <c r="E13" s="2">
        <v>1</v>
      </c>
      <c r="F13" s="2">
        <v>0</v>
      </c>
      <c r="G13" s="2">
        <v>0</v>
      </c>
      <c r="H13" s="2">
        <v>0</v>
      </c>
      <c r="I13" s="2">
        <v>0</v>
      </c>
      <c r="J13" s="8">
        <v>16</v>
      </c>
      <c r="K13" s="2">
        <v>1</v>
      </c>
      <c r="L13" s="8">
        <v>141.68</v>
      </c>
      <c r="M13" s="2" t="s">
        <v>78</v>
      </c>
      <c r="P13" s="2" t="str">
        <f>Setup!$A$13</f>
        <v>Expert 10</v>
      </c>
      <c r="Q13" s="2">
        <f t="shared" si="0"/>
        <v>1</v>
      </c>
      <c r="R13" s="2">
        <f t="shared" si="1"/>
        <v>0</v>
      </c>
      <c r="S13" s="2">
        <f t="shared" si="2"/>
        <v>0</v>
      </c>
      <c r="T13" s="2">
        <f t="shared" si="3"/>
        <v>1</v>
      </c>
      <c r="U13" s="2">
        <f t="shared" si="4"/>
        <v>0</v>
      </c>
      <c r="V13" s="8">
        <f t="shared" si="5"/>
        <v>0</v>
      </c>
      <c r="W13" s="2">
        <f t="shared" si="6"/>
        <v>2</v>
      </c>
      <c r="X13" s="8">
        <f t="shared" si="7"/>
        <v>137.32</v>
      </c>
    </row>
    <row r="14" spans="1:24" x14ac:dyDescent="0.25">
      <c r="A14" s="2" t="s">
        <v>49</v>
      </c>
      <c r="B14" s="2" t="s">
        <v>1751</v>
      </c>
      <c r="C14" s="2" t="s">
        <v>1752</v>
      </c>
      <c r="D14" s="2" t="s">
        <v>58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8">
        <v>0</v>
      </c>
      <c r="K14" s="2">
        <v>1</v>
      </c>
      <c r="L14" s="8">
        <v>7.13</v>
      </c>
      <c r="M14" s="2" t="s">
        <v>78</v>
      </c>
      <c r="P14" s="2" t="str">
        <f>Setup!$A$14</f>
        <v>Expert 11</v>
      </c>
      <c r="Q14" s="2">
        <f t="shared" si="0"/>
        <v>0</v>
      </c>
      <c r="R14" s="2">
        <f t="shared" si="1"/>
        <v>0</v>
      </c>
      <c r="S14" s="2">
        <f t="shared" si="2"/>
        <v>0</v>
      </c>
      <c r="T14" s="2">
        <f t="shared" si="3"/>
        <v>1</v>
      </c>
      <c r="U14" s="2">
        <f t="shared" si="4"/>
        <v>0</v>
      </c>
      <c r="V14" s="8">
        <f t="shared" si="5"/>
        <v>42</v>
      </c>
      <c r="W14" s="2">
        <f t="shared" si="6"/>
        <v>2</v>
      </c>
      <c r="X14" s="8">
        <f t="shared" si="7"/>
        <v>0</v>
      </c>
    </row>
    <row r="15" spans="1:24" x14ac:dyDescent="0.25">
      <c r="A15" s="2" t="s">
        <v>39</v>
      </c>
      <c r="B15" s="2" t="s">
        <v>1753</v>
      </c>
      <c r="C15" s="2" t="s">
        <v>1754</v>
      </c>
      <c r="D15" s="2" t="s">
        <v>56</v>
      </c>
      <c r="E15" s="2">
        <v>0</v>
      </c>
      <c r="F15" s="2">
        <v>1</v>
      </c>
      <c r="G15" s="2">
        <v>0</v>
      </c>
      <c r="H15" s="2">
        <v>0</v>
      </c>
      <c r="I15" s="2">
        <v>0</v>
      </c>
      <c r="J15" s="8">
        <v>15</v>
      </c>
      <c r="K15" s="2">
        <v>1</v>
      </c>
      <c r="L15" s="8">
        <v>133.44</v>
      </c>
      <c r="M15" s="2" t="s">
        <v>78</v>
      </c>
      <c r="P15" s="2" t="str">
        <f>Setup!$A$15</f>
        <v>Expert 12</v>
      </c>
      <c r="Q15" s="2">
        <f t="shared" si="0"/>
        <v>2</v>
      </c>
      <c r="R15" s="2">
        <f t="shared" si="1"/>
        <v>1</v>
      </c>
      <c r="S15" s="2">
        <f t="shared" si="2"/>
        <v>0</v>
      </c>
      <c r="T15" s="2">
        <f t="shared" si="3"/>
        <v>0</v>
      </c>
      <c r="U15" s="2">
        <f t="shared" si="4"/>
        <v>0</v>
      </c>
      <c r="V15" s="8">
        <f t="shared" si="5"/>
        <v>51</v>
      </c>
      <c r="W15" s="2">
        <f t="shared" si="6"/>
        <v>3</v>
      </c>
      <c r="X15" s="8">
        <f t="shared" si="7"/>
        <v>166.4</v>
      </c>
    </row>
    <row r="16" spans="1:24" x14ac:dyDescent="0.25">
      <c r="A16" s="2" t="s">
        <v>43</v>
      </c>
      <c r="B16" s="2" t="s">
        <v>1755</v>
      </c>
      <c r="C16" s="2" t="s">
        <v>1756</v>
      </c>
      <c r="D16" s="2" t="s">
        <v>54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8">
        <v>0</v>
      </c>
      <c r="K16" s="2">
        <v>1</v>
      </c>
      <c r="L16" s="8">
        <v>0</v>
      </c>
      <c r="M16" s="2" t="s">
        <v>78</v>
      </c>
      <c r="P16" s="9" t="s">
        <v>103</v>
      </c>
      <c r="Q16" s="10">
        <f t="shared" ref="Q16:X16" si="8">SUM(Q4:Q15)</f>
        <v>16</v>
      </c>
      <c r="R16" s="10">
        <f t="shared" si="8"/>
        <v>5</v>
      </c>
      <c r="S16" s="10">
        <f t="shared" si="8"/>
        <v>1</v>
      </c>
      <c r="T16" s="10">
        <f t="shared" si="8"/>
        <v>3</v>
      </c>
      <c r="U16" s="10">
        <f t="shared" si="8"/>
        <v>1</v>
      </c>
      <c r="V16" s="11">
        <f t="shared" si="8"/>
        <v>336</v>
      </c>
      <c r="W16" s="10">
        <f t="shared" si="8"/>
        <v>29</v>
      </c>
      <c r="X16" s="11">
        <f t="shared" si="8"/>
        <v>1367.42</v>
      </c>
    </row>
    <row r="17" spans="1:13" x14ac:dyDescent="0.25">
      <c r="A17" s="2" t="s">
        <v>39</v>
      </c>
      <c r="B17" s="2" t="s">
        <v>1757</v>
      </c>
      <c r="C17" s="2" t="s">
        <v>1758</v>
      </c>
      <c r="D17" s="2" t="s">
        <v>62</v>
      </c>
      <c r="E17" s="2">
        <v>1</v>
      </c>
      <c r="F17" s="2">
        <v>0</v>
      </c>
      <c r="G17" s="2">
        <v>0</v>
      </c>
      <c r="H17" s="2">
        <v>0</v>
      </c>
      <c r="I17" s="2">
        <v>0</v>
      </c>
      <c r="J17" s="8">
        <v>33</v>
      </c>
      <c r="K17" s="2">
        <v>1</v>
      </c>
      <c r="L17" s="8">
        <v>0</v>
      </c>
      <c r="M17" s="2" t="s">
        <v>78</v>
      </c>
    </row>
    <row r="18" spans="1:13" x14ac:dyDescent="0.25">
      <c r="A18" s="2" t="s">
        <v>41</v>
      </c>
      <c r="B18" s="2" t="s">
        <v>1759</v>
      </c>
      <c r="C18" s="2" t="s">
        <v>1760</v>
      </c>
      <c r="D18" s="2" t="s">
        <v>46</v>
      </c>
      <c r="E18" s="2">
        <v>1</v>
      </c>
      <c r="F18" s="2">
        <v>0</v>
      </c>
      <c r="G18" s="2">
        <v>0</v>
      </c>
      <c r="H18" s="2">
        <v>0</v>
      </c>
      <c r="I18" s="2">
        <v>0</v>
      </c>
      <c r="J18" s="8">
        <v>16</v>
      </c>
      <c r="K18" s="2">
        <v>1</v>
      </c>
      <c r="L18" s="8">
        <v>0</v>
      </c>
      <c r="M18" s="2" t="s">
        <v>78</v>
      </c>
    </row>
    <row r="19" spans="1:13" x14ac:dyDescent="0.25">
      <c r="A19" s="2" t="s">
        <v>43</v>
      </c>
      <c r="B19" s="2" t="s">
        <v>1761</v>
      </c>
      <c r="C19" s="2" t="s">
        <v>1762</v>
      </c>
      <c r="D19" s="2" t="s">
        <v>58</v>
      </c>
      <c r="E19" s="2">
        <v>0</v>
      </c>
      <c r="F19" s="2">
        <v>1</v>
      </c>
      <c r="G19" s="2">
        <v>0</v>
      </c>
      <c r="H19" s="2">
        <v>0</v>
      </c>
      <c r="I19" s="2">
        <v>0</v>
      </c>
      <c r="J19" s="8">
        <v>0</v>
      </c>
      <c r="K19" s="2">
        <v>1</v>
      </c>
      <c r="L19" s="8">
        <v>38.799999999999997</v>
      </c>
      <c r="M19" s="2" t="s">
        <v>78</v>
      </c>
    </row>
    <row r="20" spans="1:13" x14ac:dyDescent="0.25">
      <c r="A20" s="2" t="s">
        <v>45</v>
      </c>
      <c r="B20" s="2" t="s">
        <v>1763</v>
      </c>
      <c r="C20" s="2" t="s">
        <v>1764</v>
      </c>
      <c r="D20" s="2" t="s">
        <v>60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8">
        <v>0</v>
      </c>
      <c r="K20" s="2">
        <v>1</v>
      </c>
      <c r="L20" s="8">
        <v>173.71</v>
      </c>
      <c r="M20" s="2" t="s">
        <v>78</v>
      </c>
    </row>
    <row r="21" spans="1:13" x14ac:dyDescent="0.25">
      <c r="A21" s="2" t="s">
        <v>51</v>
      </c>
      <c r="B21" s="2" t="s">
        <v>1765</v>
      </c>
      <c r="C21" s="2" t="s">
        <v>1766</v>
      </c>
      <c r="D21" s="2" t="s">
        <v>54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8">
        <v>0</v>
      </c>
      <c r="K21" s="2">
        <v>1</v>
      </c>
      <c r="L21" s="8">
        <v>11.4</v>
      </c>
      <c r="M21" s="2" t="s">
        <v>78</v>
      </c>
    </row>
    <row r="22" spans="1:13" x14ac:dyDescent="0.25">
      <c r="A22" s="2" t="s">
        <v>33</v>
      </c>
      <c r="B22" s="2" t="s">
        <v>1767</v>
      </c>
      <c r="C22" s="2" t="s">
        <v>1768</v>
      </c>
      <c r="D22" s="2" t="s">
        <v>50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8">
        <v>0</v>
      </c>
      <c r="K22" s="2">
        <v>1</v>
      </c>
      <c r="L22" s="8">
        <v>0</v>
      </c>
      <c r="M22" s="2" t="s">
        <v>78</v>
      </c>
    </row>
    <row r="23" spans="1:13" x14ac:dyDescent="0.25">
      <c r="A23" s="2" t="s">
        <v>55</v>
      </c>
      <c r="B23" s="2" t="s">
        <v>1769</v>
      </c>
      <c r="C23" s="2" t="s">
        <v>1770</v>
      </c>
      <c r="D23" s="2" t="s">
        <v>36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8">
        <v>0</v>
      </c>
      <c r="K23" s="2">
        <v>1</v>
      </c>
      <c r="L23" s="8">
        <v>166.4</v>
      </c>
      <c r="M23" s="2" t="s">
        <v>78</v>
      </c>
    </row>
    <row r="24" spans="1:13" x14ac:dyDescent="0.25">
      <c r="A24" s="2" t="s">
        <v>55</v>
      </c>
      <c r="B24" s="2" t="s">
        <v>1771</v>
      </c>
      <c r="C24" s="2" t="s">
        <v>1772</v>
      </c>
      <c r="D24" s="2" t="s">
        <v>69</v>
      </c>
      <c r="E24" s="2">
        <v>0</v>
      </c>
      <c r="F24" s="2">
        <v>1</v>
      </c>
      <c r="G24" s="2">
        <v>0</v>
      </c>
      <c r="H24" s="2">
        <v>0</v>
      </c>
      <c r="I24" s="2">
        <v>0</v>
      </c>
      <c r="J24" s="8">
        <v>0</v>
      </c>
      <c r="K24" s="2">
        <v>0</v>
      </c>
      <c r="L24" s="8">
        <v>0</v>
      </c>
      <c r="M24" s="2" t="s">
        <v>78</v>
      </c>
    </row>
    <row r="25" spans="1:13" x14ac:dyDescent="0.25">
      <c r="A25" s="2" t="s">
        <v>53</v>
      </c>
      <c r="B25" s="2" t="s">
        <v>1773</v>
      </c>
      <c r="C25" s="2" t="s">
        <v>1774</v>
      </c>
      <c r="D25" s="2" t="s">
        <v>60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8">
        <v>24</v>
      </c>
      <c r="K25" s="2">
        <v>1</v>
      </c>
      <c r="L25" s="8">
        <v>0</v>
      </c>
      <c r="M25" s="2" t="s">
        <v>78</v>
      </c>
    </row>
    <row r="26" spans="1:13" x14ac:dyDescent="0.25">
      <c r="A26" s="2" t="s">
        <v>51</v>
      </c>
      <c r="B26" s="2" t="s">
        <v>1775</v>
      </c>
      <c r="C26" s="2" t="s">
        <v>1776</v>
      </c>
      <c r="D26" s="2" t="s">
        <v>40</v>
      </c>
      <c r="E26" s="2">
        <v>0</v>
      </c>
      <c r="F26" s="2">
        <v>0</v>
      </c>
      <c r="G26" s="2">
        <v>0</v>
      </c>
      <c r="H26" s="2">
        <v>1</v>
      </c>
      <c r="I26" s="2">
        <v>0</v>
      </c>
      <c r="J26" s="8">
        <v>0</v>
      </c>
      <c r="K26" s="2">
        <v>1</v>
      </c>
      <c r="L26" s="8">
        <v>125.92</v>
      </c>
      <c r="M26" s="2" t="s">
        <v>78</v>
      </c>
    </row>
    <row r="27" spans="1:13" x14ac:dyDescent="0.25">
      <c r="A27" s="2" t="s">
        <v>41</v>
      </c>
      <c r="B27" s="2" t="s">
        <v>1777</v>
      </c>
      <c r="C27" s="2" t="s">
        <v>1778</v>
      </c>
      <c r="D27" s="2" t="s">
        <v>48</v>
      </c>
      <c r="E27" s="2">
        <v>1</v>
      </c>
      <c r="F27" s="2">
        <v>0</v>
      </c>
      <c r="G27" s="2">
        <v>0</v>
      </c>
      <c r="H27" s="2">
        <v>0</v>
      </c>
      <c r="I27" s="2">
        <v>0</v>
      </c>
      <c r="J27" s="8">
        <v>18</v>
      </c>
      <c r="K27" s="2">
        <v>1</v>
      </c>
      <c r="L27" s="8">
        <v>0</v>
      </c>
      <c r="M27" s="2" t="s">
        <v>78</v>
      </c>
    </row>
    <row r="28" spans="1:13" x14ac:dyDescent="0.25">
      <c r="A28" s="2" t="s">
        <v>45</v>
      </c>
      <c r="B28" s="2" t="s">
        <v>1779</v>
      </c>
      <c r="C28" s="2" t="s">
        <v>1780</v>
      </c>
      <c r="D28" s="2" t="s">
        <v>44</v>
      </c>
      <c r="E28" s="2">
        <v>1</v>
      </c>
      <c r="F28" s="2">
        <v>0</v>
      </c>
      <c r="G28" s="2">
        <v>0</v>
      </c>
      <c r="H28" s="2">
        <v>0</v>
      </c>
      <c r="I28" s="2">
        <v>0</v>
      </c>
      <c r="J28" s="8">
        <v>0</v>
      </c>
      <c r="K28" s="2">
        <v>1</v>
      </c>
      <c r="L28" s="8">
        <v>0</v>
      </c>
      <c r="M28" s="2" t="s">
        <v>78</v>
      </c>
    </row>
    <row r="29" spans="1:13" x14ac:dyDescent="0.25">
      <c r="A29" s="2" t="s">
        <v>55</v>
      </c>
      <c r="B29" s="2" t="s">
        <v>1781</v>
      </c>
      <c r="C29" s="2" t="s">
        <v>1782</v>
      </c>
      <c r="D29" s="2" t="s">
        <v>42</v>
      </c>
      <c r="E29" s="2">
        <v>1</v>
      </c>
      <c r="F29" s="2">
        <v>0</v>
      </c>
      <c r="G29" s="2">
        <v>0</v>
      </c>
      <c r="H29" s="2">
        <v>0</v>
      </c>
      <c r="I29" s="2">
        <v>0</v>
      </c>
      <c r="J29" s="8">
        <v>33</v>
      </c>
      <c r="K29" s="2">
        <v>1</v>
      </c>
      <c r="L29" s="8">
        <v>0</v>
      </c>
      <c r="M29" s="2" t="s">
        <v>78</v>
      </c>
    </row>
    <row r="30" spans="1:13" x14ac:dyDescent="0.25">
      <c r="A30" s="2" t="s">
        <v>45</v>
      </c>
      <c r="B30" s="2" t="s">
        <v>1783</v>
      </c>
      <c r="C30" s="2" t="s">
        <v>1784</v>
      </c>
      <c r="D30" s="2" t="s">
        <v>38</v>
      </c>
      <c r="E30" s="2">
        <v>0</v>
      </c>
      <c r="F30" s="2">
        <v>1</v>
      </c>
      <c r="G30" s="2">
        <v>1</v>
      </c>
      <c r="H30" s="2">
        <v>0</v>
      </c>
      <c r="I30" s="2">
        <v>0</v>
      </c>
      <c r="J30" s="8">
        <v>16</v>
      </c>
      <c r="K30" s="2">
        <v>1</v>
      </c>
      <c r="L30" s="8">
        <v>0</v>
      </c>
      <c r="M30" s="2" t="s">
        <v>78</v>
      </c>
    </row>
    <row r="31" spans="1:13" x14ac:dyDescent="0.25">
      <c r="A31" s="2" t="s">
        <v>41</v>
      </c>
      <c r="B31" s="2" t="s">
        <v>1785</v>
      </c>
      <c r="C31" s="2" t="s">
        <v>1786</v>
      </c>
      <c r="D31" s="2" t="s">
        <v>44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8">
        <v>33</v>
      </c>
      <c r="K31" s="2">
        <v>1</v>
      </c>
      <c r="L31" s="8">
        <v>106.76</v>
      </c>
      <c r="M31" s="2" t="s">
        <v>78</v>
      </c>
    </row>
    <row r="32" spans="1:13" x14ac:dyDescent="0.25">
      <c r="A32" s="2" t="s">
        <v>41</v>
      </c>
      <c r="B32" s="2" t="s">
        <v>1787</v>
      </c>
      <c r="C32" s="2" t="s">
        <v>1788</v>
      </c>
      <c r="D32" s="2" t="s">
        <v>36</v>
      </c>
      <c r="E32" s="2">
        <v>1</v>
      </c>
      <c r="F32" s="2">
        <v>0</v>
      </c>
      <c r="G32" s="2">
        <v>0</v>
      </c>
      <c r="H32" s="2">
        <v>1</v>
      </c>
      <c r="I32" s="2">
        <v>0</v>
      </c>
      <c r="J32" s="8">
        <v>0</v>
      </c>
      <c r="K32" s="2">
        <v>1</v>
      </c>
      <c r="L32" s="8">
        <v>120.71</v>
      </c>
      <c r="M32" s="2" t="s">
        <v>78</v>
      </c>
    </row>
    <row r="33" spans="1:13" x14ac:dyDescent="0.25">
      <c r="A33" s="2" t="s">
        <v>49</v>
      </c>
      <c r="B33" s="2" t="s">
        <v>1789</v>
      </c>
      <c r="C33" s="2" t="s">
        <v>1790</v>
      </c>
      <c r="D33" s="2" t="s">
        <v>57</v>
      </c>
      <c r="E33" s="2">
        <v>1</v>
      </c>
      <c r="F33" s="2">
        <v>0</v>
      </c>
      <c r="G33" s="2">
        <v>0</v>
      </c>
      <c r="H33" s="2">
        <v>0</v>
      </c>
      <c r="I33" s="2">
        <v>0</v>
      </c>
      <c r="J33" s="8">
        <v>33</v>
      </c>
      <c r="K33" s="2">
        <v>1</v>
      </c>
      <c r="L33" s="8">
        <v>0</v>
      </c>
      <c r="M33" s="2" t="s">
        <v>78</v>
      </c>
    </row>
    <row r="34" spans="1:13" x14ac:dyDescent="0.25">
      <c r="A34" s="2" t="s">
        <v>39</v>
      </c>
      <c r="B34" s="2" t="s">
        <v>1791</v>
      </c>
      <c r="C34" s="2" t="s">
        <v>1792</v>
      </c>
      <c r="D34" s="2" t="s">
        <v>66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8">
        <v>0</v>
      </c>
      <c r="K34" s="2">
        <v>0</v>
      </c>
      <c r="L34" s="8">
        <v>0</v>
      </c>
      <c r="M34" s="2" t="s">
        <v>78</v>
      </c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8"/>
      <c r="K35" s="2"/>
      <c r="L35" s="8"/>
      <c r="M35" s="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8"/>
      <c r="K36" s="2"/>
      <c r="L36" s="8"/>
      <c r="M36" s="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8"/>
      <c r="K37" s="2"/>
      <c r="L37" s="8"/>
      <c r="M37" s="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8"/>
      <c r="K38" s="2"/>
      <c r="L38" s="8"/>
      <c r="M38" s="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8"/>
      <c r="K39" s="2"/>
      <c r="L39" s="8"/>
      <c r="M39" s="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8"/>
      <c r="K40" s="2"/>
      <c r="L40" s="8"/>
      <c r="M40" s="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8"/>
      <c r="K41" s="2"/>
      <c r="L41" s="8"/>
      <c r="M41" s="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8"/>
      <c r="K42" s="2"/>
      <c r="L42" s="8"/>
      <c r="M42" s="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8"/>
      <c r="K43" s="2"/>
      <c r="L43" s="8"/>
      <c r="M43" s="2"/>
    </row>
  </sheetData>
  <mergeCells count="1">
    <mergeCell ref="A1:M1"/>
  </mergeCells>
  <dataValidations count="1">
    <dataValidation type="list" allowBlank="1" sqref="M4:M4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Setup!$A$4:$A$15</xm:f>
          </x14:formula1>
          <xm:sqref>A4:A43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Setup!$C$4:$C$27</xm:f>
          </x14:formula1>
          <xm:sqref>D4:D43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2026-08-15T14:30:19Z</dcterms:created>
  <dcterms:modified xsi:type="dcterms:W3CDTF">2026-08-15T14:31:16Z</dcterms:modified>
</cp:coreProperties>
</file>