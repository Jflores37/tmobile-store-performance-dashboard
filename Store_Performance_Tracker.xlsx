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er_2\store-tracker-v2\"/>
    </mc:Choice>
  </mc:AlternateContent>
  <xr:revisionPtr revIDLastSave="0" documentId="13_ncr:1_{DFCAA8A2-BE54-471B-8C85-002E9D6C6C6B}" xr6:coauthVersionLast="47" xr6:coauthVersionMax="47" xr10:uidLastSave="{00000000-0000-0000-0000-000000000000}"/>
  <bookViews>
    <workbookView minimized="1" xWindow="30765" yWindow="855" windowWidth="21600" windowHeight="14835" activeTab="4" xr2:uid="{00000000-000D-0000-FFFF-FFFF00000000}"/>
  </bookViews>
  <sheets>
    <sheet name="Dashboard" sheetId="1" r:id="rId1"/>
    <sheet name="Team Leaderboard" sheetId="2" r:id="rId2"/>
    <sheet name="Daily Trend" sheetId="3" r:id="rId3"/>
    <sheet name="Store Total" sheetId="4" r:id="rId4"/>
    <sheet name="Setup" sheetId="5" r:id="rId5"/>
    <sheet name="1" sheetId="6" r:id="rId6"/>
    <sheet name="2" sheetId="7" r:id="rId7"/>
    <sheet name="3" sheetId="8" r:id="rId8"/>
    <sheet name="4" sheetId="9" r:id="rId9"/>
    <sheet name="5" sheetId="10" r:id="rId10"/>
    <sheet name="6" sheetId="11" r:id="rId11"/>
    <sheet name="7" sheetId="12" r:id="rId12"/>
    <sheet name="8" sheetId="13" r:id="rId13"/>
    <sheet name="9" sheetId="14" r:id="rId14"/>
    <sheet name="10" sheetId="15" r:id="rId15"/>
    <sheet name="11" sheetId="16" r:id="rId16"/>
    <sheet name="12" sheetId="17" r:id="rId17"/>
    <sheet name="13" sheetId="18" r:id="rId18"/>
    <sheet name="14" sheetId="19" r:id="rId19"/>
    <sheet name="15" sheetId="20" r:id="rId20"/>
    <sheet name="16" sheetId="21" r:id="rId21"/>
    <sheet name="17" sheetId="22" r:id="rId22"/>
    <sheet name="18" sheetId="23" r:id="rId23"/>
    <sheet name="19" sheetId="24" r:id="rId24"/>
    <sheet name="20" sheetId="25" r:id="rId25"/>
    <sheet name="21" sheetId="26" r:id="rId26"/>
    <sheet name="22" sheetId="27" r:id="rId27"/>
    <sheet name="23" sheetId="28" r:id="rId28"/>
    <sheet name="24" sheetId="29" r:id="rId29"/>
    <sheet name="25" sheetId="30" r:id="rId30"/>
    <sheet name="26" sheetId="31" r:id="rId31"/>
    <sheet name="27" sheetId="32" r:id="rId32"/>
    <sheet name="28" sheetId="33" r:id="rId33"/>
    <sheet name="29" sheetId="34" r:id="rId34"/>
    <sheet name="30" sheetId="35" r:id="rId35"/>
    <sheet name="31" sheetId="36" r:id="rId3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5" i="36" l="1"/>
  <c r="P14" i="36"/>
  <c r="S14" i="36" s="1"/>
  <c r="P13" i="36"/>
  <c r="P12" i="36"/>
  <c r="P11" i="36"/>
  <c r="P10" i="36"/>
  <c r="P9" i="36"/>
  <c r="P8" i="36"/>
  <c r="P7" i="36"/>
  <c r="P6" i="36"/>
  <c r="P5" i="36"/>
  <c r="P4" i="36"/>
  <c r="P15" i="35"/>
  <c r="P14" i="35"/>
  <c r="P13" i="35"/>
  <c r="P12" i="35"/>
  <c r="P11" i="35"/>
  <c r="S11" i="35" s="1"/>
  <c r="P10" i="35"/>
  <c r="P9" i="35"/>
  <c r="P8" i="35"/>
  <c r="P7" i="35"/>
  <c r="P6" i="35"/>
  <c r="P5" i="35"/>
  <c r="P4" i="35"/>
  <c r="P15" i="34"/>
  <c r="X14" i="34"/>
  <c r="W14" i="34"/>
  <c r="P14" i="34"/>
  <c r="P13" i="34"/>
  <c r="P12" i="34"/>
  <c r="P11" i="34"/>
  <c r="P10" i="34"/>
  <c r="P9" i="34"/>
  <c r="P8" i="34"/>
  <c r="P7" i="34"/>
  <c r="P6" i="34"/>
  <c r="P5" i="34"/>
  <c r="P4" i="34"/>
  <c r="P15" i="33"/>
  <c r="P14" i="33"/>
  <c r="P13" i="33"/>
  <c r="P12" i="33"/>
  <c r="P11" i="33"/>
  <c r="P10" i="33"/>
  <c r="P9" i="33"/>
  <c r="P8" i="33"/>
  <c r="P7" i="33"/>
  <c r="P6" i="33"/>
  <c r="P5" i="33"/>
  <c r="P4" i="33"/>
  <c r="P15" i="32"/>
  <c r="P14" i="32"/>
  <c r="P13" i="32"/>
  <c r="X12" i="32"/>
  <c r="W12" i="32"/>
  <c r="P12" i="32"/>
  <c r="P11" i="32"/>
  <c r="P10" i="32"/>
  <c r="P9" i="32"/>
  <c r="P8" i="32"/>
  <c r="P7" i="32"/>
  <c r="P6" i="32"/>
  <c r="P5" i="32"/>
  <c r="P4" i="32"/>
  <c r="P15" i="31"/>
  <c r="P14" i="31"/>
  <c r="P13" i="31"/>
  <c r="P12" i="31"/>
  <c r="P11" i="31"/>
  <c r="P10" i="31"/>
  <c r="P9" i="31"/>
  <c r="P8" i="31"/>
  <c r="P7" i="31"/>
  <c r="P6" i="31"/>
  <c r="P5" i="31"/>
  <c r="P4" i="31"/>
  <c r="P15" i="30"/>
  <c r="P14" i="30"/>
  <c r="P13" i="30"/>
  <c r="P12" i="30"/>
  <c r="P11" i="30"/>
  <c r="P10" i="30"/>
  <c r="P9" i="30"/>
  <c r="P8" i="30"/>
  <c r="P7" i="30"/>
  <c r="P6" i="30"/>
  <c r="P5" i="30"/>
  <c r="P4" i="30"/>
  <c r="P15" i="29"/>
  <c r="P14" i="29"/>
  <c r="P13" i="29"/>
  <c r="P12" i="29"/>
  <c r="P11" i="29"/>
  <c r="P10" i="29"/>
  <c r="P9" i="29"/>
  <c r="P8" i="29"/>
  <c r="P7" i="29"/>
  <c r="P6" i="29"/>
  <c r="P5" i="29"/>
  <c r="P4" i="29"/>
  <c r="P15" i="28"/>
  <c r="P14" i="28"/>
  <c r="P13" i="28"/>
  <c r="P12" i="28"/>
  <c r="P11" i="28"/>
  <c r="P10" i="28"/>
  <c r="P9" i="28"/>
  <c r="P8" i="28"/>
  <c r="P7" i="28"/>
  <c r="P6" i="28"/>
  <c r="P5" i="28"/>
  <c r="P4" i="28"/>
  <c r="P15" i="27"/>
  <c r="P14" i="27"/>
  <c r="P13" i="27"/>
  <c r="P12" i="27"/>
  <c r="P11" i="27"/>
  <c r="P10" i="27"/>
  <c r="P9" i="27"/>
  <c r="P8" i="27"/>
  <c r="P7" i="27"/>
  <c r="P6" i="27"/>
  <c r="P5" i="27"/>
  <c r="P4" i="27"/>
  <c r="P15" i="26"/>
  <c r="P14" i="26"/>
  <c r="P13" i="26"/>
  <c r="P12" i="26"/>
  <c r="P11" i="26"/>
  <c r="P10" i="26"/>
  <c r="P9" i="26"/>
  <c r="P8" i="26"/>
  <c r="P7" i="26"/>
  <c r="P6" i="26"/>
  <c r="P5" i="26"/>
  <c r="P4" i="26"/>
  <c r="X4" i="26" s="1"/>
  <c r="P15" i="25"/>
  <c r="P14" i="25"/>
  <c r="P13" i="25"/>
  <c r="P12" i="25"/>
  <c r="P11" i="25"/>
  <c r="P10" i="25"/>
  <c r="P9" i="25"/>
  <c r="P8" i="25"/>
  <c r="P7" i="25"/>
  <c r="P6" i="25"/>
  <c r="P5" i="25"/>
  <c r="P4" i="25"/>
  <c r="P15" i="24"/>
  <c r="P14" i="24"/>
  <c r="P13" i="24"/>
  <c r="P12" i="24"/>
  <c r="P11" i="24"/>
  <c r="P10" i="24"/>
  <c r="P9" i="24"/>
  <c r="P8" i="24"/>
  <c r="P7" i="24"/>
  <c r="P6" i="24"/>
  <c r="P5" i="24"/>
  <c r="P4" i="24"/>
  <c r="P15" i="23"/>
  <c r="P14" i="23"/>
  <c r="P13" i="23"/>
  <c r="P12" i="23"/>
  <c r="P11" i="23"/>
  <c r="P10" i="23"/>
  <c r="P9" i="23"/>
  <c r="P8" i="23"/>
  <c r="P7" i="23"/>
  <c r="P6" i="23"/>
  <c r="P5" i="23"/>
  <c r="P4" i="23"/>
  <c r="P15" i="22"/>
  <c r="P14" i="22"/>
  <c r="P13" i="22"/>
  <c r="P12" i="22"/>
  <c r="P11" i="22"/>
  <c r="P10" i="22"/>
  <c r="P9" i="22"/>
  <c r="P8" i="22"/>
  <c r="P7" i="22"/>
  <c r="P6" i="22"/>
  <c r="P5" i="22"/>
  <c r="P4" i="22"/>
  <c r="P15" i="21"/>
  <c r="P14" i="21"/>
  <c r="P13" i="21"/>
  <c r="P12" i="21"/>
  <c r="P11" i="21"/>
  <c r="P10" i="21"/>
  <c r="P9" i="21"/>
  <c r="P8" i="21"/>
  <c r="P7" i="21"/>
  <c r="P6" i="21"/>
  <c r="P5" i="21"/>
  <c r="P4" i="21"/>
  <c r="P15" i="20"/>
  <c r="P14" i="20"/>
  <c r="P13" i="20"/>
  <c r="P12" i="20"/>
  <c r="P11" i="20"/>
  <c r="P10" i="20"/>
  <c r="P9" i="20"/>
  <c r="P8" i="20"/>
  <c r="P7" i="20"/>
  <c r="P6" i="20"/>
  <c r="P5" i="20"/>
  <c r="P4" i="20"/>
  <c r="P15" i="19"/>
  <c r="P14" i="19"/>
  <c r="P13" i="19"/>
  <c r="P12" i="19"/>
  <c r="P11" i="19"/>
  <c r="P10" i="19"/>
  <c r="P9" i="19"/>
  <c r="P8" i="19"/>
  <c r="P7" i="19"/>
  <c r="P6" i="19"/>
  <c r="P5" i="19"/>
  <c r="P4" i="19"/>
  <c r="P15" i="18"/>
  <c r="P14" i="18"/>
  <c r="P13" i="18"/>
  <c r="P12" i="18"/>
  <c r="P11" i="18"/>
  <c r="P10" i="18"/>
  <c r="P9" i="18"/>
  <c r="P8" i="18"/>
  <c r="P7" i="18"/>
  <c r="P6" i="18"/>
  <c r="P5" i="18"/>
  <c r="P4" i="18"/>
  <c r="P15" i="17"/>
  <c r="P14" i="17"/>
  <c r="P13" i="17"/>
  <c r="P12" i="17"/>
  <c r="P11" i="17"/>
  <c r="P10" i="17"/>
  <c r="P9" i="17"/>
  <c r="P8" i="17"/>
  <c r="P7" i="17"/>
  <c r="P6" i="17"/>
  <c r="P5" i="17"/>
  <c r="P4" i="17"/>
  <c r="P15" i="16"/>
  <c r="P14" i="16"/>
  <c r="P13" i="16"/>
  <c r="P12" i="16"/>
  <c r="P11" i="16"/>
  <c r="P10" i="16"/>
  <c r="P9" i="16"/>
  <c r="P8" i="16"/>
  <c r="P7" i="16"/>
  <c r="P6" i="16"/>
  <c r="P5" i="16"/>
  <c r="P4" i="16"/>
  <c r="P15" i="15"/>
  <c r="P14" i="15"/>
  <c r="P13" i="15"/>
  <c r="P12" i="15"/>
  <c r="P11" i="15"/>
  <c r="P10" i="15"/>
  <c r="P9" i="15"/>
  <c r="P8" i="15"/>
  <c r="P7" i="15"/>
  <c r="P6" i="15"/>
  <c r="P5" i="15"/>
  <c r="P4" i="15"/>
  <c r="P15" i="14"/>
  <c r="P14" i="14"/>
  <c r="P13" i="14"/>
  <c r="P12" i="14"/>
  <c r="P11" i="14"/>
  <c r="P10" i="14"/>
  <c r="P9" i="14"/>
  <c r="P8" i="14"/>
  <c r="P7" i="14"/>
  <c r="P6" i="14"/>
  <c r="P5" i="14"/>
  <c r="P4" i="14"/>
  <c r="P15" i="13"/>
  <c r="P14" i="13"/>
  <c r="P13" i="13"/>
  <c r="P12" i="13"/>
  <c r="P11" i="13"/>
  <c r="P10" i="13"/>
  <c r="P9" i="13"/>
  <c r="P8" i="13"/>
  <c r="P7" i="13"/>
  <c r="P6" i="13"/>
  <c r="P5" i="13"/>
  <c r="P4" i="13"/>
  <c r="P15" i="12"/>
  <c r="P14" i="12"/>
  <c r="P13" i="12"/>
  <c r="P12" i="12"/>
  <c r="P11" i="12"/>
  <c r="P10" i="12"/>
  <c r="P9" i="12"/>
  <c r="P8" i="12"/>
  <c r="P7" i="12"/>
  <c r="P6" i="12"/>
  <c r="P5" i="12"/>
  <c r="P4" i="12"/>
  <c r="P15" i="11"/>
  <c r="P14" i="11"/>
  <c r="P13" i="11"/>
  <c r="P12" i="11"/>
  <c r="P11" i="11"/>
  <c r="P10" i="11"/>
  <c r="P9" i="11"/>
  <c r="P8" i="11"/>
  <c r="P7" i="11"/>
  <c r="P6" i="11"/>
  <c r="P5" i="11"/>
  <c r="P4" i="11"/>
  <c r="P15" i="10"/>
  <c r="P14" i="10"/>
  <c r="P13" i="10"/>
  <c r="P12" i="10"/>
  <c r="P11" i="10"/>
  <c r="P10" i="10"/>
  <c r="P9" i="10"/>
  <c r="P8" i="10"/>
  <c r="P7" i="10"/>
  <c r="P6" i="10"/>
  <c r="P5" i="10"/>
  <c r="P4" i="10"/>
  <c r="P15" i="9"/>
  <c r="P14" i="9"/>
  <c r="P13" i="9"/>
  <c r="P12" i="9"/>
  <c r="P11" i="9"/>
  <c r="P10" i="9"/>
  <c r="P9" i="9"/>
  <c r="P8" i="9"/>
  <c r="P7" i="9"/>
  <c r="P6" i="9"/>
  <c r="P5" i="9"/>
  <c r="P4" i="9"/>
  <c r="P15" i="8"/>
  <c r="P14" i="8"/>
  <c r="P13" i="8"/>
  <c r="P12" i="8"/>
  <c r="V11" i="8"/>
  <c r="U11" i="8"/>
  <c r="T11" i="8"/>
  <c r="P11" i="8"/>
  <c r="P10" i="8"/>
  <c r="P9" i="8"/>
  <c r="P8" i="8"/>
  <c r="P7" i="8"/>
  <c r="P6" i="8"/>
  <c r="P5" i="8"/>
  <c r="P4" i="8"/>
  <c r="P15" i="7"/>
  <c r="P14" i="7"/>
  <c r="P13" i="7"/>
  <c r="P12" i="7"/>
  <c r="P11" i="7"/>
  <c r="P10" i="7"/>
  <c r="P9" i="7"/>
  <c r="P8" i="7"/>
  <c r="P7" i="7"/>
  <c r="P6" i="7"/>
  <c r="P5" i="7"/>
  <c r="P4" i="7"/>
  <c r="P15" i="6"/>
  <c r="P14" i="6"/>
  <c r="P13" i="6"/>
  <c r="P12" i="6"/>
  <c r="P11" i="6"/>
  <c r="P10" i="6"/>
  <c r="P9" i="6"/>
  <c r="P8" i="6"/>
  <c r="P7" i="6"/>
  <c r="P6" i="6"/>
  <c r="P5" i="6"/>
  <c r="P4" i="6"/>
  <c r="C11" i="4"/>
  <c r="C10" i="4"/>
  <c r="C9" i="4"/>
  <c r="C8" i="4"/>
  <c r="C7" i="4"/>
  <c r="C6" i="4"/>
  <c r="C5" i="4"/>
  <c r="C4" i="4"/>
  <c r="B15" i="2"/>
  <c r="B14" i="2"/>
  <c r="B13" i="2"/>
  <c r="B12" i="2"/>
  <c r="B11" i="2"/>
  <c r="B10" i="2"/>
  <c r="B9" i="2"/>
  <c r="B8" i="2"/>
  <c r="B7" i="2"/>
  <c r="B6" i="2"/>
  <c r="B5" i="2"/>
  <c r="B4" i="2"/>
  <c r="AV32" i="1"/>
  <c r="AV31" i="1"/>
  <c r="AV30" i="1"/>
  <c r="AV29" i="1"/>
  <c r="AV28" i="1"/>
  <c r="AV27" i="1"/>
  <c r="AV26" i="1"/>
  <c r="AV25" i="1"/>
  <c r="AV24" i="1"/>
  <c r="AV23" i="1"/>
  <c r="AV22" i="1"/>
  <c r="AV21" i="1"/>
  <c r="AV20" i="1"/>
  <c r="AV19" i="1"/>
  <c r="AV18" i="1"/>
  <c r="AV17" i="1"/>
  <c r="AV16" i="1"/>
  <c r="AV15" i="1"/>
  <c r="AV14" i="1"/>
  <c r="AV13" i="1"/>
  <c r="AV12" i="1"/>
  <c r="AV11" i="1"/>
  <c r="AV10" i="1"/>
  <c r="AV9" i="1"/>
  <c r="AV8" i="1"/>
  <c r="K8" i="1"/>
  <c r="AV7" i="1"/>
  <c r="AV6" i="1"/>
  <c r="AV5" i="1"/>
  <c r="AV4" i="1"/>
  <c r="AV3" i="1"/>
  <c r="AV2" i="1"/>
  <c r="V14" i="34" l="1"/>
  <c r="U14" i="34"/>
  <c r="V12" i="32"/>
  <c r="U12" i="32"/>
  <c r="T12" i="32"/>
  <c r="S12" i="32"/>
  <c r="R12" i="32"/>
  <c r="Q12" i="32"/>
  <c r="W9" i="30"/>
  <c r="V9" i="30"/>
  <c r="X9" i="30"/>
  <c r="T7" i="28"/>
  <c r="S7" i="28"/>
  <c r="W7" i="28"/>
  <c r="U7" i="28"/>
  <c r="V7" i="28"/>
  <c r="X7" i="28"/>
  <c r="W15" i="23"/>
  <c r="X15" i="23"/>
  <c r="V15" i="23"/>
  <c r="U15" i="23"/>
  <c r="T15" i="23"/>
  <c r="S15" i="23"/>
  <c r="X10" i="19"/>
  <c r="W10" i="19"/>
  <c r="V10" i="19"/>
  <c r="U10" i="19"/>
  <c r="T8" i="17"/>
  <c r="X8" i="17"/>
  <c r="W8" i="17"/>
  <c r="V8" i="17"/>
  <c r="U8" i="17"/>
  <c r="S8" i="17"/>
  <c r="R8" i="17"/>
  <c r="Q8" i="17"/>
  <c r="X5" i="15"/>
  <c r="W5" i="15"/>
  <c r="W13" i="10"/>
  <c r="X13" i="10"/>
  <c r="X11" i="8"/>
  <c r="W11" i="8"/>
  <c r="Q15" i="36"/>
  <c r="W15" i="36"/>
  <c r="R15" i="36"/>
  <c r="S15" i="36"/>
  <c r="T15" i="36"/>
  <c r="U15" i="36"/>
  <c r="V15" i="36"/>
  <c r="X15" i="36"/>
  <c r="W14" i="36"/>
  <c r="R14" i="36"/>
  <c r="T14" i="36"/>
  <c r="X14" i="36"/>
  <c r="V14" i="36"/>
  <c r="U14" i="36"/>
  <c r="Q14" i="36"/>
  <c r="Q13" i="36"/>
  <c r="R13" i="36"/>
  <c r="T13" i="36"/>
  <c r="U13" i="36"/>
  <c r="S13" i="36"/>
  <c r="V13" i="36"/>
  <c r="W13" i="36"/>
  <c r="X13" i="36"/>
  <c r="X12" i="36"/>
  <c r="R12" i="36"/>
  <c r="S12" i="36"/>
  <c r="T12" i="36"/>
  <c r="Q12" i="36"/>
  <c r="U12" i="36"/>
  <c r="V12" i="36"/>
  <c r="W12" i="36"/>
  <c r="X11" i="36"/>
  <c r="U11" i="36"/>
  <c r="V11" i="36"/>
  <c r="T11" i="36"/>
  <c r="W11" i="36"/>
  <c r="Q11" i="36"/>
  <c r="S11" i="36"/>
  <c r="R11" i="36"/>
  <c r="R10" i="36"/>
  <c r="S10" i="36"/>
  <c r="Q10" i="36"/>
  <c r="V10" i="36"/>
  <c r="X10" i="36"/>
  <c r="T10" i="36"/>
  <c r="U10" i="36"/>
  <c r="W10" i="36"/>
  <c r="T9" i="36"/>
  <c r="V9" i="36"/>
  <c r="X9" i="36"/>
  <c r="R9" i="36"/>
  <c r="S9" i="36"/>
  <c r="Q9" i="36"/>
  <c r="U9" i="36"/>
  <c r="W9" i="36"/>
  <c r="T8" i="36"/>
  <c r="W8" i="36"/>
  <c r="X8" i="36"/>
  <c r="Q8" i="36"/>
  <c r="U8" i="36"/>
  <c r="S8" i="36"/>
  <c r="V8" i="36"/>
  <c r="R8" i="36"/>
  <c r="U7" i="36"/>
  <c r="S7" i="36"/>
  <c r="W7" i="36"/>
  <c r="R7" i="36"/>
  <c r="T7" i="36"/>
  <c r="V7" i="36"/>
  <c r="X7" i="36"/>
  <c r="Q7" i="36"/>
  <c r="T6" i="36"/>
  <c r="Q6" i="36"/>
  <c r="W6" i="36"/>
  <c r="V6" i="36"/>
  <c r="S6" i="36"/>
  <c r="U6" i="36"/>
  <c r="X6" i="36"/>
  <c r="R6" i="36"/>
  <c r="T5" i="36"/>
  <c r="W5" i="36"/>
  <c r="U5" i="36"/>
  <c r="S5" i="36"/>
  <c r="R5" i="36"/>
  <c r="Q5" i="36"/>
  <c r="V5" i="36"/>
  <c r="X5" i="36"/>
  <c r="V4" i="36"/>
  <c r="V16" i="36" s="1"/>
  <c r="G34" i="3" s="1"/>
  <c r="Q4" i="36"/>
  <c r="Q16" i="36" s="1"/>
  <c r="B34" i="3" s="1"/>
  <c r="X4" i="36"/>
  <c r="X16" i="36" s="1"/>
  <c r="I34" i="3" s="1"/>
  <c r="S4" i="36"/>
  <c r="S16" i="36" s="1"/>
  <c r="D34" i="3" s="1"/>
  <c r="T4" i="36"/>
  <c r="W4" i="36"/>
  <c r="W16" i="36" s="1"/>
  <c r="H34" i="3" s="1"/>
  <c r="U4" i="36"/>
  <c r="U16" i="36" s="1"/>
  <c r="F34" i="3" s="1"/>
  <c r="R4" i="36"/>
  <c r="R16" i="36" s="1"/>
  <c r="C34" i="3" s="1"/>
  <c r="T15" i="35"/>
  <c r="V15" i="35"/>
  <c r="Q15" i="35"/>
  <c r="W15" i="35"/>
  <c r="X15" i="35"/>
  <c r="U15" i="35"/>
  <c r="R15" i="35"/>
  <c r="S15" i="35"/>
  <c r="T14" i="35"/>
  <c r="W14" i="35"/>
  <c r="X14" i="35"/>
  <c r="Q14" i="35"/>
  <c r="R14" i="35"/>
  <c r="V14" i="35"/>
  <c r="U14" i="35"/>
  <c r="S14" i="35"/>
  <c r="S13" i="35"/>
  <c r="W13" i="35"/>
  <c r="V13" i="35"/>
  <c r="X13" i="35"/>
  <c r="T13" i="35"/>
  <c r="U13" i="35"/>
  <c r="Q13" i="35"/>
  <c r="R13" i="35"/>
  <c r="X12" i="35"/>
  <c r="T12" i="35"/>
  <c r="Q12" i="35"/>
  <c r="U12" i="35"/>
  <c r="W12" i="35"/>
  <c r="S12" i="35"/>
  <c r="R12" i="35"/>
  <c r="V12" i="35"/>
  <c r="W11" i="35"/>
  <c r="Q11" i="35"/>
  <c r="T11" i="35"/>
  <c r="X11" i="35"/>
  <c r="R11" i="35"/>
  <c r="V11" i="35"/>
  <c r="U11" i="35"/>
  <c r="W10" i="35"/>
  <c r="V10" i="35"/>
  <c r="T10" i="35"/>
  <c r="Q10" i="35"/>
  <c r="X10" i="35"/>
  <c r="U10" i="35"/>
  <c r="S10" i="35"/>
  <c r="R10" i="35"/>
  <c r="V9" i="35"/>
  <c r="T9" i="35"/>
  <c r="W9" i="35"/>
  <c r="S9" i="35"/>
  <c r="Q9" i="35"/>
  <c r="X9" i="35"/>
  <c r="R9" i="35"/>
  <c r="U9" i="35"/>
  <c r="U8" i="35"/>
  <c r="S8" i="35"/>
  <c r="R8" i="35"/>
  <c r="T8" i="35"/>
  <c r="W8" i="35"/>
  <c r="V8" i="35"/>
  <c r="X8" i="35"/>
  <c r="Q8" i="35"/>
  <c r="V7" i="35"/>
  <c r="U7" i="35"/>
  <c r="Q7" i="35"/>
  <c r="X7" i="35"/>
  <c r="T7" i="35"/>
  <c r="W7" i="35"/>
  <c r="R7" i="35"/>
  <c r="S7" i="35"/>
  <c r="V6" i="35"/>
  <c r="T6" i="35"/>
  <c r="W6" i="35"/>
  <c r="R6" i="35"/>
  <c r="Q6" i="35"/>
  <c r="S6" i="35"/>
  <c r="U6" i="35"/>
  <c r="X6" i="35"/>
  <c r="T5" i="35"/>
  <c r="Q5" i="35"/>
  <c r="S5" i="35"/>
  <c r="W5" i="35"/>
  <c r="V5" i="35"/>
  <c r="U5" i="35"/>
  <c r="X5" i="35"/>
  <c r="R5" i="35"/>
  <c r="W4" i="35"/>
  <c r="T4" i="35"/>
  <c r="S4" i="35"/>
  <c r="U4" i="35"/>
  <c r="X4" i="35"/>
  <c r="V4" i="35"/>
  <c r="R4" i="35"/>
  <c r="Q4" i="35"/>
  <c r="Q15" i="34"/>
  <c r="T15" i="34"/>
  <c r="W15" i="34"/>
  <c r="U15" i="34"/>
  <c r="S15" i="34"/>
  <c r="V15" i="34"/>
  <c r="X15" i="34"/>
  <c r="R15" i="34"/>
  <c r="S14" i="34"/>
  <c r="R14" i="34"/>
  <c r="Q14" i="34"/>
  <c r="T14" i="34"/>
  <c r="X13" i="34"/>
  <c r="W13" i="34"/>
  <c r="U13" i="34"/>
  <c r="T13" i="34"/>
  <c r="S13" i="34"/>
  <c r="R13" i="34"/>
  <c r="Q13" i="34"/>
  <c r="V13" i="34"/>
  <c r="X12" i="34"/>
  <c r="W12" i="34"/>
  <c r="V12" i="34"/>
  <c r="Q12" i="34"/>
  <c r="R12" i="34"/>
  <c r="S12" i="34"/>
  <c r="T12" i="34"/>
  <c r="U12" i="34"/>
  <c r="T11" i="34"/>
  <c r="S11" i="34"/>
  <c r="R11" i="34"/>
  <c r="Q11" i="34"/>
  <c r="V11" i="34"/>
  <c r="W11" i="34"/>
  <c r="X11" i="34"/>
  <c r="U11" i="34"/>
  <c r="X10" i="34"/>
  <c r="W10" i="34"/>
  <c r="V10" i="34"/>
  <c r="U10" i="34"/>
  <c r="T10" i="34"/>
  <c r="S10" i="34"/>
  <c r="Q10" i="34"/>
  <c r="R10" i="34"/>
  <c r="W9" i="34"/>
  <c r="V9" i="34"/>
  <c r="U9" i="34"/>
  <c r="T9" i="34"/>
  <c r="S9" i="34"/>
  <c r="R9" i="34"/>
  <c r="Q9" i="34"/>
  <c r="X9" i="34"/>
  <c r="X8" i="34"/>
  <c r="W8" i="34"/>
  <c r="V8" i="34"/>
  <c r="U8" i="34"/>
  <c r="T8" i="34"/>
  <c r="S8" i="34"/>
  <c r="R8" i="34"/>
  <c r="Q8" i="34"/>
  <c r="W7" i="34"/>
  <c r="V7" i="34"/>
  <c r="U7" i="34"/>
  <c r="T7" i="34"/>
  <c r="S7" i="34"/>
  <c r="Q7" i="34"/>
  <c r="R7" i="34"/>
  <c r="X7" i="34"/>
  <c r="X6" i="34"/>
  <c r="W6" i="34"/>
  <c r="V6" i="34"/>
  <c r="U6" i="34"/>
  <c r="T6" i="34"/>
  <c r="S6" i="34"/>
  <c r="R6" i="34"/>
  <c r="Q6" i="34"/>
  <c r="W5" i="34"/>
  <c r="V5" i="34"/>
  <c r="U5" i="34"/>
  <c r="T5" i="34"/>
  <c r="S5" i="34"/>
  <c r="R5" i="34"/>
  <c r="Q5" i="34"/>
  <c r="X5" i="34"/>
  <c r="X4" i="34"/>
  <c r="X16" i="34" s="1"/>
  <c r="I32" i="3" s="1"/>
  <c r="W4" i="34"/>
  <c r="W16" i="34" s="1"/>
  <c r="H32" i="3" s="1"/>
  <c r="V4" i="34"/>
  <c r="V16" i="34" s="1"/>
  <c r="G32" i="3" s="1"/>
  <c r="U4" i="34"/>
  <c r="U16" i="34" s="1"/>
  <c r="F32" i="3" s="1"/>
  <c r="T4" i="34"/>
  <c r="T16" i="34" s="1"/>
  <c r="E32" i="3" s="1"/>
  <c r="S4" i="34"/>
  <c r="S16" i="34" s="1"/>
  <c r="D32" i="3" s="1"/>
  <c r="R4" i="34"/>
  <c r="R16" i="34" s="1"/>
  <c r="C32" i="3" s="1"/>
  <c r="Q4" i="34"/>
  <c r="Q16" i="34" s="1"/>
  <c r="B32" i="3" s="1"/>
  <c r="W15" i="33"/>
  <c r="V15" i="33"/>
  <c r="U15" i="33"/>
  <c r="T15" i="33"/>
  <c r="S15" i="33"/>
  <c r="R15" i="33"/>
  <c r="Q15" i="33"/>
  <c r="X15" i="33"/>
  <c r="X14" i="33"/>
  <c r="W14" i="33"/>
  <c r="V14" i="33"/>
  <c r="U14" i="33"/>
  <c r="T14" i="33"/>
  <c r="S14" i="33"/>
  <c r="R14" i="33"/>
  <c r="Q14" i="33"/>
  <c r="X13" i="33"/>
  <c r="W13" i="33"/>
  <c r="V13" i="33"/>
  <c r="U13" i="33"/>
  <c r="T13" i="33"/>
  <c r="S13" i="33"/>
  <c r="Q13" i="33"/>
  <c r="R13" i="33"/>
  <c r="W12" i="33"/>
  <c r="V12" i="33"/>
  <c r="U12" i="33"/>
  <c r="T12" i="33"/>
  <c r="S12" i="33"/>
  <c r="R12" i="33"/>
  <c r="Q12" i="33"/>
  <c r="X12" i="33"/>
  <c r="T11" i="33"/>
  <c r="W11" i="33"/>
  <c r="V11" i="33"/>
  <c r="U11" i="33"/>
  <c r="S11" i="33"/>
  <c r="R11" i="33"/>
  <c r="Q11" i="33"/>
  <c r="X11" i="33"/>
  <c r="V10" i="33"/>
  <c r="T10" i="33"/>
  <c r="S10" i="33"/>
  <c r="R10" i="33"/>
  <c r="Q10" i="33"/>
  <c r="U10" i="33"/>
  <c r="W10" i="33"/>
  <c r="X10" i="33"/>
  <c r="V9" i="33"/>
  <c r="U9" i="33"/>
  <c r="T9" i="33"/>
  <c r="S9" i="33"/>
  <c r="R9" i="33"/>
  <c r="Q9" i="33"/>
  <c r="X9" i="33"/>
  <c r="W9" i="33"/>
  <c r="R8" i="33"/>
  <c r="S8" i="33"/>
  <c r="T8" i="33"/>
  <c r="U8" i="33"/>
  <c r="W8" i="33"/>
  <c r="X8" i="33"/>
  <c r="V8" i="33"/>
  <c r="Q8" i="33"/>
  <c r="V7" i="33"/>
  <c r="U7" i="33"/>
  <c r="T7" i="33"/>
  <c r="S7" i="33"/>
  <c r="R7" i="33"/>
  <c r="Q7" i="33"/>
  <c r="W7" i="33"/>
  <c r="X7" i="33"/>
  <c r="X6" i="33"/>
  <c r="W6" i="33"/>
  <c r="U6" i="33"/>
  <c r="T6" i="33"/>
  <c r="S6" i="33"/>
  <c r="R6" i="33"/>
  <c r="Q6" i="33"/>
  <c r="V6" i="33"/>
  <c r="X5" i="33"/>
  <c r="W5" i="33"/>
  <c r="V5" i="33"/>
  <c r="U5" i="33"/>
  <c r="T5" i="33"/>
  <c r="S5" i="33"/>
  <c r="R5" i="33"/>
  <c r="Q5" i="33"/>
  <c r="X4" i="33"/>
  <c r="Q4" i="33"/>
  <c r="R4" i="33"/>
  <c r="S4" i="33"/>
  <c r="T4" i="33"/>
  <c r="U4" i="33"/>
  <c r="V4" i="33"/>
  <c r="W4" i="33"/>
  <c r="U15" i="32"/>
  <c r="T15" i="32"/>
  <c r="S15" i="32"/>
  <c r="R15" i="32"/>
  <c r="Q15" i="32"/>
  <c r="W15" i="32"/>
  <c r="X15" i="32"/>
  <c r="V15" i="32"/>
  <c r="V14" i="32"/>
  <c r="U14" i="32"/>
  <c r="T14" i="32"/>
  <c r="S14" i="32"/>
  <c r="R14" i="32"/>
  <c r="Q14" i="32"/>
  <c r="X14" i="32"/>
  <c r="W14" i="32"/>
  <c r="T13" i="32"/>
  <c r="S13" i="32"/>
  <c r="Q13" i="32"/>
  <c r="R13" i="32"/>
  <c r="X13" i="32"/>
  <c r="V13" i="32"/>
  <c r="U13" i="32"/>
  <c r="W13" i="32"/>
  <c r="R11" i="32"/>
  <c r="Q11" i="32"/>
  <c r="X11" i="32"/>
  <c r="W11" i="32"/>
  <c r="V11" i="32"/>
  <c r="U11" i="32"/>
  <c r="T11" i="32"/>
  <c r="S11" i="32"/>
  <c r="R10" i="32"/>
  <c r="Q10" i="32"/>
  <c r="X10" i="32"/>
  <c r="W10" i="32"/>
  <c r="V10" i="32"/>
  <c r="U10" i="32"/>
  <c r="T10" i="32"/>
  <c r="S10" i="32"/>
  <c r="X9" i="32"/>
  <c r="W9" i="32"/>
  <c r="V9" i="32"/>
  <c r="U9" i="32"/>
  <c r="T9" i="32"/>
  <c r="S9" i="32"/>
  <c r="R9" i="32"/>
  <c r="Q9" i="32"/>
  <c r="X8" i="32"/>
  <c r="W8" i="32"/>
  <c r="V8" i="32"/>
  <c r="U8" i="32"/>
  <c r="S8" i="32"/>
  <c r="R8" i="32"/>
  <c r="Q8" i="32"/>
  <c r="T8" i="32"/>
  <c r="R7" i="32"/>
  <c r="Q7" i="32"/>
  <c r="X7" i="32"/>
  <c r="W7" i="32"/>
  <c r="V7" i="32"/>
  <c r="U7" i="32"/>
  <c r="T7" i="32"/>
  <c r="S7" i="32"/>
  <c r="X6" i="32"/>
  <c r="Q6" i="32"/>
  <c r="R6" i="32"/>
  <c r="W6" i="32"/>
  <c r="V6" i="32"/>
  <c r="U6" i="32"/>
  <c r="T6" i="32"/>
  <c r="S6" i="32"/>
  <c r="X5" i="32"/>
  <c r="V5" i="32"/>
  <c r="U5" i="32"/>
  <c r="T5" i="32"/>
  <c r="S5" i="32"/>
  <c r="R5" i="32"/>
  <c r="W5" i="32"/>
  <c r="Q5" i="32"/>
  <c r="R4" i="32"/>
  <c r="R16" i="32" s="1"/>
  <c r="C30" i="3" s="1"/>
  <c r="Q4" i="32"/>
  <c r="Q16" i="32" s="1"/>
  <c r="B30" i="3" s="1"/>
  <c r="X4" i="32"/>
  <c r="X16" i="32" s="1"/>
  <c r="I30" i="3" s="1"/>
  <c r="W4" i="32"/>
  <c r="W16" i="32" s="1"/>
  <c r="H30" i="3" s="1"/>
  <c r="V4" i="32"/>
  <c r="V16" i="32" s="1"/>
  <c r="G30" i="3" s="1"/>
  <c r="U4" i="32"/>
  <c r="U16" i="32" s="1"/>
  <c r="F30" i="3" s="1"/>
  <c r="T4" i="32"/>
  <c r="T16" i="32" s="1"/>
  <c r="E30" i="3" s="1"/>
  <c r="S4" i="32"/>
  <c r="S16" i="32" s="1"/>
  <c r="D30" i="3" s="1"/>
  <c r="R15" i="31"/>
  <c r="Q15" i="31"/>
  <c r="U15" i="31"/>
  <c r="X15" i="31"/>
  <c r="T15" i="31"/>
  <c r="V15" i="31"/>
  <c r="W15" i="31"/>
  <c r="S15" i="31"/>
  <c r="X14" i="31"/>
  <c r="W14" i="31"/>
  <c r="V14" i="31"/>
  <c r="U14" i="31"/>
  <c r="T14" i="31"/>
  <c r="S14" i="31"/>
  <c r="R14" i="31"/>
  <c r="Q14" i="31"/>
  <c r="W13" i="31"/>
  <c r="V13" i="31"/>
  <c r="U13" i="31"/>
  <c r="T13" i="31"/>
  <c r="S13" i="31"/>
  <c r="R13" i="31"/>
  <c r="Q13" i="31"/>
  <c r="X13" i="31"/>
  <c r="X12" i="31"/>
  <c r="T12" i="31"/>
  <c r="U12" i="31"/>
  <c r="V12" i="31"/>
  <c r="W12" i="31"/>
  <c r="Q12" i="31"/>
  <c r="R12" i="31"/>
  <c r="S12" i="31"/>
  <c r="S11" i="31"/>
  <c r="R11" i="31"/>
  <c r="Q11" i="31"/>
  <c r="U11" i="31"/>
  <c r="T11" i="31"/>
  <c r="W11" i="31"/>
  <c r="X11" i="31"/>
  <c r="V11" i="31"/>
  <c r="X10" i="31"/>
  <c r="W10" i="31"/>
  <c r="V10" i="31"/>
  <c r="U10" i="31"/>
  <c r="T10" i="31"/>
  <c r="S10" i="31"/>
  <c r="R10" i="31"/>
  <c r="Q10" i="31"/>
  <c r="W9" i="31"/>
  <c r="X9" i="31"/>
  <c r="V9" i="31"/>
  <c r="U9" i="31"/>
  <c r="T9" i="31"/>
  <c r="S9" i="31"/>
  <c r="Q9" i="31"/>
  <c r="R9" i="31"/>
  <c r="S8" i="31"/>
  <c r="R8" i="31"/>
  <c r="Q8" i="31"/>
  <c r="X8" i="31"/>
  <c r="W8" i="31"/>
  <c r="V8" i="31"/>
  <c r="U8" i="31"/>
  <c r="T8" i="31"/>
  <c r="X7" i="31"/>
  <c r="S7" i="31"/>
  <c r="Q7" i="31"/>
  <c r="T7" i="31"/>
  <c r="U7" i="31"/>
  <c r="V7" i="31"/>
  <c r="R7" i="31"/>
  <c r="W7" i="31"/>
  <c r="V6" i="31"/>
  <c r="U6" i="31"/>
  <c r="T6" i="31"/>
  <c r="S6" i="31"/>
  <c r="R6" i="31"/>
  <c r="Q6" i="31"/>
  <c r="X6" i="31"/>
  <c r="W6" i="31"/>
  <c r="R5" i="31"/>
  <c r="Q5" i="31"/>
  <c r="X5" i="31"/>
  <c r="W5" i="31"/>
  <c r="V5" i="31"/>
  <c r="U5" i="31"/>
  <c r="T5" i="31"/>
  <c r="S5" i="31"/>
  <c r="X4" i="31"/>
  <c r="W4" i="31"/>
  <c r="V4" i="31"/>
  <c r="U4" i="31"/>
  <c r="T4" i="31"/>
  <c r="S4" i="31"/>
  <c r="R4" i="31"/>
  <c r="Q4" i="31"/>
  <c r="R15" i="30"/>
  <c r="Q15" i="30"/>
  <c r="X15" i="30"/>
  <c r="W15" i="30"/>
  <c r="V15" i="30"/>
  <c r="U15" i="30"/>
  <c r="T15" i="30"/>
  <c r="S15" i="30"/>
  <c r="X14" i="30"/>
  <c r="W14" i="30"/>
  <c r="V14" i="30"/>
  <c r="U14" i="30"/>
  <c r="T14" i="30"/>
  <c r="S14" i="30"/>
  <c r="R14" i="30"/>
  <c r="Q14" i="30"/>
  <c r="W13" i="30"/>
  <c r="V13" i="30"/>
  <c r="U13" i="30"/>
  <c r="S13" i="30"/>
  <c r="R13" i="30"/>
  <c r="Q13" i="30"/>
  <c r="X13" i="30"/>
  <c r="T13" i="30"/>
  <c r="W12" i="30"/>
  <c r="R12" i="30"/>
  <c r="Q12" i="30"/>
  <c r="S12" i="30"/>
  <c r="X12" i="30"/>
  <c r="V12" i="30"/>
  <c r="U12" i="30"/>
  <c r="T12" i="30"/>
  <c r="R11" i="30"/>
  <c r="Q11" i="30"/>
  <c r="V11" i="30"/>
  <c r="X11" i="30"/>
  <c r="T11" i="30"/>
  <c r="W11" i="30"/>
  <c r="S11" i="30"/>
  <c r="U11" i="30"/>
  <c r="U10" i="30"/>
  <c r="V10" i="30"/>
  <c r="W10" i="30"/>
  <c r="X10" i="30"/>
  <c r="Q10" i="30"/>
  <c r="R10" i="30"/>
  <c r="S10" i="30"/>
  <c r="T10" i="30"/>
  <c r="R9" i="30"/>
  <c r="Q9" i="30"/>
  <c r="S9" i="30"/>
  <c r="T9" i="30"/>
  <c r="U9" i="30"/>
  <c r="Q8" i="30"/>
  <c r="W8" i="30"/>
  <c r="R8" i="30"/>
  <c r="S8" i="30"/>
  <c r="T8" i="30"/>
  <c r="U8" i="30"/>
  <c r="V8" i="30"/>
  <c r="X8" i="30"/>
  <c r="X7" i="30"/>
  <c r="T7" i="30"/>
  <c r="W7" i="30"/>
  <c r="V7" i="30"/>
  <c r="Q7" i="30"/>
  <c r="R7" i="30"/>
  <c r="U7" i="30"/>
  <c r="S7" i="30"/>
  <c r="Q6" i="30"/>
  <c r="X6" i="30"/>
  <c r="W6" i="30"/>
  <c r="V6" i="30"/>
  <c r="U6" i="30"/>
  <c r="T6" i="30"/>
  <c r="S6" i="30"/>
  <c r="R6" i="30"/>
  <c r="X5" i="30"/>
  <c r="W5" i="30"/>
  <c r="V5" i="30"/>
  <c r="U5" i="30"/>
  <c r="S5" i="30"/>
  <c r="R5" i="30"/>
  <c r="Q5" i="30"/>
  <c r="T5" i="30"/>
  <c r="X4" i="30"/>
  <c r="X16" i="30" s="1"/>
  <c r="I28" i="3" s="1"/>
  <c r="W4" i="30"/>
  <c r="W16" i="30" s="1"/>
  <c r="H28" i="3" s="1"/>
  <c r="V4" i="30"/>
  <c r="V16" i="30" s="1"/>
  <c r="G28" i="3" s="1"/>
  <c r="U4" i="30"/>
  <c r="U16" i="30" s="1"/>
  <c r="F28" i="3" s="1"/>
  <c r="T4" i="30"/>
  <c r="T16" i="30" s="1"/>
  <c r="E28" i="3" s="1"/>
  <c r="S4" i="30"/>
  <c r="S16" i="30" s="1"/>
  <c r="D28" i="3" s="1"/>
  <c r="R4" i="30"/>
  <c r="R16" i="30" s="1"/>
  <c r="C28" i="3" s="1"/>
  <c r="Q4" i="30"/>
  <c r="Q16" i="30" s="1"/>
  <c r="B28" i="3" s="1"/>
  <c r="Q15" i="29"/>
  <c r="V15" i="29"/>
  <c r="X15" i="29"/>
  <c r="W15" i="29"/>
  <c r="U15" i="29"/>
  <c r="T15" i="29"/>
  <c r="S15" i="29"/>
  <c r="R15" i="29"/>
  <c r="X14" i="29"/>
  <c r="Q14" i="29"/>
  <c r="R14" i="29"/>
  <c r="S14" i="29"/>
  <c r="T14" i="29"/>
  <c r="U14" i="29"/>
  <c r="V14" i="29"/>
  <c r="W14" i="29"/>
  <c r="X13" i="29"/>
  <c r="W13" i="29"/>
  <c r="V13" i="29"/>
  <c r="U13" i="29"/>
  <c r="T13" i="29"/>
  <c r="S13" i="29"/>
  <c r="R13" i="29"/>
  <c r="Q13" i="29"/>
  <c r="T12" i="29"/>
  <c r="V12" i="29"/>
  <c r="X12" i="29"/>
  <c r="W12" i="29"/>
  <c r="Q12" i="29"/>
  <c r="U12" i="29"/>
  <c r="S12" i="29"/>
  <c r="R12" i="29"/>
  <c r="Q11" i="29"/>
  <c r="X11" i="29"/>
  <c r="W11" i="29"/>
  <c r="V11" i="29"/>
  <c r="U11" i="29"/>
  <c r="T11" i="29"/>
  <c r="S11" i="29"/>
  <c r="R11" i="29"/>
  <c r="X10" i="29"/>
  <c r="W10" i="29"/>
  <c r="V10" i="29"/>
  <c r="T10" i="29"/>
  <c r="S10" i="29"/>
  <c r="R10" i="29"/>
  <c r="Q10" i="29"/>
  <c r="U10" i="29"/>
  <c r="T9" i="29"/>
  <c r="X9" i="29"/>
  <c r="W9" i="29"/>
  <c r="V9" i="29"/>
  <c r="U9" i="29"/>
  <c r="S9" i="29"/>
  <c r="R9" i="29"/>
  <c r="Q9" i="29"/>
  <c r="Q8" i="29"/>
  <c r="X8" i="29"/>
  <c r="W8" i="29"/>
  <c r="V8" i="29"/>
  <c r="U8" i="29"/>
  <c r="T8" i="29"/>
  <c r="S8" i="29"/>
  <c r="R8" i="29"/>
  <c r="V7" i="29"/>
  <c r="U7" i="29"/>
  <c r="T7" i="29"/>
  <c r="S7" i="29"/>
  <c r="R7" i="29"/>
  <c r="Q7" i="29"/>
  <c r="X7" i="29"/>
  <c r="W7" i="29"/>
  <c r="X6" i="29"/>
  <c r="Q6" i="29"/>
  <c r="R6" i="29"/>
  <c r="S6" i="29"/>
  <c r="T6" i="29"/>
  <c r="U6" i="29"/>
  <c r="W6" i="29"/>
  <c r="V6" i="29"/>
  <c r="W5" i="29"/>
  <c r="X5" i="29"/>
  <c r="Q5" i="29"/>
  <c r="R5" i="29"/>
  <c r="T5" i="29"/>
  <c r="U5" i="29"/>
  <c r="V5" i="29"/>
  <c r="S5" i="29"/>
  <c r="Q4" i="29"/>
  <c r="R4" i="29"/>
  <c r="S4" i="29"/>
  <c r="T4" i="29"/>
  <c r="U4" i="29"/>
  <c r="V4" i="29"/>
  <c r="W4" i="29"/>
  <c r="X4" i="29"/>
  <c r="W15" i="28"/>
  <c r="X15" i="28"/>
  <c r="T15" i="28"/>
  <c r="U15" i="28"/>
  <c r="Q15" i="28"/>
  <c r="S15" i="28"/>
  <c r="R15" i="28"/>
  <c r="V15" i="28"/>
  <c r="U14" i="28"/>
  <c r="T14" i="28"/>
  <c r="S14" i="28"/>
  <c r="R14" i="28"/>
  <c r="Q14" i="28"/>
  <c r="X14" i="28"/>
  <c r="V14" i="28"/>
  <c r="W14" i="28"/>
  <c r="X13" i="28"/>
  <c r="W13" i="28"/>
  <c r="V13" i="28"/>
  <c r="U13" i="28"/>
  <c r="T13" i="28"/>
  <c r="S13" i="28"/>
  <c r="R13" i="28"/>
  <c r="Q13" i="28"/>
  <c r="Q12" i="28"/>
  <c r="X12" i="28"/>
  <c r="V12" i="28"/>
  <c r="U12" i="28"/>
  <c r="T12" i="28"/>
  <c r="S12" i="28"/>
  <c r="R12" i="28"/>
  <c r="W12" i="28"/>
  <c r="Q11" i="28"/>
  <c r="R11" i="28"/>
  <c r="S11" i="28"/>
  <c r="T11" i="28"/>
  <c r="V11" i="28"/>
  <c r="W11" i="28"/>
  <c r="X11" i="28"/>
  <c r="U11" i="28"/>
  <c r="W10" i="28"/>
  <c r="V10" i="28"/>
  <c r="U10" i="28"/>
  <c r="T10" i="28"/>
  <c r="S10" i="28"/>
  <c r="R10" i="28"/>
  <c r="Q10" i="28"/>
  <c r="X10" i="28"/>
  <c r="T9" i="28"/>
  <c r="X9" i="28"/>
  <c r="W9" i="28"/>
  <c r="V9" i="28"/>
  <c r="U9" i="28"/>
  <c r="S9" i="28"/>
  <c r="R9" i="28"/>
  <c r="Q9" i="28"/>
  <c r="X8" i="28"/>
  <c r="W8" i="28"/>
  <c r="V8" i="28"/>
  <c r="U8" i="28"/>
  <c r="T8" i="28"/>
  <c r="S8" i="28"/>
  <c r="R8" i="28"/>
  <c r="Q8" i="28"/>
  <c r="R7" i="28"/>
  <c r="Q7" i="28"/>
  <c r="W6" i="28"/>
  <c r="V6" i="28"/>
  <c r="U6" i="28"/>
  <c r="T6" i="28"/>
  <c r="S6" i="28"/>
  <c r="R6" i="28"/>
  <c r="Q6" i="28"/>
  <c r="X6" i="28"/>
  <c r="W5" i="28"/>
  <c r="S5" i="28"/>
  <c r="V5" i="28"/>
  <c r="X5" i="28"/>
  <c r="T5" i="28"/>
  <c r="R5" i="28"/>
  <c r="Q5" i="28"/>
  <c r="U5" i="28"/>
  <c r="X4" i="28"/>
  <c r="X16" i="28" s="1"/>
  <c r="I26" i="3" s="1"/>
  <c r="W4" i="28"/>
  <c r="W16" i="28" s="1"/>
  <c r="H26" i="3" s="1"/>
  <c r="U4" i="28"/>
  <c r="U16" i="28" s="1"/>
  <c r="F26" i="3" s="1"/>
  <c r="T4" i="28"/>
  <c r="T16" i="28" s="1"/>
  <c r="E26" i="3" s="1"/>
  <c r="S4" i="28"/>
  <c r="S16" i="28" s="1"/>
  <c r="D26" i="3" s="1"/>
  <c r="R4" i="28"/>
  <c r="R16" i="28" s="1"/>
  <c r="C26" i="3" s="1"/>
  <c r="Q4" i="28"/>
  <c r="Q16" i="28" s="1"/>
  <c r="B26" i="3" s="1"/>
  <c r="V4" i="28"/>
  <c r="V16" i="28" s="1"/>
  <c r="G26" i="3" s="1"/>
  <c r="S15" i="27"/>
  <c r="R15" i="27"/>
  <c r="Q15" i="27"/>
  <c r="U15" i="27"/>
  <c r="X15" i="27"/>
  <c r="W15" i="27"/>
  <c r="V15" i="27"/>
  <c r="T15" i="27"/>
  <c r="U14" i="27"/>
  <c r="Q14" i="27"/>
  <c r="R14" i="27"/>
  <c r="S14" i="27"/>
  <c r="T14" i="27"/>
  <c r="V14" i="27"/>
  <c r="W14" i="27"/>
  <c r="X14" i="27"/>
  <c r="X13" i="27"/>
  <c r="V13" i="27"/>
  <c r="R13" i="27"/>
  <c r="S13" i="27"/>
  <c r="T13" i="27"/>
  <c r="U13" i="27"/>
  <c r="W13" i="27"/>
  <c r="Q13" i="27"/>
  <c r="V12" i="27"/>
  <c r="X12" i="27"/>
  <c r="Q12" i="27"/>
  <c r="W12" i="27"/>
  <c r="R12" i="27"/>
  <c r="S12" i="27"/>
  <c r="T12" i="27"/>
  <c r="U12" i="27"/>
  <c r="W11" i="27"/>
  <c r="V11" i="27"/>
  <c r="X11" i="27"/>
  <c r="U11" i="27"/>
  <c r="T11" i="27"/>
  <c r="S11" i="27"/>
  <c r="R11" i="27"/>
  <c r="Q11" i="27"/>
  <c r="T10" i="27"/>
  <c r="Q10" i="27"/>
  <c r="R10" i="27"/>
  <c r="S10" i="27"/>
  <c r="U10" i="27"/>
  <c r="V10" i="27"/>
  <c r="W10" i="27"/>
  <c r="X10" i="27"/>
  <c r="Q9" i="27"/>
  <c r="T9" i="27"/>
  <c r="U9" i="27"/>
  <c r="V9" i="27"/>
  <c r="W9" i="27"/>
  <c r="X9" i="27"/>
  <c r="S9" i="27"/>
  <c r="R9" i="27"/>
  <c r="S8" i="27"/>
  <c r="V8" i="27"/>
  <c r="X8" i="27"/>
  <c r="W8" i="27"/>
  <c r="Q8" i="27"/>
  <c r="R8" i="27"/>
  <c r="T8" i="27"/>
  <c r="U8" i="27"/>
  <c r="W7" i="27"/>
  <c r="X7" i="27"/>
  <c r="Q7" i="27"/>
  <c r="R7" i="27"/>
  <c r="S7" i="27"/>
  <c r="U7" i="27"/>
  <c r="V7" i="27"/>
  <c r="T7" i="27"/>
  <c r="W6" i="27"/>
  <c r="V6" i="27"/>
  <c r="Q6" i="27"/>
  <c r="R6" i="27"/>
  <c r="S6" i="27"/>
  <c r="T6" i="27"/>
  <c r="U6" i="27"/>
  <c r="X6" i="27"/>
  <c r="S5" i="27"/>
  <c r="T5" i="27"/>
  <c r="U5" i="27"/>
  <c r="V5" i="27"/>
  <c r="W5" i="27"/>
  <c r="R5" i="27"/>
  <c r="Q5" i="27"/>
  <c r="X5" i="27"/>
  <c r="S4" i="27"/>
  <c r="R4" i="27"/>
  <c r="Q4" i="27"/>
  <c r="X4" i="27"/>
  <c r="W4" i="27"/>
  <c r="V4" i="27"/>
  <c r="U4" i="27"/>
  <c r="T4" i="27"/>
  <c r="X15" i="26"/>
  <c r="W15" i="26"/>
  <c r="V15" i="26"/>
  <c r="U15" i="26"/>
  <c r="S15" i="26"/>
  <c r="R15" i="26"/>
  <c r="Q15" i="26"/>
  <c r="T15" i="26"/>
  <c r="X14" i="26"/>
  <c r="W14" i="26"/>
  <c r="V14" i="26"/>
  <c r="U14" i="26"/>
  <c r="T14" i="26"/>
  <c r="S14" i="26"/>
  <c r="R14" i="26"/>
  <c r="Q14" i="26"/>
  <c r="V13" i="26"/>
  <c r="T13" i="26"/>
  <c r="S13" i="26"/>
  <c r="R13" i="26"/>
  <c r="Q13" i="26"/>
  <c r="X13" i="26"/>
  <c r="W13" i="26"/>
  <c r="U13" i="26"/>
  <c r="W12" i="26"/>
  <c r="V12" i="26"/>
  <c r="U12" i="26"/>
  <c r="T12" i="26"/>
  <c r="S12" i="26"/>
  <c r="R12" i="26"/>
  <c r="Q12" i="26"/>
  <c r="X12" i="26"/>
  <c r="X11" i="26"/>
  <c r="W11" i="26"/>
  <c r="V11" i="26"/>
  <c r="U11" i="26"/>
  <c r="T11" i="26"/>
  <c r="S11" i="26"/>
  <c r="R11" i="26"/>
  <c r="Q11" i="26"/>
  <c r="U10" i="26"/>
  <c r="R10" i="26"/>
  <c r="Q10" i="26"/>
  <c r="X10" i="26"/>
  <c r="W10" i="26"/>
  <c r="V10" i="26"/>
  <c r="T10" i="26"/>
  <c r="S10" i="26"/>
  <c r="X9" i="26"/>
  <c r="W9" i="26"/>
  <c r="V9" i="26"/>
  <c r="U9" i="26"/>
  <c r="T9" i="26"/>
  <c r="S9" i="26"/>
  <c r="R9" i="26"/>
  <c r="Q9" i="26"/>
  <c r="Q8" i="26"/>
  <c r="R8" i="26"/>
  <c r="X8" i="26"/>
  <c r="W8" i="26"/>
  <c r="V8" i="26"/>
  <c r="U8" i="26"/>
  <c r="T8" i="26"/>
  <c r="S8" i="26"/>
  <c r="Q7" i="26"/>
  <c r="X7" i="26"/>
  <c r="W7" i="26"/>
  <c r="V7" i="26"/>
  <c r="U7" i="26"/>
  <c r="T7" i="26"/>
  <c r="S7" i="26"/>
  <c r="R7" i="26"/>
  <c r="R6" i="26"/>
  <c r="S6" i="26"/>
  <c r="T6" i="26"/>
  <c r="U6" i="26"/>
  <c r="V6" i="26"/>
  <c r="W6" i="26"/>
  <c r="X6" i="26"/>
  <c r="Q6" i="26"/>
  <c r="X5" i="26"/>
  <c r="X16" i="26" s="1"/>
  <c r="I24" i="3" s="1"/>
  <c r="W5" i="26"/>
  <c r="Q5" i="26"/>
  <c r="R5" i="26"/>
  <c r="S5" i="26"/>
  <c r="T5" i="26"/>
  <c r="U5" i="26"/>
  <c r="V5" i="26"/>
  <c r="U4" i="26"/>
  <c r="U16" i="26" s="1"/>
  <c r="F24" i="3" s="1"/>
  <c r="T4" i="26"/>
  <c r="T16" i="26" s="1"/>
  <c r="E24" i="3" s="1"/>
  <c r="S4" i="26"/>
  <c r="S16" i="26" s="1"/>
  <c r="D24" i="3" s="1"/>
  <c r="W4" i="26"/>
  <c r="W16" i="26" s="1"/>
  <c r="H24" i="3" s="1"/>
  <c r="Q4" i="26"/>
  <c r="Q16" i="26" s="1"/>
  <c r="B24" i="3" s="1"/>
  <c r="R4" i="26"/>
  <c r="R16" i="26" s="1"/>
  <c r="C24" i="3" s="1"/>
  <c r="V4" i="26"/>
  <c r="V16" i="26" s="1"/>
  <c r="G24" i="3" s="1"/>
  <c r="V15" i="25"/>
  <c r="U15" i="25"/>
  <c r="T15" i="25"/>
  <c r="S15" i="25"/>
  <c r="R15" i="25"/>
  <c r="X15" i="25"/>
  <c r="W15" i="25"/>
  <c r="Q15" i="25"/>
  <c r="X14" i="25"/>
  <c r="W14" i="25"/>
  <c r="V14" i="25"/>
  <c r="U14" i="25"/>
  <c r="T14" i="25"/>
  <c r="S14" i="25"/>
  <c r="R14" i="25"/>
  <c r="Q14" i="25"/>
  <c r="S13" i="25"/>
  <c r="X13" i="25"/>
  <c r="W13" i="25"/>
  <c r="V13" i="25"/>
  <c r="U13" i="25"/>
  <c r="R13" i="25"/>
  <c r="Q13" i="25"/>
  <c r="T13" i="25"/>
  <c r="S12" i="25"/>
  <c r="R12" i="25"/>
  <c r="Q12" i="25"/>
  <c r="U12" i="25"/>
  <c r="W12" i="25"/>
  <c r="X12" i="25"/>
  <c r="V12" i="25"/>
  <c r="T12" i="25"/>
  <c r="X11" i="25"/>
  <c r="W11" i="25"/>
  <c r="V11" i="25"/>
  <c r="U11" i="25"/>
  <c r="T11" i="25"/>
  <c r="S11" i="25"/>
  <c r="R11" i="25"/>
  <c r="Q11" i="25"/>
  <c r="X10" i="25"/>
  <c r="W10" i="25"/>
  <c r="V10" i="25"/>
  <c r="U10" i="25"/>
  <c r="T10" i="25"/>
  <c r="Q10" i="25"/>
  <c r="R10" i="25"/>
  <c r="S10" i="25"/>
  <c r="R9" i="25"/>
  <c r="Q9" i="25"/>
  <c r="X9" i="25"/>
  <c r="V9" i="25"/>
  <c r="U9" i="25"/>
  <c r="W9" i="25"/>
  <c r="T9" i="25"/>
  <c r="S9" i="25"/>
  <c r="X8" i="25"/>
  <c r="W8" i="25"/>
  <c r="V8" i="25"/>
  <c r="U8" i="25"/>
  <c r="S8" i="25"/>
  <c r="R8" i="25"/>
  <c r="Q8" i="25"/>
  <c r="T8" i="25"/>
  <c r="W7" i="25"/>
  <c r="V7" i="25"/>
  <c r="U7" i="25"/>
  <c r="T7" i="25"/>
  <c r="S7" i="25"/>
  <c r="X7" i="25"/>
  <c r="Q7" i="25"/>
  <c r="R7" i="25"/>
  <c r="X6" i="25"/>
  <c r="W6" i="25"/>
  <c r="V6" i="25"/>
  <c r="U6" i="25"/>
  <c r="T6" i="25"/>
  <c r="S6" i="25"/>
  <c r="R6" i="25"/>
  <c r="Q6" i="25"/>
  <c r="W5" i="25"/>
  <c r="V5" i="25"/>
  <c r="U5" i="25"/>
  <c r="T5" i="25"/>
  <c r="S5" i="25"/>
  <c r="R5" i="25"/>
  <c r="Q5" i="25"/>
  <c r="X5" i="25"/>
  <c r="X4" i="25"/>
  <c r="W4" i="25"/>
  <c r="V4" i="25"/>
  <c r="T4" i="25"/>
  <c r="S4" i="25"/>
  <c r="R4" i="25"/>
  <c r="Q4" i="25"/>
  <c r="U4" i="25"/>
  <c r="X15" i="24"/>
  <c r="W15" i="24"/>
  <c r="V15" i="24"/>
  <c r="U15" i="24"/>
  <c r="T15" i="24"/>
  <c r="R15" i="24"/>
  <c r="Q15" i="24"/>
  <c r="S15" i="24"/>
  <c r="W14" i="24"/>
  <c r="V14" i="24"/>
  <c r="U14" i="24"/>
  <c r="T14" i="24"/>
  <c r="S14" i="24"/>
  <c r="R14" i="24"/>
  <c r="Q14" i="24"/>
  <c r="X14" i="24"/>
  <c r="W13" i="24"/>
  <c r="X13" i="24"/>
  <c r="R13" i="24"/>
  <c r="S13" i="24"/>
  <c r="T13" i="24"/>
  <c r="U13" i="24"/>
  <c r="Q13" i="24"/>
  <c r="V13" i="24"/>
  <c r="W12" i="24"/>
  <c r="V12" i="24"/>
  <c r="U12" i="24"/>
  <c r="T12" i="24"/>
  <c r="S12" i="24"/>
  <c r="R12" i="24"/>
  <c r="Q12" i="24"/>
  <c r="X12" i="24"/>
  <c r="X11" i="24"/>
  <c r="W11" i="24"/>
  <c r="V11" i="24"/>
  <c r="U11" i="24"/>
  <c r="T11" i="24"/>
  <c r="S11" i="24"/>
  <c r="R11" i="24"/>
  <c r="Q11" i="24"/>
  <c r="X10" i="24"/>
  <c r="W10" i="24"/>
  <c r="Q10" i="24"/>
  <c r="R10" i="24"/>
  <c r="S10" i="24"/>
  <c r="T10" i="24"/>
  <c r="U10" i="24"/>
  <c r="V10" i="24"/>
  <c r="U9" i="24"/>
  <c r="T9" i="24"/>
  <c r="S9" i="24"/>
  <c r="R9" i="24"/>
  <c r="Q9" i="24"/>
  <c r="X9" i="24"/>
  <c r="V9" i="24"/>
  <c r="W9" i="24"/>
  <c r="X8" i="24"/>
  <c r="W8" i="24"/>
  <c r="V8" i="24"/>
  <c r="U8" i="24"/>
  <c r="S8" i="24"/>
  <c r="R8" i="24"/>
  <c r="Q8" i="24"/>
  <c r="T8" i="24"/>
  <c r="W7" i="24"/>
  <c r="V7" i="24"/>
  <c r="U7" i="24"/>
  <c r="T7" i="24"/>
  <c r="S7" i="24"/>
  <c r="R7" i="24"/>
  <c r="Q7" i="24"/>
  <c r="X7" i="24"/>
  <c r="X6" i="24"/>
  <c r="W6" i="24"/>
  <c r="V6" i="24"/>
  <c r="U6" i="24"/>
  <c r="T6" i="24"/>
  <c r="S6" i="24"/>
  <c r="R6" i="24"/>
  <c r="Q6" i="24"/>
  <c r="W5" i="24"/>
  <c r="V5" i="24"/>
  <c r="U5" i="24"/>
  <c r="S5" i="24"/>
  <c r="R5" i="24"/>
  <c r="Q5" i="24"/>
  <c r="T5" i="24"/>
  <c r="X5" i="24"/>
  <c r="X4" i="24"/>
  <c r="X16" i="24" s="1"/>
  <c r="I22" i="3" s="1"/>
  <c r="W4" i="24"/>
  <c r="W16" i="24" s="1"/>
  <c r="H22" i="3" s="1"/>
  <c r="V4" i="24"/>
  <c r="V16" i="24" s="1"/>
  <c r="G22" i="3" s="1"/>
  <c r="U4" i="24"/>
  <c r="U16" i="24" s="1"/>
  <c r="F22" i="3" s="1"/>
  <c r="T4" i="24"/>
  <c r="T16" i="24" s="1"/>
  <c r="E22" i="3" s="1"/>
  <c r="S4" i="24"/>
  <c r="S16" i="24" s="1"/>
  <c r="D22" i="3" s="1"/>
  <c r="Q4" i="24"/>
  <c r="Q16" i="24" s="1"/>
  <c r="B22" i="3" s="1"/>
  <c r="R4" i="24"/>
  <c r="R16" i="24" s="1"/>
  <c r="C22" i="3" s="1"/>
  <c r="R15" i="23"/>
  <c r="Q15" i="23"/>
  <c r="S14" i="23"/>
  <c r="T14" i="23"/>
  <c r="Q14" i="23"/>
  <c r="R14" i="23"/>
  <c r="X14" i="23"/>
  <c r="W14" i="23"/>
  <c r="V14" i="23"/>
  <c r="U14" i="23"/>
  <c r="S13" i="23"/>
  <c r="R13" i="23"/>
  <c r="Q13" i="23"/>
  <c r="X13" i="23"/>
  <c r="W13" i="23"/>
  <c r="V13" i="23"/>
  <c r="U13" i="23"/>
  <c r="T13" i="23"/>
  <c r="S12" i="23"/>
  <c r="Q12" i="23"/>
  <c r="R12" i="23"/>
  <c r="X12" i="23"/>
  <c r="W12" i="23"/>
  <c r="V12" i="23"/>
  <c r="U12" i="23"/>
  <c r="T12" i="23"/>
  <c r="Q11" i="23"/>
  <c r="R11" i="23"/>
  <c r="S11" i="23"/>
  <c r="T11" i="23"/>
  <c r="U11" i="23"/>
  <c r="V11" i="23"/>
  <c r="W11" i="23"/>
  <c r="X11" i="23"/>
  <c r="X10" i="23"/>
  <c r="W10" i="23"/>
  <c r="V10" i="23"/>
  <c r="U10" i="23"/>
  <c r="T10" i="23"/>
  <c r="S10" i="23"/>
  <c r="R10" i="23"/>
  <c r="Q10" i="23"/>
  <c r="T9" i="23"/>
  <c r="X9" i="23"/>
  <c r="W9" i="23"/>
  <c r="V9" i="23"/>
  <c r="U9" i="23"/>
  <c r="S9" i="23"/>
  <c r="R9" i="23"/>
  <c r="Q9" i="23"/>
  <c r="S8" i="23"/>
  <c r="R8" i="23"/>
  <c r="Q8" i="23"/>
  <c r="X8" i="23"/>
  <c r="W8" i="23"/>
  <c r="V8" i="23"/>
  <c r="U8" i="23"/>
  <c r="T8" i="23"/>
  <c r="X7" i="23"/>
  <c r="W7" i="23"/>
  <c r="Q7" i="23"/>
  <c r="S7" i="23"/>
  <c r="V7" i="23"/>
  <c r="U7" i="23"/>
  <c r="R7" i="23"/>
  <c r="T7" i="23"/>
  <c r="S6" i="23"/>
  <c r="R6" i="23"/>
  <c r="Q6" i="23"/>
  <c r="X6" i="23"/>
  <c r="W6" i="23"/>
  <c r="V6" i="23"/>
  <c r="U6" i="23"/>
  <c r="T6" i="23"/>
  <c r="V5" i="23"/>
  <c r="T5" i="23"/>
  <c r="S5" i="23"/>
  <c r="R5" i="23"/>
  <c r="X5" i="23"/>
  <c r="W5" i="23"/>
  <c r="Q5" i="23"/>
  <c r="U5" i="23"/>
  <c r="S4" i="23"/>
  <c r="R4" i="23"/>
  <c r="Q4" i="23"/>
  <c r="X4" i="23"/>
  <c r="W4" i="23"/>
  <c r="V4" i="23"/>
  <c r="U4" i="23"/>
  <c r="T4" i="23"/>
  <c r="U15" i="22"/>
  <c r="X15" i="22"/>
  <c r="W15" i="22"/>
  <c r="V15" i="22"/>
  <c r="T15" i="22"/>
  <c r="S15" i="22"/>
  <c r="R15" i="22"/>
  <c r="Q15" i="22"/>
  <c r="S14" i="22"/>
  <c r="R14" i="22"/>
  <c r="Q14" i="22"/>
  <c r="X14" i="22"/>
  <c r="W14" i="22"/>
  <c r="V14" i="22"/>
  <c r="U14" i="22"/>
  <c r="T14" i="22"/>
  <c r="Q13" i="22"/>
  <c r="W13" i="22"/>
  <c r="V13" i="22"/>
  <c r="U13" i="22"/>
  <c r="T13" i="22"/>
  <c r="S13" i="22"/>
  <c r="R13" i="22"/>
  <c r="X13" i="22"/>
  <c r="S12" i="22"/>
  <c r="R12" i="22"/>
  <c r="Q12" i="22"/>
  <c r="X12" i="22"/>
  <c r="W12" i="22"/>
  <c r="V12" i="22"/>
  <c r="U12" i="22"/>
  <c r="T12" i="22"/>
  <c r="U11" i="22"/>
  <c r="X11" i="22"/>
  <c r="W11" i="22"/>
  <c r="V11" i="22"/>
  <c r="T11" i="22"/>
  <c r="S11" i="22"/>
  <c r="R11" i="22"/>
  <c r="Q11" i="22"/>
  <c r="X10" i="22"/>
  <c r="W10" i="22"/>
  <c r="V10" i="22"/>
  <c r="U10" i="22"/>
  <c r="T10" i="22"/>
  <c r="S10" i="22"/>
  <c r="R10" i="22"/>
  <c r="Q10" i="22"/>
  <c r="Q9" i="22"/>
  <c r="R9" i="22"/>
  <c r="S9" i="22"/>
  <c r="W9" i="22"/>
  <c r="T9" i="22"/>
  <c r="U9" i="22"/>
  <c r="V9" i="22"/>
  <c r="X9" i="22"/>
  <c r="V8" i="22"/>
  <c r="W8" i="22"/>
  <c r="X8" i="22"/>
  <c r="U8" i="22"/>
  <c r="T8" i="22"/>
  <c r="S8" i="22"/>
  <c r="R8" i="22"/>
  <c r="Q8" i="22"/>
  <c r="S7" i="22"/>
  <c r="X7" i="22"/>
  <c r="W7" i="22"/>
  <c r="V7" i="22"/>
  <c r="U7" i="22"/>
  <c r="T7" i="22"/>
  <c r="R7" i="22"/>
  <c r="Q7" i="22"/>
  <c r="Q6" i="22"/>
  <c r="R6" i="22"/>
  <c r="S6" i="22"/>
  <c r="X6" i="22"/>
  <c r="W6" i="22"/>
  <c r="V6" i="22"/>
  <c r="U6" i="22"/>
  <c r="T6" i="22"/>
  <c r="R5" i="22"/>
  <c r="S5" i="22"/>
  <c r="U5" i="22"/>
  <c r="V5" i="22"/>
  <c r="W5" i="22"/>
  <c r="X5" i="22"/>
  <c r="Q5" i="22"/>
  <c r="T5" i="22"/>
  <c r="S4" i="22"/>
  <c r="S16" i="22" s="1"/>
  <c r="D20" i="3" s="1"/>
  <c r="R4" i="22"/>
  <c r="R16" i="22" s="1"/>
  <c r="C20" i="3" s="1"/>
  <c r="Q4" i="22"/>
  <c r="Q16" i="22" s="1"/>
  <c r="B20" i="3" s="1"/>
  <c r="X4" i="22"/>
  <c r="X16" i="22" s="1"/>
  <c r="I20" i="3" s="1"/>
  <c r="W4" i="22"/>
  <c r="W16" i="22" s="1"/>
  <c r="H20" i="3" s="1"/>
  <c r="V4" i="22"/>
  <c r="V16" i="22" s="1"/>
  <c r="G20" i="3" s="1"/>
  <c r="U4" i="22"/>
  <c r="U16" i="22" s="1"/>
  <c r="F20" i="3" s="1"/>
  <c r="T4" i="22"/>
  <c r="T16" i="22" s="1"/>
  <c r="E20" i="3" s="1"/>
  <c r="S15" i="21"/>
  <c r="X15" i="21"/>
  <c r="W15" i="21"/>
  <c r="V15" i="21"/>
  <c r="U15" i="21"/>
  <c r="T15" i="21"/>
  <c r="R15" i="21"/>
  <c r="Q15" i="21"/>
  <c r="W14" i="21"/>
  <c r="X14" i="21"/>
  <c r="V14" i="21"/>
  <c r="U14" i="21"/>
  <c r="T14" i="21"/>
  <c r="S14" i="21"/>
  <c r="R14" i="21"/>
  <c r="Q14" i="21"/>
  <c r="R13" i="21"/>
  <c r="Q13" i="21"/>
  <c r="U13" i="21"/>
  <c r="S13" i="21"/>
  <c r="X13" i="21"/>
  <c r="W13" i="21"/>
  <c r="V13" i="21"/>
  <c r="T13" i="21"/>
  <c r="R12" i="21"/>
  <c r="Q12" i="21"/>
  <c r="X12" i="21"/>
  <c r="V12" i="21"/>
  <c r="U12" i="21"/>
  <c r="T12" i="21"/>
  <c r="S12" i="21"/>
  <c r="W12" i="21"/>
  <c r="U11" i="21"/>
  <c r="V11" i="21"/>
  <c r="W11" i="21"/>
  <c r="X11" i="21"/>
  <c r="Q11" i="21"/>
  <c r="R11" i="21"/>
  <c r="S11" i="21"/>
  <c r="T11" i="21"/>
  <c r="R10" i="21"/>
  <c r="S10" i="21"/>
  <c r="T10" i="21"/>
  <c r="U10" i="21"/>
  <c r="X10" i="21"/>
  <c r="Q10" i="21"/>
  <c r="W10" i="21"/>
  <c r="V10" i="21"/>
  <c r="X9" i="21"/>
  <c r="W9" i="21"/>
  <c r="U9" i="21"/>
  <c r="V9" i="21"/>
  <c r="Q9" i="21"/>
  <c r="R9" i="21"/>
  <c r="S9" i="21"/>
  <c r="T9" i="21"/>
  <c r="Q8" i="21"/>
  <c r="R8" i="21"/>
  <c r="S8" i="21"/>
  <c r="T8" i="21"/>
  <c r="U8" i="21"/>
  <c r="V8" i="21"/>
  <c r="W8" i="21"/>
  <c r="X8" i="21"/>
  <c r="S7" i="21"/>
  <c r="T7" i="21"/>
  <c r="R7" i="21"/>
  <c r="Q7" i="21"/>
  <c r="V7" i="21"/>
  <c r="U7" i="21"/>
  <c r="W7" i="21"/>
  <c r="X7" i="21"/>
  <c r="T6" i="21"/>
  <c r="S6" i="21"/>
  <c r="Q6" i="21"/>
  <c r="X6" i="21"/>
  <c r="W6" i="21"/>
  <c r="V6" i="21"/>
  <c r="U6" i="21"/>
  <c r="R6" i="21"/>
  <c r="V5" i="21"/>
  <c r="Q5" i="21"/>
  <c r="R5" i="21"/>
  <c r="S5" i="21"/>
  <c r="T5" i="21"/>
  <c r="U5" i="21"/>
  <c r="W5" i="21"/>
  <c r="X5" i="21"/>
  <c r="V4" i="21"/>
  <c r="W4" i="21"/>
  <c r="U4" i="21"/>
  <c r="T4" i="21"/>
  <c r="S4" i="21"/>
  <c r="R4" i="21"/>
  <c r="X4" i="21"/>
  <c r="Q4" i="21"/>
  <c r="S15" i="20"/>
  <c r="R15" i="20"/>
  <c r="Q15" i="20"/>
  <c r="V15" i="20"/>
  <c r="X15" i="20"/>
  <c r="W15" i="20"/>
  <c r="U15" i="20"/>
  <c r="T15" i="20"/>
  <c r="R14" i="20"/>
  <c r="S14" i="20"/>
  <c r="T14" i="20"/>
  <c r="U14" i="20"/>
  <c r="Q14" i="20"/>
  <c r="V14" i="20"/>
  <c r="W14" i="20"/>
  <c r="X14" i="20"/>
  <c r="S13" i="20"/>
  <c r="Q13" i="20"/>
  <c r="V13" i="20"/>
  <c r="T13" i="20"/>
  <c r="U13" i="20"/>
  <c r="X13" i="20"/>
  <c r="W13" i="20"/>
  <c r="R13" i="20"/>
  <c r="X12" i="20"/>
  <c r="W12" i="20"/>
  <c r="V12" i="20"/>
  <c r="U12" i="20"/>
  <c r="T12" i="20"/>
  <c r="S12" i="20"/>
  <c r="R12" i="20"/>
  <c r="Q12" i="20"/>
  <c r="R11" i="20"/>
  <c r="S11" i="20"/>
  <c r="T11" i="20"/>
  <c r="V11" i="20"/>
  <c r="W11" i="20"/>
  <c r="X11" i="20"/>
  <c r="U11" i="20"/>
  <c r="Q11" i="20"/>
  <c r="U10" i="20"/>
  <c r="S10" i="20"/>
  <c r="T10" i="20"/>
  <c r="X10" i="20"/>
  <c r="W10" i="20"/>
  <c r="V10" i="20"/>
  <c r="Q10" i="20"/>
  <c r="R10" i="20"/>
  <c r="R9" i="20"/>
  <c r="Q9" i="20"/>
  <c r="U9" i="20"/>
  <c r="T9" i="20"/>
  <c r="V9" i="20"/>
  <c r="W9" i="20"/>
  <c r="X9" i="20"/>
  <c r="S9" i="20"/>
  <c r="V8" i="20"/>
  <c r="X8" i="20"/>
  <c r="W8" i="20"/>
  <c r="U8" i="20"/>
  <c r="T8" i="20"/>
  <c r="S8" i="20"/>
  <c r="R8" i="20"/>
  <c r="Q8" i="20"/>
  <c r="X7" i="20"/>
  <c r="W7" i="20"/>
  <c r="V7" i="20"/>
  <c r="U7" i="20"/>
  <c r="T7" i="20"/>
  <c r="S7" i="20"/>
  <c r="R7" i="20"/>
  <c r="Q7" i="20"/>
  <c r="W6" i="20"/>
  <c r="V6" i="20"/>
  <c r="U6" i="20"/>
  <c r="T6" i="20"/>
  <c r="S6" i="20"/>
  <c r="R6" i="20"/>
  <c r="Q6" i="20"/>
  <c r="X6" i="20"/>
  <c r="W5" i="20"/>
  <c r="V5" i="20"/>
  <c r="U5" i="20"/>
  <c r="T5" i="20"/>
  <c r="S5" i="20"/>
  <c r="R5" i="20"/>
  <c r="Q5" i="20"/>
  <c r="X5" i="20"/>
  <c r="T4" i="20"/>
  <c r="T16" i="20" s="1"/>
  <c r="E18" i="3" s="1"/>
  <c r="X4" i="20"/>
  <c r="X16" i="20" s="1"/>
  <c r="I18" i="3" s="1"/>
  <c r="W4" i="20"/>
  <c r="W16" i="20" s="1"/>
  <c r="H18" i="3" s="1"/>
  <c r="V4" i="20"/>
  <c r="V16" i="20" s="1"/>
  <c r="G18" i="3" s="1"/>
  <c r="U4" i="20"/>
  <c r="U16" i="20" s="1"/>
  <c r="F18" i="3" s="1"/>
  <c r="S4" i="20"/>
  <c r="S16" i="20" s="1"/>
  <c r="D18" i="3" s="1"/>
  <c r="R4" i="20"/>
  <c r="R16" i="20" s="1"/>
  <c r="C18" i="3" s="1"/>
  <c r="Q4" i="20"/>
  <c r="Q16" i="20" s="1"/>
  <c r="B18" i="3" s="1"/>
  <c r="X15" i="19"/>
  <c r="W15" i="19"/>
  <c r="V15" i="19"/>
  <c r="U15" i="19"/>
  <c r="T15" i="19"/>
  <c r="S15" i="19"/>
  <c r="R15" i="19"/>
  <c r="Q15" i="19"/>
  <c r="X14" i="19"/>
  <c r="W14" i="19"/>
  <c r="U14" i="19"/>
  <c r="Q14" i="19"/>
  <c r="R14" i="19"/>
  <c r="V14" i="19"/>
  <c r="S14" i="19"/>
  <c r="T14" i="19"/>
  <c r="R13" i="19"/>
  <c r="Q13" i="19"/>
  <c r="U13" i="19"/>
  <c r="X13" i="19"/>
  <c r="W13" i="19"/>
  <c r="V13" i="19"/>
  <c r="T13" i="19"/>
  <c r="S13" i="19"/>
  <c r="Q12" i="19"/>
  <c r="X12" i="19"/>
  <c r="V12" i="19"/>
  <c r="U12" i="19"/>
  <c r="T12" i="19"/>
  <c r="S12" i="19"/>
  <c r="R12" i="19"/>
  <c r="W12" i="19"/>
  <c r="W11" i="19"/>
  <c r="V11" i="19"/>
  <c r="Q11" i="19"/>
  <c r="R11" i="19"/>
  <c r="U11" i="19"/>
  <c r="S11" i="19"/>
  <c r="T11" i="19"/>
  <c r="X11" i="19"/>
  <c r="R10" i="19"/>
  <c r="Q10" i="19"/>
  <c r="T10" i="19"/>
  <c r="S10" i="19"/>
  <c r="S9" i="19"/>
  <c r="X9" i="19"/>
  <c r="W9" i="19"/>
  <c r="V9" i="19"/>
  <c r="U9" i="19"/>
  <c r="T9" i="19"/>
  <c r="R9" i="19"/>
  <c r="Q9" i="19"/>
  <c r="Q8" i="19"/>
  <c r="R8" i="19"/>
  <c r="V8" i="19"/>
  <c r="U8" i="19"/>
  <c r="X8" i="19"/>
  <c r="T8" i="19"/>
  <c r="S8" i="19"/>
  <c r="W8" i="19"/>
  <c r="V7" i="19"/>
  <c r="X7" i="19"/>
  <c r="Q7" i="19"/>
  <c r="R7" i="19"/>
  <c r="S7" i="19"/>
  <c r="T7" i="19"/>
  <c r="U7" i="19"/>
  <c r="W7" i="19"/>
  <c r="W6" i="19"/>
  <c r="V6" i="19"/>
  <c r="U6" i="19"/>
  <c r="S6" i="19"/>
  <c r="R6" i="19"/>
  <c r="Q6" i="19"/>
  <c r="X6" i="19"/>
  <c r="T6" i="19"/>
  <c r="X5" i="19"/>
  <c r="W5" i="19"/>
  <c r="V5" i="19"/>
  <c r="U5" i="19"/>
  <c r="T5" i="19"/>
  <c r="S5" i="19"/>
  <c r="R5" i="19"/>
  <c r="Q5" i="19"/>
  <c r="X4" i="19"/>
  <c r="W4" i="19"/>
  <c r="Q4" i="19"/>
  <c r="R4" i="19"/>
  <c r="V4" i="19"/>
  <c r="U4" i="19"/>
  <c r="T4" i="19"/>
  <c r="S4" i="19"/>
  <c r="X15" i="18"/>
  <c r="W15" i="18"/>
  <c r="Q15" i="18"/>
  <c r="R15" i="18"/>
  <c r="S15" i="18"/>
  <c r="V15" i="18"/>
  <c r="U15" i="18"/>
  <c r="T15" i="18"/>
  <c r="R14" i="18"/>
  <c r="T14" i="18"/>
  <c r="U14" i="18"/>
  <c r="V14" i="18"/>
  <c r="W14" i="18"/>
  <c r="X14" i="18"/>
  <c r="S14" i="18"/>
  <c r="Q14" i="18"/>
  <c r="Q13" i="18"/>
  <c r="R13" i="18"/>
  <c r="S13" i="18"/>
  <c r="T13" i="18"/>
  <c r="U13" i="18"/>
  <c r="V13" i="18"/>
  <c r="W13" i="18"/>
  <c r="X13" i="18"/>
  <c r="T12" i="18"/>
  <c r="U12" i="18"/>
  <c r="V12" i="18"/>
  <c r="W12" i="18"/>
  <c r="Q12" i="18"/>
  <c r="X12" i="18"/>
  <c r="R12" i="18"/>
  <c r="S12" i="18"/>
  <c r="X11" i="18"/>
  <c r="Q11" i="18"/>
  <c r="R11" i="18"/>
  <c r="S11" i="18"/>
  <c r="T11" i="18"/>
  <c r="U11" i="18"/>
  <c r="V11" i="18"/>
  <c r="W11" i="18"/>
  <c r="T10" i="18"/>
  <c r="S10" i="18"/>
  <c r="R10" i="18"/>
  <c r="Q10" i="18"/>
  <c r="U10" i="18"/>
  <c r="X10" i="18"/>
  <c r="W10" i="18"/>
  <c r="V10" i="18"/>
  <c r="X9" i="18"/>
  <c r="W9" i="18"/>
  <c r="U9" i="18"/>
  <c r="T9" i="18"/>
  <c r="S9" i="18"/>
  <c r="R9" i="18"/>
  <c r="Q9" i="18"/>
  <c r="V9" i="18"/>
  <c r="X8" i="18"/>
  <c r="W8" i="18"/>
  <c r="V8" i="18"/>
  <c r="U8" i="18"/>
  <c r="T8" i="18"/>
  <c r="S8" i="18"/>
  <c r="R8" i="18"/>
  <c r="Q8" i="18"/>
  <c r="X7" i="18"/>
  <c r="W7" i="18"/>
  <c r="V7" i="18"/>
  <c r="U7" i="18"/>
  <c r="R7" i="18"/>
  <c r="T7" i="18"/>
  <c r="Q7" i="18"/>
  <c r="S7" i="18"/>
  <c r="R6" i="18"/>
  <c r="X6" i="18"/>
  <c r="W6" i="18"/>
  <c r="V6" i="18"/>
  <c r="U6" i="18"/>
  <c r="T6" i="18"/>
  <c r="S6" i="18"/>
  <c r="Q6" i="18"/>
  <c r="X5" i="18"/>
  <c r="W5" i="18"/>
  <c r="V5" i="18"/>
  <c r="U5" i="18"/>
  <c r="T5" i="18"/>
  <c r="S5" i="18"/>
  <c r="R5" i="18"/>
  <c r="Q5" i="18"/>
  <c r="X4" i="18"/>
  <c r="X16" i="18" s="1"/>
  <c r="I16" i="3" s="1"/>
  <c r="W4" i="18"/>
  <c r="W16" i="18" s="1"/>
  <c r="H16" i="3" s="1"/>
  <c r="V4" i="18"/>
  <c r="V16" i="18" s="1"/>
  <c r="G16" i="3" s="1"/>
  <c r="U4" i="18"/>
  <c r="U16" i="18" s="1"/>
  <c r="F16" i="3" s="1"/>
  <c r="T4" i="18"/>
  <c r="T16" i="18" s="1"/>
  <c r="E16" i="3" s="1"/>
  <c r="S4" i="18"/>
  <c r="S16" i="18" s="1"/>
  <c r="D16" i="3" s="1"/>
  <c r="R4" i="18"/>
  <c r="R16" i="18" s="1"/>
  <c r="C16" i="3" s="1"/>
  <c r="Q4" i="18"/>
  <c r="Q16" i="18" s="1"/>
  <c r="B16" i="3" s="1"/>
  <c r="T15" i="17"/>
  <c r="X15" i="17"/>
  <c r="W15" i="17"/>
  <c r="V15" i="17"/>
  <c r="U15" i="17"/>
  <c r="S15" i="17"/>
  <c r="R15" i="17"/>
  <c r="Q15" i="17"/>
  <c r="R14" i="17"/>
  <c r="S14" i="17"/>
  <c r="T14" i="17"/>
  <c r="U14" i="17"/>
  <c r="V14" i="17"/>
  <c r="Q14" i="17"/>
  <c r="X14" i="17"/>
  <c r="W14" i="17"/>
  <c r="V13" i="17"/>
  <c r="Q13" i="17"/>
  <c r="R13" i="17"/>
  <c r="T13" i="17"/>
  <c r="U13" i="17"/>
  <c r="W13" i="17"/>
  <c r="X13" i="17"/>
  <c r="S13" i="17"/>
  <c r="Q12" i="17"/>
  <c r="R12" i="17"/>
  <c r="S12" i="17"/>
  <c r="T12" i="17"/>
  <c r="U12" i="17"/>
  <c r="V12" i="17"/>
  <c r="W12" i="17"/>
  <c r="X12" i="17"/>
  <c r="U11" i="17"/>
  <c r="V11" i="17"/>
  <c r="W11" i="17"/>
  <c r="X11" i="17"/>
  <c r="R11" i="17"/>
  <c r="T11" i="17"/>
  <c r="Q11" i="17"/>
  <c r="S11" i="17"/>
  <c r="V10" i="17"/>
  <c r="W10" i="17"/>
  <c r="X10" i="17"/>
  <c r="T10" i="17"/>
  <c r="S10" i="17"/>
  <c r="Q10" i="17"/>
  <c r="R10" i="17"/>
  <c r="U10" i="17"/>
  <c r="Q9" i="17"/>
  <c r="S9" i="17"/>
  <c r="T9" i="17"/>
  <c r="U9" i="17"/>
  <c r="X9" i="17"/>
  <c r="V9" i="17"/>
  <c r="W9" i="17"/>
  <c r="R9" i="17"/>
  <c r="R7" i="17"/>
  <c r="Q7" i="17"/>
  <c r="S7" i="17"/>
  <c r="T7" i="17"/>
  <c r="U7" i="17"/>
  <c r="V7" i="17"/>
  <c r="W7" i="17"/>
  <c r="X7" i="17"/>
  <c r="Q6" i="17"/>
  <c r="S6" i="17"/>
  <c r="T6" i="17"/>
  <c r="R6" i="17"/>
  <c r="U6" i="17"/>
  <c r="V6" i="17"/>
  <c r="W6" i="17"/>
  <c r="X6" i="17"/>
  <c r="U5" i="17"/>
  <c r="V5" i="17"/>
  <c r="W5" i="17"/>
  <c r="Q5" i="17"/>
  <c r="T5" i="17"/>
  <c r="S5" i="17"/>
  <c r="X5" i="17"/>
  <c r="R5" i="17"/>
  <c r="X4" i="17"/>
  <c r="W4" i="17"/>
  <c r="U4" i="17"/>
  <c r="T4" i="17"/>
  <c r="S4" i="17"/>
  <c r="V4" i="17"/>
  <c r="Q4" i="17"/>
  <c r="R4" i="17"/>
  <c r="T15" i="16"/>
  <c r="Q15" i="16"/>
  <c r="R15" i="16"/>
  <c r="S15" i="16"/>
  <c r="U15" i="16"/>
  <c r="V15" i="16"/>
  <c r="W15" i="16"/>
  <c r="X15" i="16"/>
  <c r="W14" i="16"/>
  <c r="X14" i="16"/>
  <c r="V14" i="16"/>
  <c r="U14" i="16"/>
  <c r="T14" i="16"/>
  <c r="S14" i="16"/>
  <c r="R14" i="16"/>
  <c r="Q14" i="16"/>
  <c r="W13" i="16"/>
  <c r="V13" i="16"/>
  <c r="U13" i="16"/>
  <c r="T13" i="16"/>
  <c r="S13" i="16"/>
  <c r="Q13" i="16"/>
  <c r="R13" i="16"/>
  <c r="X13" i="16"/>
  <c r="R12" i="16"/>
  <c r="S12" i="16"/>
  <c r="T12" i="16"/>
  <c r="U12" i="16"/>
  <c r="V12" i="16"/>
  <c r="W12" i="16"/>
  <c r="X12" i="16"/>
  <c r="Q12" i="16"/>
  <c r="T11" i="16"/>
  <c r="V11" i="16"/>
  <c r="W11" i="16"/>
  <c r="X11" i="16"/>
  <c r="U11" i="16"/>
  <c r="Q11" i="16"/>
  <c r="R11" i="16"/>
  <c r="S11" i="16"/>
  <c r="R10" i="16"/>
  <c r="Q10" i="16"/>
  <c r="S10" i="16"/>
  <c r="T10" i="16"/>
  <c r="U10" i="16"/>
  <c r="W10" i="16"/>
  <c r="X10" i="16"/>
  <c r="V10" i="16"/>
  <c r="X9" i="16"/>
  <c r="W9" i="16"/>
  <c r="Q9" i="16"/>
  <c r="S9" i="16"/>
  <c r="R9" i="16"/>
  <c r="U9" i="16"/>
  <c r="T9" i="16"/>
  <c r="V9" i="16"/>
  <c r="X8" i="16"/>
  <c r="Q8" i="16"/>
  <c r="R8" i="16"/>
  <c r="S8" i="16"/>
  <c r="T8" i="16"/>
  <c r="U8" i="16"/>
  <c r="V8" i="16"/>
  <c r="W8" i="16"/>
  <c r="X7" i="16"/>
  <c r="W7" i="16"/>
  <c r="U7" i="16"/>
  <c r="T7" i="16"/>
  <c r="S7" i="16"/>
  <c r="R7" i="16"/>
  <c r="Q7" i="16"/>
  <c r="V7" i="16"/>
  <c r="X6" i="16"/>
  <c r="W6" i="16"/>
  <c r="V6" i="16"/>
  <c r="U6" i="16"/>
  <c r="T6" i="16"/>
  <c r="S6" i="16"/>
  <c r="R6" i="16"/>
  <c r="Q6" i="16"/>
  <c r="X5" i="16"/>
  <c r="W5" i="16"/>
  <c r="V5" i="16"/>
  <c r="U5" i="16"/>
  <c r="T5" i="16"/>
  <c r="S5" i="16"/>
  <c r="R5" i="16"/>
  <c r="Q5" i="16"/>
  <c r="Q4" i="16"/>
  <c r="Q16" i="16" s="1"/>
  <c r="B14" i="3" s="1"/>
  <c r="R4" i="16"/>
  <c r="R16" i="16" s="1"/>
  <c r="C14" i="3" s="1"/>
  <c r="S4" i="16"/>
  <c r="S16" i="16" s="1"/>
  <c r="D14" i="3" s="1"/>
  <c r="T4" i="16"/>
  <c r="T16" i="16" s="1"/>
  <c r="E14" i="3" s="1"/>
  <c r="U4" i="16"/>
  <c r="U16" i="16" s="1"/>
  <c r="F14" i="3" s="1"/>
  <c r="V4" i="16"/>
  <c r="V16" i="16" s="1"/>
  <c r="G14" i="3" s="1"/>
  <c r="W4" i="16"/>
  <c r="W16" i="16" s="1"/>
  <c r="H14" i="3" s="1"/>
  <c r="X4" i="16"/>
  <c r="X16" i="16" s="1"/>
  <c r="I14" i="3" s="1"/>
  <c r="X15" i="15"/>
  <c r="W15" i="15"/>
  <c r="V15" i="15"/>
  <c r="U15" i="15"/>
  <c r="T15" i="15"/>
  <c r="S15" i="15"/>
  <c r="R15" i="15"/>
  <c r="Q15" i="15"/>
  <c r="X14" i="15"/>
  <c r="W14" i="15"/>
  <c r="V14" i="15"/>
  <c r="U14" i="15"/>
  <c r="T14" i="15"/>
  <c r="S14" i="15"/>
  <c r="R14" i="15"/>
  <c r="Q14" i="15"/>
  <c r="X13" i="15"/>
  <c r="W13" i="15"/>
  <c r="V13" i="15"/>
  <c r="U13" i="15"/>
  <c r="T13" i="15"/>
  <c r="S13" i="15"/>
  <c r="R13" i="15"/>
  <c r="Q13" i="15"/>
  <c r="X12" i="15"/>
  <c r="W12" i="15"/>
  <c r="V12" i="15"/>
  <c r="U12" i="15"/>
  <c r="T12" i="15"/>
  <c r="S12" i="15"/>
  <c r="R12" i="15"/>
  <c r="Q12" i="15"/>
  <c r="X11" i="15"/>
  <c r="W11" i="15"/>
  <c r="V11" i="15"/>
  <c r="U11" i="15"/>
  <c r="T11" i="15"/>
  <c r="S11" i="15"/>
  <c r="R11" i="15"/>
  <c r="Q11" i="15"/>
  <c r="X10" i="15"/>
  <c r="W10" i="15"/>
  <c r="V10" i="15"/>
  <c r="T10" i="15"/>
  <c r="S10" i="15"/>
  <c r="R10" i="15"/>
  <c r="Q10" i="15"/>
  <c r="U10" i="15"/>
  <c r="W9" i="15"/>
  <c r="V9" i="15"/>
  <c r="U9" i="15"/>
  <c r="T9" i="15"/>
  <c r="X9" i="15"/>
  <c r="R9" i="15"/>
  <c r="Q9" i="15"/>
  <c r="S9" i="15"/>
  <c r="X8" i="15"/>
  <c r="W8" i="15"/>
  <c r="V8" i="15"/>
  <c r="U8" i="15"/>
  <c r="T8" i="15"/>
  <c r="S8" i="15"/>
  <c r="R8" i="15"/>
  <c r="Q8" i="15"/>
  <c r="X7" i="15"/>
  <c r="W7" i="15"/>
  <c r="V7" i="15"/>
  <c r="U7" i="15"/>
  <c r="S7" i="15"/>
  <c r="R7" i="15"/>
  <c r="Q7" i="15"/>
  <c r="T7" i="15"/>
  <c r="R6" i="15"/>
  <c r="U6" i="15"/>
  <c r="T6" i="15"/>
  <c r="X6" i="15"/>
  <c r="W6" i="15"/>
  <c r="V6" i="15"/>
  <c r="S6" i="15"/>
  <c r="Q6" i="15"/>
  <c r="R5" i="15"/>
  <c r="S5" i="15"/>
  <c r="T5" i="15"/>
  <c r="Q5" i="15"/>
  <c r="U5" i="15"/>
  <c r="V5" i="15"/>
  <c r="Q4" i="15"/>
  <c r="X4" i="15"/>
  <c r="R4" i="15"/>
  <c r="W4" i="15"/>
  <c r="V4" i="15"/>
  <c r="U4" i="15"/>
  <c r="T4" i="15"/>
  <c r="S4" i="15"/>
  <c r="V15" i="14"/>
  <c r="S15" i="14"/>
  <c r="X15" i="14"/>
  <c r="R15" i="14"/>
  <c r="Q15" i="14"/>
  <c r="U15" i="14"/>
  <c r="W15" i="14"/>
  <c r="T15" i="14"/>
  <c r="X14" i="14"/>
  <c r="W14" i="14"/>
  <c r="V14" i="14"/>
  <c r="U14" i="14"/>
  <c r="T14" i="14"/>
  <c r="S14" i="14"/>
  <c r="Q14" i="14"/>
  <c r="R14" i="14"/>
  <c r="T13" i="14"/>
  <c r="S13" i="14"/>
  <c r="Q13" i="14"/>
  <c r="R13" i="14"/>
  <c r="U13" i="14"/>
  <c r="X13" i="14"/>
  <c r="W13" i="14"/>
  <c r="V13" i="14"/>
  <c r="X12" i="14"/>
  <c r="S12" i="14"/>
  <c r="V12" i="14"/>
  <c r="Q12" i="14"/>
  <c r="R12" i="14"/>
  <c r="T12" i="14"/>
  <c r="U12" i="14"/>
  <c r="W12" i="14"/>
  <c r="Q11" i="14"/>
  <c r="T11" i="14"/>
  <c r="U11" i="14"/>
  <c r="X11" i="14"/>
  <c r="W11" i="14"/>
  <c r="V11" i="14"/>
  <c r="S11" i="14"/>
  <c r="R11" i="14"/>
  <c r="X10" i="14"/>
  <c r="W10" i="14"/>
  <c r="T10" i="14"/>
  <c r="S10" i="14"/>
  <c r="R10" i="14"/>
  <c r="Q10" i="14"/>
  <c r="U10" i="14"/>
  <c r="V10" i="14"/>
  <c r="X9" i="14"/>
  <c r="U9" i="14"/>
  <c r="V9" i="14"/>
  <c r="S9" i="14"/>
  <c r="Q9" i="14"/>
  <c r="R9" i="14"/>
  <c r="W9" i="14"/>
  <c r="T9" i="14"/>
  <c r="Q8" i="14"/>
  <c r="R8" i="14"/>
  <c r="U8" i="14"/>
  <c r="V8" i="14"/>
  <c r="W8" i="14"/>
  <c r="X8" i="14"/>
  <c r="S8" i="14"/>
  <c r="T8" i="14"/>
  <c r="R7" i="14"/>
  <c r="S7" i="14"/>
  <c r="U7" i="14"/>
  <c r="W7" i="14"/>
  <c r="X7" i="14"/>
  <c r="Q7" i="14"/>
  <c r="T7" i="14"/>
  <c r="V7" i="14"/>
  <c r="S6" i="14"/>
  <c r="T6" i="14"/>
  <c r="V6" i="14"/>
  <c r="W6" i="14"/>
  <c r="X6" i="14"/>
  <c r="Q6" i="14"/>
  <c r="R6" i="14"/>
  <c r="U6" i="14"/>
  <c r="U5" i="14"/>
  <c r="W5" i="14"/>
  <c r="X5" i="14"/>
  <c r="Q5" i="14"/>
  <c r="S5" i="14"/>
  <c r="T5" i="14"/>
  <c r="V5" i="14"/>
  <c r="R5" i="14"/>
  <c r="X4" i="14"/>
  <c r="X16" i="14" s="1"/>
  <c r="I12" i="3" s="1"/>
  <c r="W4" i="14"/>
  <c r="W16" i="14" s="1"/>
  <c r="H12" i="3" s="1"/>
  <c r="S4" i="14"/>
  <c r="S16" i="14" s="1"/>
  <c r="D12" i="3" s="1"/>
  <c r="Q4" i="14"/>
  <c r="Q16" i="14" s="1"/>
  <c r="B12" i="3" s="1"/>
  <c r="R4" i="14"/>
  <c r="R16" i="14" s="1"/>
  <c r="C12" i="3" s="1"/>
  <c r="T4" i="14"/>
  <c r="T16" i="14" s="1"/>
  <c r="E12" i="3" s="1"/>
  <c r="U4" i="14"/>
  <c r="U16" i="14" s="1"/>
  <c r="F12" i="3" s="1"/>
  <c r="V4" i="14"/>
  <c r="V16" i="14" s="1"/>
  <c r="G12" i="3" s="1"/>
  <c r="V15" i="13"/>
  <c r="X15" i="13"/>
  <c r="U15" i="13"/>
  <c r="S15" i="13"/>
  <c r="R15" i="13"/>
  <c r="Q15" i="13"/>
  <c r="T15" i="13"/>
  <c r="W15" i="13"/>
  <c r="R14" i="13"/>
  <c r="U14" i="13"/>
  <c r="V14" i="13"/>
  <c r="T14" i="13"/>
  <c r="S14" i="13"/>
  <c r="Q14" i="13"/>
  <c r="W14" i="13"/>
  <c r="X14" i="13"/>
  <c r="W13" i="13"/>
  <c r="R13" i="13"/>
  <c r="T13" i="13"/>
  <c r="U13" i="13"/>
  <c r="X13" i="13"/>
  <c r="V13" i="13"/>
  <c r="S13" i="13"/>
  <c r="Q13" i="13"/>
  <c r="T12" i="13"/>
  <c r="U12" i="13"/>
  <c r="S12" i="13"/>
  <c r="X12" i="13"/>
  <c r="W12" i="13"/>
  <c r="V12" i="13"/>
  <c r="R12" i="13"/>
  <c r="Q12" i="13"/>
  <c r="R11" i="13"/>
  <c r="T11" i="13"/>
  <c r="V11" i="13"/>
  <c r="Q11" i="13"/>
  <c r="W11" i="13"/>
  <c r="X11" i="13"/>
  <c r="U11" i="13"/>
  <c r="S11" i="13"/>
  <c r="V10" i="13"/>
  <c r="T10" i="13"/>
  <c r="W10" i="13"/>
  <c r="X10" i="13"/>
  <c r="Q10" i="13"/>
  <c r="U10" i="13"/>
  <c r="S10" i="13"/>
  <c r="R10" i="13"/>
  <c r="V9" i="13"/>
  <c r="U9" i="13"/>
  <c r="T9" i="13"/>
  <c r="R9" i="13"/>
  <c r="W9" i="13"/>
  <c r="Q9" i="13"/>
  <c r="X9" i="13"/>
  <c r="S9" i="13"/>
  <c r="S8" i="13"/>
  <c r="Q8" i="13"/>
  <c r="R8" i="13"/>
  <c r="T8" i="13"/>
  <c r="U8" i="13"/>
  <c r="V8" i="13"/>
  <c r="X8" i="13"/>
  <c r="W8" i="13"/>
  <c r="V7" i="13"/>
  <c r="U7" i="13"/>
  <c r="S7" i="13"/>
  <c r="R7" i="13"/>
  <c r="T7" i="13"/>
  <c r="Q7" i="13"/>
  <c r="X7" i="13"/>
  <c r="W7" i="13"/>
  <c r="V6" i="13"/>
  <c r="U6" i="13"/>
  <c r="T6" i="13"/>
  <c r="S6" i="13"/>
  <c r="Q6" i="13"/>
  <c r="W6" i="13"/>
  <c r="X6" i="13"/>
  <c r="R6" i="13"/>
  <c r="X5" i="13"/>
  <c r="W5" i="13"/>
  <c r="U5" i="13"/>
  <c r="T5" i="13"/>
  <c r="Q5" i="13"/>
  <c r="R5" i="13"/>
  <c r="S5" i="13"/>
  <c r="V5" i="13"/>
  <c r="V4" i="13"/>
  <c r="W4" i="13"/>
  <c r="X4" i="13"/>
  <c r="T4" i="13"/>
  <c r="R4" i="13"/>
  <c r="Q4" i="13"/>
  <c r="S4" i="13"/>
  <c r="U4" i="13"/>
  <c r="X15" i="12"/>
  <c r="W15" i="12"/>
  <c r="V15" i="12"/>
  <c r="U15" i="12"/>
  <c r="T15" i="12"/>
  <c r="S15" i="12"/>
  <c r="R15" i="12"/>
  <c r="Q15" i="12"/>
  <c r="Q14" i="12"/>
  <c r="X14" i="12"/>
  <c r="W14" i="12"/>
  <c r="V14" i="12"/>
  <c r="U14" i="12"/>
  <c r="T14" i="12"/>
  <c r="S14" i="12"/>
  <c r="R14" i="12"/>
  <c r="Q13" i="12"/>
  <c r="R13" i="12"/>
  <c r="S13" i="12"/>
  <c r="T13" i="12"/>
  <c r="U13" i="12"/>
  <c r="V13" i="12"/>
  <c r="W13" i="12"/>
  <c r="X13" i="12"/>
  <c r="Q12" i="12"/>
  <c r="X12" i="12"/>
  <c r="W12" i="12"/>
  <c r="V12" i="12"/>
  <c r="U12" i="12"/>
  <c r="T12" i="12"/>
  <c r="S12" i="12"/>
  <c r="R12" i="12"/>
  <c r="X11" i="12"/>
  <c r="W11" i="12"/>
  <c r="V11" i="12"/>
  <c r="U11" i="12"/>
  <c r="T11" i="12"/>
  <c r="Q11" i="12"/>
  <c r="R11" i="12"/>
  <c r="S11" i="12"/>
  <c r="Q10" i="12"/>
  <c r="X10" i="12"/>
  <c r="W10" i="12"/>
  <c r="V10" i="12"/>
  <c r="U10" i="12"/>
  <c r="T10" i="12"/>
  <c r="S10" i="12"/>
  <c r="R10" i="12"/>
  <c r="Q9" i="12"/>
  <c r="R9" i="12"/>
  <c r="S9" i="12"/>
  <c r="T9" i="12"/>
  <c r="U9" i="12"/>
  <c r="V9" i="12"/>
  <c r="W9" i="12"/>
  <c r="X9" i="12"/>
  <c r="Q8" i="12"/>
  <c r="T8" i="12"/>
  <c r="R8" i="12"/>
  <c r="S8" i="12"/>
  <c r="U8" i="12"/>
  <c r="V8" i="12"/>
  <c r="W8" i="12"/>
  <c r="X8" i="12"/>
  <c r="X7" i="12"/>
  <c r="W7" i="12"/>
  <c r="V7" i="12"/>
  <c r="U7" i="12"/>
  <c r="T7" i="12"/>
  <c r="S7" i="12"/>
  <c r="R7" i="12"/>
  <c r="Q7" i="12"/>
  <c r="X6" i="12"/>
  <c r="W6" i="12"/>
  <c r="V6" i="12"/>
  <c r="T6" i="12"/>
  <c r="S6" i="12"/>
  <c r="R6" i="12"/>
  <c r="Q6" i="12"/>
  <c r="U6" i="12"/>
  <c r="X5" i="12"/>
  <c r="W5" i="12"/>
  <c r="V5" i="12"/>
  <c r="U5" i="12"/>
  <c r="T5" i="12"/>
  <c r="S5" i="12"/>
  <c r="R5" i="12"/>
  <c r="Q5" i="12"/>
  <c r="X4" i="12"/>
  <c r="X16" i="12" s="1"/>
  <c r="I10" i="3" s="1"/>
  <c r="W4" i="12"/>
  <c r="W16" i="12" s="1"/>
  <c r="H10" i="3" s="1"/>
  <c r="V4" i="12"/>
  <c r="V16" i="12" s="1"/>
  <c r="G10" i="3" s="1"/>
  <c r="U4" i="12"/>
  <c r="U16" i="12" s="1"/>
  <c r="F10" i="3" s="1"/>
  <c r="T4" i="12"/>
  <c r="T16" i="12" s="1"/>
  <c r="E10" i="3" s="1"/>
  <c r="S4" i="12"/>
  <c r="S16" i="12" s="1"/>
  <c r="D10" i="3" s="1"/>
  <c r="R4" i="12"/>
  <c r="R16" i="12" s="1"/>
  <c r="C10" i="3" s="1"/>
  <c r="Q4" i="12"/>
  <c r="X15" i="11"/>
  <c r="T15" i="11"/>
  <c r="U15" i="11"/>
  <c r="V15" i="11"/>
  <c r="W15" i="11"/>
  <c r="Q15" i="11"/>
  <c r="R15" i="11"/>
  <c r="S15" i="11"/>
  <c r="S14" i="11"/>
  <c r="T14" i="11"/>
  <c r="Q14" i="11"/>
  <c r="U14" i="11"/>
  <c r="V14" i="11"/>
  <c r="W14" i="11"/>
  <c r="R14" i="11"/>
  <c r="X14" i="11"/>
  <c r="X13" i="11"/>
  <c r="W13" i="11"/>
  <c r="V13" i="11"/>
  <c r="T13" i="11"/>
  <c r="S13" i="11"/>
  <c r="R13" i="11"/>
  <c r="Q13" i="11"/>
  <c r="U13" i="11"/>
  <c r="Q12" i="11"/>
  <c r="X12" i="11"/>
  <c r="W12" i="11"/>
  <c r="V12" i="11"/>
  <c r="U12" i="11"/>
  <c r="T12" i="11"/>
  <c r="S12" i="11"/>
  <c r="R12" i="11"/>
  <c r="V11" i="11"/>
  <c r="U11" i="11"/>
  <c r="T11" i="11"/>
  <c r="S11" i="11"/>
  <c r="X11" i="11"/>
  <c r="Q11" i="11"/>
  <c r="R11" i="11"/>
  <c r="W11" i="11"/>
  <c r="Q10" i="11"/>
  <c r="X10" i="11"/>
  <c r="W10" i="11"/>
  <c r="V10" i="11"/>
  <c r="U10" i="11"/>
  <c r="T10" i="11"/>
  <c r="S10" i="11"/>
  <c r="R10" i="11"/>
  <c r="Q9" i="11"/>
  <c r="X9" i="11"/>
  <c r="W9" i="11"/>
  <c r="V9" i="11"/>
  <c r="U9" i="11"/>
  <c r="T9" i="11"/>
  <c r="S9" i="11"/>
  <c r="R9" i="11"/>
  <c r="R8" i="11"/>
  <c r="S8" i="11"/>
  <c r="T8" i="11"/>
  <c r="U8" i="11"/>
  <c r="V8" i="11"/>
  <c r="W8" i="11"/>
  <c r="Q8" i="11"/>
  <c r="X8" i="11"/>
  <c r="Q7" i="11"/>
  <c r="X7" i="11"/>
  <c r="R7" i="11"/>
  <c r="S7" i="11"/>
  <c r="T7" i="11"/>
  <c r="U7" i="11"/>
  <c r="V7" i="11"/>
  <c r="W7" i="11"/>
  <c r="X6" i="11"/>
  <c r="W6" i="11"/>
  <c r="V6" i="11"/>
  <c r="U6" i="11"/>
  <c r="T6" i="11"/>
  <c r="R6" i="11"/>
  <c r="Q6" i="11"/>
  <c r="S6" i="11"/>
  <c r="X5" i="11"/>
  <c r="Q5" i="11"/>
  <c r="R5" i="11"/>
  <c r="S5" i="11"/>
  <c r="T5" i="11"/>
  <c r="U5" i="11"/>
  <c r="V5" i="11"/>
  <c r="W5" i="11"/>
  <c r="R4" i="11"/>
  <c r="S4" i="11"/>
  <c r="T4" i="11"/>
  <c r="U4" i="11"/>
  <c r="V4" i="11"/>
  <c r="W4" i="11"/>
  <c r="X4" i="11"/>
  <c r="Q4" i="11"/>
  <c r="X15" i="10"/>
  <c r="W15" i="10"/>
  <c r="U15" i="10"/>
  <c r="T15" i="10"/>
  <c r="S15" i="10"/>
  <c r="R15" i="10"/>
  <c r="Q15" i="10"/>
  <c r="V15" i="10"/>
  <c r="Q14" i="10"/>
  <c r="X14" i="10"/>
  <c r="W14" i="10"/>
  <c r="V14" i="10"/>
  <c r="U14" i="10"/>
  <c r="T14" i="10"/>
  <c r="S14" i="10"/>
  <c r="R14" i="10"/>
  <c r="S13" i="10"/>
  <c r="R13" i="10"/>
  <c r="Q13" i="10"/>
  <c r="V13" i="10"/>
  <c r="U13" i="10"/>
  <c r="T13" i="10"/>
  <c r="X12" i="10"/>
  <c r="R12" i="10"/>
  <c r="V12" i="10"/>
  <c r="U12" i="10"/>
  <c r="T12" i="10"/>
  <c r="S12" i="10"/>
  <c r="Q12" i="10"/>
  <c r="W12" i="10"/>
  <c r="Q11" i="10"/>
  <c r="X11" i="10"/>
  <c r="W11" i="10"/>
  <c r="V11" i="10"/>
  <c r="U11" i="10"/>
  <c r="T11" i="10"/>
  <c r="S11" i="10"/>
  <c r="R11" i="10"/>
  <c r="T10" i="10"/>
  <c r="X10" i="10"/>
  <c r="Q10" i="10"/>
  <c r="R10" i="10"/>
  <c r="S10" i="10"/>
  <c r="U10" i="10"/>
  <c r="V10" i="10"/>
  <c r="W10" i="10"/>
  <c r="Q9" i="10"/>
  <c r="R9" i="10"/>
  <c r="S9" i="10"/>
  <c r="T9" i="10"/>
  <c r="U9" i="10"/>
  <c r="V9" i="10"/>
  <c r="W9" i="10"/>
  <c r="X9" i="10"/>
  <c r="X8" i="10"/>
  <c r="W8" i="10"/>
  <c r="V8" i="10"/>
  <c r="U8" i="10"/>
  <c r="T8" i="10"/>
  <c r="S8" i="10"/>
  <c r="R8" i="10"/>
  <c r="Q8" i="10"/>
  <c r="X7" i="10"/>
  <c r="V7" i="10"/>
  <c r="U7" i="10"/>
  <c r="T7" i="10"/>
  <c r="S7" i="10"/>
  <c r="R7" i="10"/>
  <c r="Q7" i="10"/>
  <c r="W7" i="10"/>
  <c r="X6" i="10"/>
  <c r="W6" i="10"/>
  <c r="V6" i="10"/>
  <c r="U6" i="10"/>
  <c r="T6" i="10"/>
  <c r="S6" i="10"/>
  <c r="R6" i="10"/>
  <c r="Q6" i="10"/>
  <c r="X5" i="10"/>
  <c r="R5" i="10"/>
  <c r="W5" i="10"/>
  <c r="V5" i="10"/>
  <c r="U5" i="10"/>
  <c r="T5" i="10"/>
  <c r="S5" i="10"/>
  <c r="Q5" i="10"/>
  <c r="U4" i="10"/>
  <c r="U16" i="10" s="1"/>
  <c r="F8" i="3" s="1"/>
  <c r="R4" i="10"/>
  <c r="R16" i="10" s="1"/>
  <c r="C8" i="3" s="1"/>
  <c r="S4" i="10"/>
  <c r="S16" i="10" s="1"/>
  <c r="D8" i="3" s="1"/>
  <c r="T4" i="10"/>
  <c r="T16" i="10" s="1"/>
  <c r="E8" i="3" s="1"/>
  <c r="V4" i="10"/>
  <c r="V16" i="10" s="1"/>
  <c r="G8" i="3" s="1"/>
  <c r="Q4" i="10"/>
  <c r="Q16" i="10" s="1"/>
  <c r="B8" i="3" s="1"/>
  <c r="W4" i="10"/>
  <c r="X4" i="10"/>
  <c r="X15" i="9"/>
  <c r="W15" i="9"/>
  <c r="V15" i="9"/>
  <c r="U15" i="9"/>
  <c r="T15" i="9"/>
  <c r="S15" i="9"/>
  <c r="R15" i="9"/>
  <c r="Q15" i="9"/>
  <c r="R14" i="9"/>
  <c r="S14" i="9"/>
  <c r="Q14" i="9"/>
  <c r="T14" i="9"/>
  <c r="U14" i="9"/>
  <c r="V14" i="9"/>
  <c r="W14" i="9"/>
  <c r="X14" i="9"/>
  <c r="Q13" i="9"/>
  <c r="W13" i="9"/>
  <c r="X13" i="9"/>
  <c r="U13" i="9"/>
  <c r="T13" i="9"/>
  <c r="S13" i="9"/>
  <c r="R13" i="9"/>
  <c r="V13" i="9"/>
  <c r="Q12" i="9"/>
  <c r="W12" i="9"/>
  <c r="T12" i="9"/>
  <c r="V12" i="9"/>
  <c r="U12" i="9"/>
  <c r="X12" i="9"/>
  <c r="S12" i="9"/>
  <c r="R12" i="9"/>
  <c r="Q11" i="9"/>
  <c r="V11" i="9"/>
  <c r="R11" i="9"/>
  <c r="S11" i="9"/>
  <c r="T11" i="9"/>
  <c r="X11" i="9"/>
  <c r="U11" i="9"/>
  <c r="W11" i="9"/>
  <c r="Q10" i="9"/>
  <c r="X10" i="9"/>
  <c r="W10" i="9"/>
  <c r="R10" i="9"/>
  <c r="S10" i="9"/>
  <c r="T10" i="9"/>
  <c r="U10" i="9"/>
  <c r="V10" i="9"/>
  <c r="X9" i="9"/>
  <c r="W9" i="9"/>
  <c r="V9" i="9"/>
  <c r="U9" i="9"/>
  <c r="T9" i="9"/>
  <c r="R9" i="9"/>
  <c r="S9" i="9"/>
  <c r="Q9" i="9"/>
  <c r="X8" i="9"/>
  <c r="Q8" i="9"/>
  <c r="R8" i="9"/>
  <c r="S8" i="9"/>
  <c r="U8" i="9"/>
  <c r="V8" i="9"/>
  <c r="W8" i="9"/>
  <c r="T8" i="9"/>
  <c r="Q7" i="9"/>
  <c r="R7" i="9"/>
  <c r="S7" i="9"/>
  <c r="T7" i="9"/>
  <c r="U7" i="9"/>
  <c r="V7" i="9"/>
  <c r="X7" i="9"/>
  <c r="W7" i="9"/>
  <c r="X6" i="9"/>
  <c r="W6" i="9"/>
  <c r="V6" i="9"/>
  <c r="U6" i="9"/>
  <c r="T6" i="9"/>
  <c r="R6" i="9"/>
  <c r="Q6" i="9"/>
  <c r="S6" i="9"/>
  <c r="Q5" i="9"/>
  <c r="X5" i="9"/>
  <c r="W5" i="9"/>
  <c r="V5" i="9"/>
  <c r="U5" i="9"/>
  <c r="T5" i="9"/>
  <c r="S5" i="9"/>
  <c r="R5" i="9"/>
  <c r="S4" i="9"/>
  <c r="T4" i="9"/>
  <c r="U4" i="9"/>
  <c r="W4" i="9"/>
  <c r="X4" i="9"/>
  <c r="V4" i="9"/>
  <c r="Q4" i="9"/>
  <c r="R4" i="9"/>
  <c r="Q15" i="8"/>
  <c r="S15" i="8"/>
  <c r="R15" i="8"/>
  <c r="T15" i="8"/>
  <c r="U15" i="8"/>
  <c r="V15" i="8"/>
  <c r="W15" i="8"/>
  <c r="X15" i="8"/>
  <c r="X14" i="8"/>
  <c r="W14" i="8"/>
  <c r="V14" i="8"/>
  <c r="U14" i="8"/>
  <c r="T14" i="8"/>
  <c r="S14" i="8"/>
  <c r="R14" i="8"/>
  <c r="Q14" i="8"/>
  <c r="X13" i="8"/>
  <c r="W13" i="8"/>
  <c r="U13" i="8"/>
  <c r="T13" i="8"/>
  <c r="S13" i="8"/>
  <c r="R13" i="8"/>
  <c r="Q13" i="8"/>
  <c r="V13" i="8"/>
  <c r="X12" i="8"/>
  <c r="W12" i="8"/>
  <c r="V12" i="8"/>
  <c r="U12" i="8"/>
  <c r="T12" i="8"/>
  <c r="S12" i="8"/>
  <c r="R12" i="8"/>
  <c r="Q12" i="8"/>
  <c r="S11" i="8"/>
  <c r="R11" i="8"/>
  <c r="Q11" i="8"/>
  <c r="X10" i="8"/>
  <c r="W10" i="8"/>
  <c r="V10" i="8"/>
  <c r="U10" i="8"/>
  <c r="T10" i="8"/>
  <c r="S10" i="8"/>
  <c r="R10" i="8"/>
  <c r="Q10" i="8"/>
  <c r="V9" i="8"/>
  <c r="X9" i="8"/>
  <c r="W9" i="8"/>
  <c r="Q9" i="8"/>
  <c r="R9" i="8"/>
  <c r="S9" i="8"/>
  <c r="T9" i="8"/>
  <c r="U9" i="8"/>
  <c r="V8" i="8"/>
  <c r="U8" i="8"/>
  <c r="T8" i="8"/>
  <c r="S8" i="8"/>
  <c r="R8" i="8"/>
  <c r="Q8" i="8"/>
  <c r="X8" i="8"/>
  <c r="W8" i="8"/>
  <c r="X7" i="8"/>
  <c r="W7" i="8"/>
  <c r="U7" i="8"/>
  <c r="V7" i="8"/>
  <c r="Q7" i="8"/>
  <c r="R7" i="8"/>
  <c r="S7" i="8"/>
  <c r="T7" i="8"/>
  <c r="V6" i="8"/>
  <c r="U6" i="8"/>
  <c r="T6" i="8"/>
  <c r="S6" i="8"/>
  <c r="R6" i="8"/>
  <c r="Q6" i="8"/>
  <c r="W6" i="8"/>
  <c r="X6" i="8"/>
  <c r="W5" i="8"/>
  <c r="V5" i="8"/>
  <c r="U5" i="8"/>
  <c r="T5" i="8"/>
  <c r="S5" i="8"/>
  <c r="R5" i="8"/>
  <c r="Q5" i="8"/>
  <c r="X5" i="8"/>
  <c r="Q4" i="8"/>
  <c r="Q16" i="8" s="1"/>
  <c r="B6" i="3" s="1"/>
  <c r="X4" i="8"/>
  <c r="X16" i="8" s="1"/>
  <c r="I6" i="3" s="1"/>
  <c r="W4" i="8"/>
  <c r="W16" i="8" s="1"/>
  <c r="H6" i="3" s="1"/>
  <c r="V4" i="8"/>
  <c r="V16" i="8" s="1"/>
  <c r="G6" i="3" s="1"/>
  <c r="U4" i="8"/>
  <c r="U16" i="8" s="1"/>
  <c r="F6" i="3" s="1"/>
  <c r="T4" i="8"/>
  <c r="T16" i="8" s="1"/>
  <c r="E6" i="3" s="1"/>
  <c r="S4" i="8"/>
  <c r="S16" i="8" s="1"/>
  <c r="D6" i="3" s="1"/>
  <c r="R4" i="8"/>
  <c r="R16" i="8" s="1"/>
  <c r="C6" i="3" s="1"/>
  <c r="U15" i="7"/>
  <c r="X15" i="7"/>
  <c r="V15" i="7"/>
  <c r="W15" i="7"/>
  <c r="Q15" i="7"/>
  <c r="R15" i="7"/>
  <c r="S15" i="7"/>
  <c r="T15" i="7"/>
  <c r="Q14" i="7"/>
  <c r="V14" i="7"/>
  <c r="U14" i="7"/>
  <c r="T14" i="7"/>
  <c r="S14" i="7"/>
  <c r="R14" i="7"/>
  <c r="X14" i="7"/>
  <c r="W14" i="7"/>
  <c r="X13" i="7"/>
  <c r="W13" i="7"/>
  <c r="V13" i="7"/>
  <c r="U13" i="7"/>
  <c r="T13" i="7"/>
  <c r="S13" i="7"/>
  <c r="R13" i="7"/>
  <c r="Q13" i="7"/>
  <c r="X12" i="7"/>
  <c r="W12" i="7"/>
  <c r="V12" i="7"/>
  <c r="Q12" i="7"/>
  <c r="R12" i="7"/>
  <c r="S12" i="7"/>
  <c r="T12" i="7"/>
  <c r="U12" i="7"/>
  <c r="T11" i="7"/>
  <c r="W11" i="7"/>
  <c r="S11" i="7"/>
  <c r="R11" i="7"/>
  <c r="Q11" i="7"/>
  <c r="V11" i="7"/>
  <c r="X11" i="7"/>
  <c r="U11" i="7"/>
  <c r="Q10" i="7"/>
  <c r="X10" i="7"/>
  <c r="W10" i="7"/>
  <c r="V10" i="7"/>
  <c r="U10" i="7"/>
  <c r="T10" i="7"/>
  <c r="S10" i="7"/>
  <c r="R10" i="7"/>
  <c r="X9" i="7"/>
  <c r="W9" i="7"/>
  <c r="T9" i="7"/>
  <c r="S9" i="7"/>
  <c r="R9" i="7"/>
  <c r="Q9" i="7"/>
  <c r="V9" i="7"/>
  <c r="U9" i="7"/>
  <c r="Q8" i="7"/>
  <c r="X8" i="7"/>
  <c r="W8" i="7"/>
  <c r="V8" i="7"/>
  <c r="U8" i="7"/>
  <c r="T8" i="7"/>
  <c r="S8" i="7"/>
  <c r="R8" i="7"/>
  <c r="Q7" i="7"/>
  <c r="R7" i="7"/>
  <c r="T7" i="7"/>
  <c r="U7" i="7"/>
  <c r="V7" i="7"/>
  <c r="W7" i="7"/>
  <c r="S7" i="7"/>
  <c r="X7" i="7"/>
  <c r="Q6" i="7"/>
  <c r="R6" i="7"/>
  <c r="U6" i="7"/>
  <c r="V6" i="7"/>
  <c r="W6" i="7"/>
  <c r="X6" i="7"/>
  <c r="S6" i="7"/>
  <c r="T6" i="7"/>
  <c r="X5" i="7"/>
  <c r="W5" i="7"/>
  <c r="V5" i="7"/>
  <c r="U5" i="7"/>
  <c r="T5" i="7"/>
  <c r="S5" i="7"/>
  <c r="R5" i="7"/>
  <c r="Q5" i="7"/>
  <c r="W4" i="7"/>
  <c r="V4" i="7"/>
  <c r="U4" i="7"/>
  <c r="T4" i="7"/>
  <c r="S4" i="7"/>
  <c r="R4" i="7"/>
  <c r="Q4" i="7"/>
  <c r="X4" i="7"/>
  <c r="X15" i="6"/>
  <c r="W15" i="6"/>
  <c r="V15" i="6"/>
  <c r="U15" i="6"/>
  <c r="T15" i="6"/>
  <c r="Q15" i="6"/>
  <c r="R15" i="6"/>
  <c r="S15" i="6"/>
  <c r="Q14" i="6"/>
  <c r="R14" i="6"/>
  <c r="S14" i="6"/>
  <c r="T14" i="6"/>
  <c r="U14" i="6"/>
  <c r="V14" i="6"/>
  <c r="W14" i="6"/>
  <c r="X14" i="6"/>
  <c r="T13" i="6"/>
  <c r="S13" i="6"/>
  <c r="R13" i="6"/>
  <c r="Q13" i="6"/>
  <c r="V13" i="6"/>
  <c r="W13" i="6"/>
  <c r="X13" i="6"/>
  <c r="U13" i="6"/>
  <c r="X12" i="6"/>
  <c r="W12" i="6"/>
  <c r="V12" i="6"/>
  <c r="U12" i="6"/>
  <c r="T12" i="6"/>
  <c r="S12" i="6"/>
  <c r="R12" i="6"/>
  <c r="Q12" i="6"/>
  <c r="W11" i="6"/>
  <c r="V11" i="6"/>
  <c r="U11" i="6"/>
  <c r="X11" i="6"/>
  <c r="S11" i="6"/>
  <c r="R11" i="6"/>
  <c r="Q11" i="6"/>
  <c r="T11" i="6"/>
  <c r="Q10" i="6"/>
  <c r="X10" i="6"/>
  <c r="W10" i="6"/>
  <c r="V10" i="6"/>
  <c r="U10" i="6"/>
  <c r="T10" i="6"/>
  <c r="S10" i="6"/>
  <c r="R10" i="6"/>
  <c r="Q9" i="6"/>
  <c r="R9" i="6"/>
  <c r="S9" i="6"/>
  <c r="T9" i="6"/>
  <c r="U9" i="6"/>
  <c r="V9" i="6"/>
  <c r="W9" i="6"/>
  <c r="X9" i="6"/>
  <c r="Q8" i="6"/>
  <c r="X8" i="6"/>
  <c r="W8" i="6"/>
  <c r="R8" i="6"/>
  <c r="S8" i="6"/>
  <c r="T8" i="6"/>
  <c r="U8" i="6"/>
  <c r="V8" i="6"/>
  <c r="X7" i="6"/>
  <c r="W7" i="6"/>
  <c r="V7" i="6"/>
  <c r="U7" i="6"/>
  <c r="T7" i="6"/>
  <c r="R7" i="6"/>
  <c r="Q7" i="6"/>
  <c r="S7" i="6"/>
  <c r="X6" i="6"/>
  <c r="V6" i="6"/>
  <c r="Q6" i="6"/>
  <c r="R6" i="6"/>
  <c r="S6" i="6"/>
  <c r="T6" i="6"/>
  <c r="U6" i="6"/>
  <c r="W6" i="6"/>
  <c r="R5" i="6"/>
  <c r="S5" i="6"/>
  <c r="T5" i="6"/>
  <c r="U5" i="6"/>
  <c r="V5" i="6"/>
  <c r="W5" i="6"/>
  <c r="X5" i="6"/>
  <c r="Q5" i="6"/>
  <c r="X4" i="6"/>
  <c r="W4" i="6"/>
  <c r="W16" i="6" s="1"/>
  <c r="V4" i="6"/>
  <c r="V16" i="6" s="1"/>
  <c r="U4" i="6"/>
  <c r="U16" i="6" s="1"/>
  <c r="T4" i="6"/>
  <c r="T16" i="6" s="1"/>
  <c r="S4" i="6"/>
  <c r="S16" i="6" s="1"/>
  <c r="Q4" i="6"/>
  <c r="R4" i="6"/>
  <c r="W16" i="35" l="1"/>
  <c r="H33" i="3" s="1"/>
  <c r="T16" i="35"/>
  <c r="E33" i="3" s="1"/>
  <c r="S16" i="35"/>
  <c r="D33" i="3" s="1"/>
  <c r="U16" i="35"/>
  <c r="F33" i="3" s="1"/>
  <c r="X16" i="35"/>
  <c r="I33" i="3" s="1"/>
  <c r="V16" i="35"/>
  <c r="G33" i="3" s="1"/>
  <c r="X16" i="33"/>
  <c r="I31" i="3" s="1"/>
  <c r="Q16" i="33"/>
  <c r="B31" i="3" s="1"/>
  <c r="R16" i="33"/>
  <c r="C31" i="3" s="1"/>
  <c r="S16" i="33"/>
  <c r="D31" i="3" s="1"/>
  <c r="T16" i="33"/>
  <c r="E31" i="3" s="1"/>
  <c r="U16" i="33"/>
  <c r="F31" i="3" s="1"/>
  <c r="V16" i="33"/>
  <c r="G31" i="3" s="1"/>
  <c r="W16" i="33"/>
  <c r="H31" i="3" s="1"/>
  <c r="X16" i="31"/>
  <c r="I29" i="3" s="1"/>
  <c r="W16" i="31"/>
  <c r="H29" i="3" s="1"/>
  <c r="V16" i="31"/>
  <c r="G29" i="3" s="1"/>
  <c r="U16" i="31"/>
  <c r="F29" i="3" s="1"/>
  <c r="T16" i="31"/>
  <c r="E29" i="3" s="1"/>
  <c r="Q16" i="29"/>
  <c r="B27" i="3" s="1"/>
  <c r="R16" i="29"/>
  <c r="C27" i="3" s="1"/>
  <c r="S16" i="29"/>
  <c r="D27" i="3" s="1"/>
  <c r="S16" i="27"/>
  <c r="D25" i="3" s="1"/>
  <c r="R16" i="27"/>
  <c r="C25" i="3" s="1"/>
  <c r="Q16" i="12"/>
  <c r="B10" i="3" s="1"/>
  <c r="W16" i="10"/>
  <c r="H8" i="3" s="1"/>
  <c r="X16" i="10"/>
  <c r="I8" i="3" s="1"/>
  <c r="X16" i="6"/>
  <c r="F4" i="2"/>
  <c r="H4" i="3"/>
  <c r="G4" i="3"/>
  <c r="F4" i="3"/>
  <c r="E4" i="3"/>
  <c r="D4" i="3"/>
  <c r="Q16" i="6"/>
  <c r="C4" i="2"/>
  <c r="R16" i="6"/>
  <c r="D4" i="2"/>
  <c r="R16" i="35"/>
  <c r="C33" i="3" s="1"/>
  <c r="Q16" i="35"/>
  <c r="B33" i="3" s="1"/>
  <c r="S16" i="31"/>
  <c r="D29" i="3" s="1"/>
  <c r="R16" i="31"/>
  <c r="C29" i="3" s="1"/>
  <c r="Q16" i="31"/>
  <c r="B29" i="3" s="1"/>
  <c r="T16" i="29"/>
  <c r="E27" i="3" s="1"/>
  <c r="U16" i="29"/>
  <c r="F27" i="3" s="1"/>
  <c r="V16" i="29"/>
  <c r="G27" i="3" s="1"/>
  <c r="W16" i="29"/>
  <c r="H27" i="3" s="1"/>
  <c r="X16" i="29"/>
  <c r="I27" i="3" s="1"/>
  <c r="Q16" i="27"/>
  <c r="B25" i="3" s="1"/>
  <c r="X16" i="27"/>
  <c r="I25" i="3" s="1"/>
  <c r="W16" i="27"/>
  <c r="H25" i="3" s="1"/>
  <c r="V16" i="27"/>
  <c r="G25" i="3" s="1"/>
  <c r="U16" i="27"/>
  <c r="F25" i="3" s="1"/>
  <c r="T16" i="27"/>
  <c r="E25" i="3" s="1"/>
  <c r="X16" i="25"/>
  <c r="I23" i="3" s="1"/>
  <c r="W16" i="25"/>
  <c r="H23" i="3" s="1"/>
  <c r="V16" i="25"/>
  <c r="G23" i="3" s="1"/>
  <c r="T16" i="25"/>
  <c r="E23" i="3" s="1"/>
  <c r="S16" i="25"/>
  <c r="D23" i="3" s="1"/>
  <c r="R16" i="25"/>
  <c r="C23" i="3" s="1"/>
  <c r="Q16" i="25"/>
  <c r="B23" i="3" s="1"/>
  <c r="U16" i="25"/>
  <c r="F23" i="3" s="1"/>
  <c r="S16" i="23"/>
  <c r="D21" i="3" s="1"/>
  <c r="R16" i="23"/>
  <c r="C21" i="3" s="1"/>
  <c r="Q16" i="23"/>
  <c r="B21" i="3" s="1"/>
  <c r="X16" i="23"/>
  <c r="I21" i="3" s="1"/>
  <c r="W16" i="23"/>
  <c r="H21" i="3" s="1"/>
  <c r="V16" i="23"/>
  <c r="G21" i="3" s="1"/>
  <c r="U16" i="23"/>
  <c r="F21" i="3" s="1"/>
  <c r="T16" i="23"/>
  <c r="E21" i="3" s="1"/>
  <c r="T16" i="36"/>
  <c r="E34" i="3" s="1"/>
  <c r="V16" i="21"/>
  <c r="G19" i="3" s="1"/>
  <c r="W16" i="21"/>
  <c r="H19" i="3" s="1"/>
  <c r="U16" i="21"/>
  <c r="F19" i="3" s="1"/>
  <c r="T16" i="21"/>
  <c r="E19" i="3" s="1"/>
  <c r="S16" i="21"/>
  <c r="D19" i="3" s="1"/>
  <c r="R16" i="21"/>
  <c r="C19" i="3" s="1"/>
  <c r="X16" i="21"/>
  <c r="I19" i="3" s="1"/>
  <c r="Q16" i="21"/>
  <c r="B19" i="3" s="1"/>
  <c r="X16" i="19"/>
  <c r="I17" i="3" s="1"/>
  <c r="W16" i="19"/>
  <c r="H17" i="3" s="1"/>
  <c r="Q16" i="19"/>
  <c r="B17" i="3" s="1"/>
  <c r="R16" i="19"/>
  <c r="C17" i="3" s="1"/>
  <c r="V16" i="19"/>
  <c r="G17" i="3" s="1"/>
  <c r="U16" i="19"/>
  <c r="F17" i="3" s="1"/>
  <c r="T16" i="19"/>
  <c r="E17" i="3" s="1"/>
  <c r="S16" i="19"/>
  <c r="D17" i="3" s="1"/>
  <c r="X16" i="17"/>
  <c r="I15" i="3" s="1"/>
  <c r="W16" i="17"/>
  <c r="U16" i="17"/>
  <c r="T16" i="17"/>
  <c r="S16" i="17"/>
  <c r="V16" i="17"/>
  <c r="Q16" i="17"/>
  <c r="B15" i="3" s="1"/>
  <c r="R16" i="17"/>
  <c r="C15" i="3" s="1"/>
  <c r="Q16" i="15"/>
  <c r="B13" i="3" s="1"/>
  <c r="X16" i="15"/>
  <c r="I13" i="3" s="1"/>
  <c r="R16" i="15"/>
  <c r="C13" i="3" s="1"/>
  <c r="W16" i="15"/>
  <c r="H13" i="3" s="1"/>
  <c r="V16" i="15"/>
  <c r="G13" i="3" s="1"/>
  <c r="U16" i="15"/>
  <c r="F13" i="3" s="1"/>
  <c r="T16" i="15"/>
  <c r="E13" i="3" s="1"/>
  <c r="S16" i="15"/>
  <c r="D13" i="3" s="1"/>
  <c r="V16" i="13"/>
  <c r="G11" i="3" s="1"/>
  <c r="W16" i="13"/>
  <c r="H11" i="3" s="1"/>
  <c r="X16" i="13"/>
  <c r="I11" i="3" s="1"/>
  <c r="T16" i="13"/>
  <c r="E11" i="3" s="1"/>
  <c r="R16" i="13"/>
  <c r="C11" i="3" s="1"/>
  <c r="Q16" i="13"/>
  <c r="B11" i="3" s="1"/>
  <c r="S16" i="13"/>
  <c r="D11" i="3" s="1"/>
  <c r="U16" i="13"/>
  <c r="F11" i="3" s="1"/>
  <c r="R16" i="11"/>
  <c r="C9" i="3" s="1"/>
  <c r="S16" i="11"/>
  <c r="D9" i="3" s="1"/>
  <c r="T16" i="11"/>
  <c r="E9" i="3" s="1"/>
  <c r="U16" i="11"/>
  <c r="F9" i="3" s="1"/>
  <c r="V16" i="11"/>
  <c r="G9" i="3" s="1"/>
  <c r="W16" i="11"/>
  <c r="H9" i="3" s="1"/>
  <c r="X16" i="11"/>
  <c r="I9" i="3" s="1"/>
  <c r="Q16" i="11"/>
  <c r="B9" i="3" s="1"/>
  <c r="S16" i="9"/>
  <c r="D7" i="3" s="1"/>
  <c r="T16" i="9"/>
  <c r="E7" i="3" s="1"/>
  <c r="U16" i="9"/>
  <c r="F7" i="3" s="1"/>
  <c r="W16" i="9"/>
  <c r="H7" i="3" s="1"/>
  <c r="X16" i="9"/>
  <c r="I7" i="3" s="1"/>
  <c r="V16" i="9"/>
  <c r="G7" i="3" s="1"/>
  <c r="Q16" i="9"/>
  <c r="B7" i="3" s="1"/>
  <c r="R16" i="9"/>
  <c r="C7" i="3" s="1"/>
  <c r="W16" i="7"/>
  <c r="H5" i="3" s="1"/>
  <c r="V16" i="7"/>
  <c r="G5" i="3" s="1"/>
  <c r="U16" i="7"/>
  <c r="F5" i="3" s="1"/>
  <c r="T16" i="7"/>
  <c r="E5" i="3" s="1"/>
  <c r="S16" i="7"/>
  <c r="D5" i="3" s="1"/>
  <c r="R16" i="7"/>
  <c r="C5" i="3" s="1"/>
  <c r="Q16" i="7"/>
  <c r="B5" i="3" s="1"/>
  <c r="X16" i="7"/>
  <c r="I5" i="3" s="1"/>
  <c r="F15" i="2"/>
  <c r="C15" i="2"/>
  <c r="D15" i="2"/>
  <c r="C14" i="2"/>
  <c r="D14" i="2"/>
  <c r="F14" i="2"/>
  <c r="D13" i="2"/>
  <c r="C13" i="2"/>
  <c r="E13" i="2" s="1"/>
  <c r="F13" i="2"/>
  <c r="F12" i="2"/>
  <c r="D12" i="2"/>
  <c r="C12" i="2"/>
  <c r="E12" i="2" s="1"/>
  <c r="F11" i="2"/>
  <c r="D11" i="2"/>
  <c r="C11" i="2"/>
  <c r="C10" i="2"/>
  <c r="F10" i="2"/>
  <c r="D10" i="2"/>
  <c r="C9" i="2"/>
  <c r="D9" i="2"/>
  <c r="F9" i="2"/>
  <c r="C8" i="2"/>
  <c r="F8" i="2"/>
  <c r="D8" i="2"/>
  <c r="F7" i="2"/>
  <c r="D7" i="2"/>
  <c r="C7" i="2"/>
  <c r="F6" i="2"/>
  <c r="C6" i="2"/>
  <c r="D6" i="2"/>
  <c r="D5" i="2"/>
  <c r="F5" i="2"/>
  <c r="C5" i="2"/>
  <c r="E4" i="2" l="1"/>
  <c r="AY1" i="1" s="1"/>
  <c r="E7" i="2"/>
  <c r="AY4" i="1" s="1"/>
  <c r="H15" i="3"/>
  <c r="B10" i="4"/>
  <c r="F15" i="3"/>
  <c r="B8" i="4"/>
  <c r="E15" i="3"/>
  <c r="B7" i="4"/>
  <c r="D15" i="3"/>
  <c r="B6" i="4"/>
  <c r="G15" i="3"/>
  <c r="B9" i="4"/>
  <c r="I4" i="3"/>
  <c r="B11" i="4"/>
  <c r="D10" i="4"/>
  <c r="E10" i="4"/>
  <c r="Y16" i="1"/>
  <c r="AJ22" i="1"/>
  <c r="D8" i="4"/>
  <c r="E8" i="4"/>
  <c r="N22" i="1"/>
  <c r="D7" i="4"/>
  <c r="E7" i="4"/>
  <c r="C22" i="1"/>
  <c r="D6" i="4"/>
  <c r="E6" i="4"/>
  <c r="Y22" i="1"/>
  <c r="AU5" i="1"/>
  <c r="AU7" i="1"/>
  <c r="AU8" i="1"/>
  <c r="AU3" i="1"/>
  <c r="AU6" i="1"/>
  <c r="AU2" i="1"/>
  <c r="AU4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B4" i="3"/>
  <c r="B4" i="4"/>
  <c r="AU9" i="1"/>
  <c r="AU10" i="1"/>
  <c r="C4" i="3"/>
  <c r="B5" i="4"/>
  <c r="AY10" i="1"/>
  <c r="AY9" i="1"/>
  <c r="E9" i="2"/>
  <c r="E11" i="2"/>
  <c r="E8" i="2"/>
  <c r="E6" i="2"/>
  <c r="E15" i="2"/>
  <c r="E14" i="2"/>
  <c r="E10" i="2"/>
  <c r="E5" i="2"/>
  <c r="D9" i="4" l="1"/>
  <c r="E9" i="4"/>
  <c r="D11" i="4"/>
  <c r="E11" i="4"/>
  <c r="AJ16" i="1"/>
  <c r="AE15" i="1"/>
  <c r="Y17" i="1"/>
  <c r="AP21" i="1"/>
  <c r="AJ23" i="1"/>
  <c r="T21" i="1"/>
  <c r="N23" i="1"/>
  <c r="I21" i="1"/>
  <c r="C23" i="1"/>
  <c r="AE21" i="1"/>
  <c r="Y23" i="1"/>
  <c r="D4" i="4"/>
  <c r="E4" i="4"/>
  <c r="C10" i="1"/>
  <c r="K10" i="1"/>
  <c r="C11" i="1"/>
  <c r="C7" i="1"/>
  <c r="C16" i="1"/>
  <c r="AA8" i="1"/>
  <c r="T7" i="1"/>
  <c r="T8" i="1"/>
  <c r="AA7" i="1"/>
  <c r="T9" i="1"/>
  <c r="AA11" i="1"/>
  <c r="T11" i="1"/>
  <c r="AA9" i="1"/>
  <c r="D5" i="4"/>
  <c r="E5" i="4"/>
  <c r="N16" i="1"/>
  <c r="AY6" i="1"/>
  <c r="A9" i="2"/>
  <c r="AY8" i="1"/>
  <c r="A11" i="2"/>
  <c r="AY5" i="1"/>
  <c r="A8" i="2"/>
  <c r="AY3" i="1"/>
  <c r="A6" i="2"/>
  <c r="AY12" i="1"/>
  <c r="A15" i="2"/>
  <c r="AY11" i="1"/>
  <c r="A14" i="2"/>
  <c r="AY7" i="1"/>
  <c r="A10" i="2"/>
  <c r="AY2" i="1"/>
  <c r="A5" i="2"/>
  <c r="A12" i="2"/>
  <c r="A4" i="2"/>
  <c r="A13" i="2"/>
  <c r="A7" i="2"/>
  <c r="AP15" i="1" l="1"/>
  <c r="AJ17" i="1"/>
  <c r="I15" i="1"/>
  <c r="C17" i="1"/>
  <c r="T15" i="1"/>
  <c r="N17" i="1"/>
</calcChain>
</file>

<file path=xl/sharedStrings.xml><?xml version="1.0" encoding="utf-8"?>
<sst xmlns="http://schemas.openxmlformats.org/spreadsheetml/2006/main" count="5050" uniqueCount="1785">
  <si>
    <t>Day</t>
  </si>
  <si>
    <t>Actual</t>
  </si>
  <si>
    <t>Pace</t>
  </si>
  <si>
    <t>STORE PERFORMANCE</t>
  </si>
  <si>
    <t>MOCK DATA</t>
  </si>
  <si>
    <t>Monthly tracker  ·  all figures generated, not real</t>
  </si>
  <si>
    <t>ACTS + PRE  —  MONTH TO DATE</t>
  </si>
  <si>
    <t>TEAM</t>
  </si>
  <si>
    <t>GOAL</t>
  </si>
  <si>
    <t>ACTIVATIONS</t>
  </si>
  <si>
    <t>PREPAID</t>
  </si>
  <si>
    <t>DEVICES</t>
  </si>
  <si>
    <t>ACCESSORY $</t>
  </si>
  <si>
    <t>BTS</t>
  </si>
  <si>
    <t>HOME INTERNET</t>
  </si>
  <si>
    <t>TFB</t>
  </si>
  <si>
    <t>VALUE-ADD $</t>
  </si>
  <si>
    <t>PACE TO GOAL  —  cumulative Acts + Pre vs required pace</t>
  </si>
  <si>
    <t>Team Leaderboard  —  ranked by Acts + Pre</t>
  </si>
  <si>
    <t>MOCK DATA — synthetic values only. No real employees, customers, device identifiers, or store numbers appear in this file.</t>
  </si>
  <si>
    <t>Rank</t>
  </si>
  <si>
    <t>Mobile Expert</t>
  </si>
  <si>
    <t>Acts</t>
  </si>
  <si>
    <t>Pre</t>
  </si>
  <si>
    <t>Acts + Pre</t>
  </si>
  <si>
    <t>Acc $</t>
  </si>
  <si>
    <t>Daily Trend  —  heatmap by day</t>
  </si>
  <si>
    <t>Hint</t>
  </si>
  <si>
    <t>VAF $</t>
  </si>
  <si>
    <t>Devices</t>
  </si>
  <si>
    <t>Store Total  —  month to date vs goal</t>
  </si>
  <si>
    <t>Metric</t>
  </si>
  <si>
    <t>Month Total</t>
  </si>
  <si>
    <t>Monthly Goal</t>
  </si>
  <si>
    <t>% to Goal</t>
  </si>
  <si>
    <t>vs Goal</t>
  </si>
  <si>
    <t>Setup  —  the single source of truth for this workbook</t>
  </si>
  <si>
    <t>Mobile Experts</t>
  </si>
  <si>
    <t>Device Catalog</t>
  </si>
  <si>
    <t>Expert 01</t>
  </si>
  <si>
    <t>iPhone 17 Pro Max</t>
  </si>
  <si>
    <t>Expert 02</t>
  </si>
  <si>
    <t>iPhone 17 Pro</t>
  </si>
  <si>
    <t>Expert 03</t>
  </si>
  <si>
    <t>iPhone Air</t>
  </si>
  <si>
    <t>Expert 04</t>
  </si>
  <si>
    <t>iPhone 17</t>
  </si>
  <si>
    <t>Expert 05</t>
  </si>
  <si>
    <t>iPad (11th Gen)</t>
  </si>
  <si>
    <t>Expert 06</t>
  </si>
  <si>
    <t>Apple Watch Series 11</t>
  </si>
  <si>
    <t>Expert 07</t>
  </si>
  <si>
    <t>Apple Watch SE</t>
  </si>
  <si>
    <t>Expert 08</t>
  </si>
  <si>
    <t>Apple Watch Ultra 3</t>
  </si>
  <si>
    <t>Expert 09</t>
  </si>
  <si>
    <t>Galaxy S26 Ultra</t>
  </si>
  <si>
    <t>Expert 10</t>
  </si>
  <si>
    <t>Galaxy S26+</t>
  </si>
  <si>
    <t>Expert 11</t>
  </si>
  <si>
    <t>Galaxy S26</t>
  </si>
  <si>
    <t>Expert 12</t>
  </si>
  <si>
    <t>Galaxy Z Fold 8</t>
  </si>
  <si>
    <t>Galaxy Z Flip 8</t>
  </si>
  <si>
    <t>Galaxy A37</t>
  </si>
  <si>
    <t>Galaxy A17</t>
  </si>
  <si>
    <t>Galaxy Tab A11</t>
  </si>
  <si>
    <t>Galaxy Watch 8</t>
  </si>
  <si>
    <t>Pixel 10 Pro</t>
  </si>
  <si>
    <t>Pixel 10</t>
  </si>
  <si>
    <t>Pixel 10a</t>
  </si>
  <si>
    <t>moto g power</t>
  </si>
  <si>
    <t>5G Home Internet Gateway</t>
  </si>
  <si>
    <t>5G Hotspot</t>
  </si>
  <si>
    <t>SIM Only</t>
  </si>
  <si>
    <t>BYOD</t>
  </si>
  <si>
    <t>Accessory Only</t>
  </si>
  <si>
    <t>How this tab works — these three lists drive the whole workbook.
•  Mobile Experts (column A): rename or add people here and the daily tabs, the leaderboard, and the dashboard all follow.
•  Device Catalog (column C): edit this and every Device dropdown updates. Always pick from the dropdown instead of typing — free-text entry is what made the old sheet impossible to analyse.
•  Monthly Goal (column F): set the target per metric; Store Total and the dashboard recalculate against it.</t>
  </si>
  <si>
    <t>Day 1  —  Daily Entry</t>
  </si>
  <si>
    <t>ME</t>
  </si>
  <si>
    <t>SKU (mock)</t>
  </si>
  <si>
    <t>IMEI / SIM (mock)</t>
  </si>
  <si>
    <t>Device</t>
  </si>
  <si>
    <t>Complete</t>
  </si>
  <si>
    <t>760427013096</t>
  </si>
  <si>
    <t>969801457979965</t>
  </si>
  <si>
    <t>Y</t>
  </si>
  <si>
    <t>150264351035</t>
  </si>
  <si>
    <t>207197595395453</t>
  </si>
  <si>
    <t>358660576387</t>
  </si>
  <si>
    <t>749681749163696</t>
  </si>
  <si>
    <t>855112576379</t>
  </si>
  <si>
    <t>753955446668003</t>
  </si>
  <si>
    <t>997940562553</t>
  </si>
  <si>
    <t>107301517431902</t>
  </si>
  <si>
    <t>702958711285</t>
  </si>
  <si>
    <t>881172569064445</t>
  </si>
  <si>
    <t>966162471732</t>
  </si>
  <si>
    <t>842996443927009</t>
  </si>
  <si>
    <t>413676402307</t>
  </si>
  <si>
    <t>640169449600079</t>
  </si>
  <si>
    <t>113276636026</t>
  </si>
  <si>
    <t>794075378801450</t>
  </si>
  <si>
    <t>966585149254</t>
  </si>
  <si>
    <t>060929969871735</t>
  </si>
  <si>
    <t>197630988899</t>
  </si>
  <si>
    <t>272460173332819</t>
  </si>
  <si>
    <t>179382406568</t>
  </si>
  <si>
    <t>153566990449051</t>
  </si>
  <si>
    <t>337963567995</t>
  </si>
  <si>
    <t>991778183485417</t>
  </si>
  <si>
    <t>STORE TOTAL</t>
  </si>
  <si>
    <t>874602325454</t>
  </si>
  <si>
    <t>678635360358766</t>
  </si>
  <si>
    <t>680505451162</t>
  </si>
  <si>
    <t>703442949532215</t>
  </si>
  <si>
    <t>699015527794</t>
  </si>
  <si>
    <t>090670150748080</t>
  </si>
  <si>
    <t>998168902407</t>
  </si>
  <si>
    <t>574241473127340</t>
  </si>
  <si>
    <t>977343644498</t>
  </si>
  <si>
    <t>348399053595543</t>
  </si>
  <si>
    <t>894163970703</t>
  </si>
  <si>
    <t>661147741874971</t>
  </si>
  <si>
    <t>504898373750</t>
  </si>
  <si>
    <t>337118226448968</t>
  </si>
  <si>
    <t>885056921305</t>
  </si>
  <si>
    <t>811172980563343</t>
  </si>
  <si>
    <t>646330888845</t>
  </si>
  <si>
    <t>115496915656809</t>
  </si>
  <si>
    <t>461587783109</t>
  </si>
  <si>
    <t>842521243944483</t>
  </si>
  <si>
    <t>987282333362</t>
  </si>
  <si>
    <t>297485513823069</t>
  </si>
  <si>
    <t>655326915709</t>
  </si>
  <si>
    <t>251925423788208</t>
  </si>
  <si>
    <t>949894604191</t>
  </si>
  <si>
    <t>418181674142648</t>
  </si>
  <si>
    <t>924027214387</t>
  </si>
  <si>
    <t>622780482835692</t>
  </si>
  <si>
    <t>Day 2  —  Daily Entry</t>
  </si>
  <si>
    <t>798163145181</t>
  </si>
  <si>
    <t>613233865721390</t>
  </si>
  <si>
    <t>151249721651</t>
  </si>
  <si>
    <t>798313620207365</t>
  </si>
  <si>
    <t>716182852084</t>
  </si>
  <si>
    <t>590920442628817</t>
  </si>
  <si>
    <t>425567802668</t>
  </si>
  <si>
    <t>687370022914257</t>
  </si>
  <si>
    <t>856285086927</t>
  </si>
  <si>
    <t>508109491458977</t>
  </si>
  <si>
    <t>943896324596</t>
  </si>
  <si>
    <t>508558951716135</t>
  </si>
  <si>
    <t>266786287443</t>
  </si>
  <si>
    <t>006735069628700</t>
  </si>
  <si>
    <t>398050966699</t>
  </si>
  <si>
    <t>974546698006567</t>
  </si>
  <si>
    <t>966383829428</t>
  </si>
  <si>
    <t>419775283514312</t>
  </si>
  <si>
    <t>420871830324</t>
  </si>
  <si>
    <t>040875758442353</t>
  </si>
  <si>
    <t>285650145839</t>
  </si>
  <si>
    <t>222981266542878</t>
  </si>
  <si>
    <t>759008174294</t>
  </si>
  <si>
    <t>663344458549233</t>
  </si>
  <si>
    <t>568946027837</t>
  </si>
  <si>
    <t>696645079711541</t>
  </si>
  <si>
    <t>952021337900</t>
  </si>
  <si>
    <t>579499953728879</t>
  </si>
  <si>
    <t>504847516748</t>
  </si>
  <si>
    <t>422677537560722</t>
  </si>
  <si>
    <t>128816703175</t>
  </si>
  <si>
    <t>516729508287218</t>
  </si>
  <si>
    <t>390624262326</t>
  </si>
  <si>
    <t>898492260464524</t>
  </si>
  <si>
    <t>564189384614</t>
  </si>
  <si>
    <t>284189547746672</t>
  </si>
  <si>
    <t>323127884564</t>
  </si>
  <si>
    <t>573927323265155</t>
  </si>
  <si>
    <t>483243685263</t>
  </si>
  <si>
    <t>594049218175215</t>
  </si>
  <si>
    <t>449627832916</t>
  </si>
  <si>
    <t>963712368491871</t>
  </si>
  <si>
    <t>571701432999</t>
  </si>
  <si>
    <t>173564817768622</t>
  </si>
  <si>
    <t>857289877731</t>
  </si>
  <si>
    <t>470079286810550</t>
  </si>
  <si>
    <t>278616475394</t>
  </si>
  <si>
    <t>593205051357921</t>
  </si>
  <si>
    <t>659690118201</t>
  </si>
  <si>
    <t>490983318499974</t>
  </si>
  <si>
    <t>257111940679</t>
  </si>
  <si>
    <t>653348589025365</t>
  </si>
  <si>
    <t>864451122357</t>
  </si>
  <si>
    <t>370906741273514</t>
  </si>
  <si>
    <t>890570260056</t>
  </si>
  <si>
    <t>532632733564480</t>
  </si>
  <si>
    <t>Day 3  —  Daily Entry</t>
  </si>
  <si>
    <t>732812790304</t>
  </si>
  <si>
    <t>427772120839756</t>
  </si>
  <si>
    <t>865878596110</t>
  </si>
  <si>
    <t>998044256315373</t>
  </si>
  <si>
    <t>744636058926</t>
  </si>
  <si>
    <t>601442768617782</t>
  </si>
  <si>
    <t>932492321896</t>
  </si>
  <si>
    <t>513671124239741</t>
  </si>
  <si>
    <t>471398461667</t>
  </si>
  <si>
    <t>978645057316115</t>
  </si>
  <si>
    <t>561014678447</t>
  </si>
  <si>
    <t>587107543629488</t>
  </si>
  <si>
    <t>150409977714</t>
  </si>
  <si>
    <t>614792372580065</t>
  </si>
  <si>
    <t>N</t>
  </si>
  <si>
    <t>591724310864</t>
  </si>
  <si>
    <t>646466071331217</t>
  </si>
  <si>
    <t>140700128720</t>
  </si>
  <si>
    <t>917134968490278</t>
  </si>
  <si>
    <t>691097211204</t>
  </si>
  <si>
    <t>297861632120449</t>
  </si>
  <si>
    <t>703918932228</t>
  </si>
  <si>
    <t>384909173846366</t>
  </si>
  <si>
    <t>172113426605</t>
  </si>
  <si>
    <t>123110117597786</t>
  </si>
  <si>
    <t>836791238058</t>
  </si>
  <si>
    <t>492555316471849</t>
  </si>
  <si>
    <t>247146883145</t>
  </si>
  <si>
    <t>348219237682232</t>
  </si>
  <si>
    <t>435877474922</t>
  </si>
  <si>
    <t>521833142009769</t>
  </si>
  <si>
    <t>700529113929</t>
  </si>
  <si>
    <t>236350947173704</t>
  </si>
  <si>
    <t>293780787962</t>
  </si>
  <si>
    <t>791974140454802</t>
  </si>
  <si>
    <t>288791788068</t>
  </si>
  <si>
    <t>329002423415262</t>
  </si>
  <si>
    <t>330420423079</t>
  </si>
  <si>
    <t>407988371047035</t>
  </si>
  <si>
    <t>303739064721</t>
  </si>
  <si>
    <t>647382543513129</t>
  </si>
  <si>
    <t>742358852175</t>
  </si>
  <si>
    <t>807145233741540</t>
  </si>
  <si>
    <t>431730730146</t>
  </si>
  <si>
    <t>726900259186399</t>
  </si>
  <si>
    <t>365770362013</t>
  </si>
  <si>
    <t>176984281063820</t>
  </si>
  <si>
    <t>965512205624</t>
  </si>
  <si>
    <t>002631869609920</t>
  </si>
  <si>
    <t>108289706763</t>
  </si>
  <si>
    <t>596710955400995</t>
  </si>
  <si>
    <t>500258428177</t>
  </si>
  <si>
    <t>818039919988654</t>
  </si>
  <si>
    <t>281225234960</t>
  </si>
  <si>
    <t>025636660173955</t>
  </si>
  <si>
    <t>746163603311</t>
  </si>
  <si>
    <t>210917421985036</t>
  </si>
  <si>
    <t>182335660834</t>
  </si>
  <si>
    <t>206382271928815</t>
  </si>
  <si>
    <t>284548109523</t>
  </si>
  <si>
    <t>358505948178733</t>
  </si>
  <si>
    <t>Day 4  —  Daily Entry</t>
  </si>
  <si>
    <t>416703296850</t>
  </si>
  <si>
    <t>441528978442301</t>
  </si>
  <si>
    <t>295033201714</t>
  </si>
  <si>
    <t>040309788719677</t>
  </si>
  <si>
    <t>830417116471</t>
  </si>
  <si>
    <t>231060477970477</t>
  </si>
  <si>
    <t>703172409202</t>
  </si>
  <si>
    <t>049774431612914</t>
  </si>
  <si>
    <t>995555569118</t>
  </si>
  <si>
    <t>052457333929865</t>
  </si>
  <si>
    <t>962475811216</t>
  </si>
  <si>
    <t>010581719040541</t>
  </si>
  <si>
    <t>425086526001</t>
  </si>
  <si>
    <t>531338671432285</t>
  </si>
  <si>
    <t>114425550829</t>
  </si>
  <si>
    <t>577180532150269</t>
  </si>
  <si>
    <t>895050052936</t>
  </si>
  <si>
    <t>868250783974448</t>
  </si>
  <si>
    <t>257899262103</t>
  </si>
  <si>
    <t>502420252079749</t>
  </si>
  <si>
    <t>753050491061</t>
  </si>
  <si>
    <t>778245884405542</t>
  </si>
  <si>
    <t>652202650914</t>
  </si>
  <si>
    <t>166082381229128</t>
  </si>
  <si>
    <t>188405771713</t>
  </si>
  <si>
    <t>296433671763892</t>
  </si>
  <si>
    <t>103770862601</t>
  </si>
  <si>
    <t>915456775724633</t>
  </si>
  <si>
    <t>886863820583</t>
  </si>
  <si>
    <t>641440901106618</t>
  </si>
  <si>
    <t>463891161570</t>
  </si>
  <si>
    <t>037472163560435</t>
  </si>
  <si>
    <t>850454927516</t>
  </si>
  <si>
    <t>084640628815353</t>
  </si>
  <si>
    <t>635638893119</t>
  </si>
  <si>
    <t>670528145257758</t>
  </si>
  <si>
    <t>417038716701</t>
  </si>
  <si>
    <t>326512723855388</t>
  </si>
  <si>
    <t>477226889604</t>
  </si>
  <si>
    <t>679524367918565</t>
  </si>
  <si>
    <t>332762676719</t>
  </si>
  <si>
    <t>073712824755348</t>
  </si>
  <si>
    <t>629357218074</t>
  </si>
  <si>
    <t>314993590096047</t>
  </si>
  <si>
    <t>536649389956</t>
  </si>
  <si>
    <t>988008280981541</t>
  </si>
  <si>
    <t>838862611871</t>
  </si>
  <si>
    <t>806804351761921</t>
  </si>
  <si>
    <t>688590841172</t>
  </si>
  <si>
    <t>872340818914885</t>
  </si>
  <si>
    <t>Day 5  —  Daily Entry</t>
  </si>
  <si>
    <t>871203846536</t>
  </si>
  <si>
    <t>897445763154485</t>
  </si>
  <si>
    <t>312498276289</t>
  </si>
  <si>
    <t>901610928361512</t>
  </si>
  <si>
    <t>212611779093</t>
  </si>
  <si>
    <t>059732024771318</t>
  </si>
  <si>
    <t>211273765732</t>
  </si>
  <si>
    <t>562714158862411</t>
  </si>
  <si>
    <t>122366204486</t>
  </si>
  <si>
    <t>796342996648799</t>
  </si>
  <si>
    <t>131637928473</t>
  </si>
  <si>
    <t>424130736730566</t>
  </si>
  <si>
    <t>305970802476</t>
  </si>
  <si>
    <t>269139775541579</t>
  </si>
  <si>
    <t>925568564281</t>
  </si>
  <si>
    <t>558266869990083</t>
  </si>
  <si>
    <t>514461276131</t>
  </si>
  <si>
    <t>862535524369251</t>
  </si>
  <si>
    <t>744081178670</t>
  </si>
  <si>
    <t>815549347365829</t>
  </si>
  <si>
    <t>462862929571</t>
  </si>
  <si>
    <t>789802325989318</t>
  </si>
  <si>
    <t>471727366525</t>
  </si>
  <si>
    <t>837714452958910</t>
  </si>
  <si>
    <t>616228882820</t>
  </si>
  <si>
    <t>977415569898870</t>
  </si>
  <si>
    <t>500100437133</t>
  </si>
  <si>
    <t>385619547729017</t>
  </si>
  <si>
    <t>971118819493</t>
  </si>
  <si>
    <t>280879260900181</t>
  </si>
  <si>
    <t>484466941814</t>
  </si>
  <si>
    <t>057816157077676</t>
  </si>
  <si>
    <t>147461591694</t>
  </si>
  <si>
    <t>811976987817719</t>
  </si>
  <si>
    <t>265479023190</t>
  </si>
  <si>
    <t>212483173632989</t>
  </si>
  <si>
    <t>438051799289</t>
  </si>
  <si>
    <t>354500715796868</t>
  </si>
  <si>
    <t>388912547315</t>
  </si>
  <si>
    <t>916554112471489</t>
  </si>
  <si>
    <t>369240129595</t>
  </si>
  <si>
    <t>122800892140703</t>
  </si>
  <si>
    <t>427930518207</t>
  </si>
  <si>
    <t>333377767019459</t>
  </si>
  <si>
    <t>494470015817</t>
  </si>
  <si>
    <t>543278780381769</t>
  </si>
  <si>
    <t>140553830582</t>
  </si>
  <si>
    <t>497544534627203</t>
  </si>
  <si>
    <t>354565224086</t>
  </si>
  <si>
    <t>177173915000731</t>
  </si>
  <si>
    <t>542799863962</t>
  </si>
  <si>
    <t>041639600399421</t>
  </si>
  <si>
    <t>Day 6  —  Daily Entry</t>
  </si>
  <si>
    <t>921296847127</t>
  </si>
  <si>
    <t>914474322332191</t>
  </si>
  <si>
    <t>844559210722</t>
  </si>
  <si>
    <t>120934464752136</t>
  </si>
  <si>
    <t>306827349992</t>
  </si>
  <si>
    <t>256567296311529</t>
  </si>
  <si>
    <t>841045888604</t>
  </si>
  <si>
    <t>259663668226001</t>
  </si>
  <si>
    <t>394538293141</t>
  </si>
  <si>
    <t>553279297672786</t>
  </si>
  <si>
    <t>217029293637</t>
  </si>
  <si>
    <t>514702989850295</t>
  </si>
  <si>
    <t>656938187523</t>
  </si>
  <si>
    <t>226210436928996</t>
  </si>
  <si>
    <t>774136801501</t>
  </si>
  <si>
    <t>877614945625753</t>
  </si>
  <si>
    <t>664722664647</t>
  </si>
  <si>
    <t>444759781057847</t>
  </si>
  <si>
    <t>940374986051</t>
  </si>
  <si>
    <t>146382905509413</t>
  </si>
  <si>
    <t>537005637131</t>
  </si>
  <si>
    <t>361512180585726</t>
  </si>
  <si>
    <t>668190749901</t>
  </si>
  <si>
    <t>939266465540395</t>
  </si>
  <si>
    <t>233360458163</t>
  </si>
  <si>
    <t>187764511784789</t>
  </si>
  <si>
    <t>561903323618</t>
  </si>
  <si>
    <t>865507290034788</t>
  </si>
  <si>
    <t>592279464536</t>
  </si>
  <si>
    <t>308829225317341</t>
  </si>
  <si>
    <t>130788475539</t>
  </si>
  <si>
    <t>581609325842591</t>
  </si>
  <si>
    <t>877013753162</t>
  </si>
  <si>
    <t>398482925934809</t>
  </si>
  <si>
    <t>157299286777</t>
  </si>
  <si>
    <t>776263466292969</t>
  </si>
  <si>
    <t>640207721948</t>
  </si>
  <si>
    <t>067396272382147</t>
  </si>
  <si>
    <t>633945335948</t>
  </si>
  <si>
    <t>859532657093967</t>
  </si>
  <si>
    <t>606152239899</t>
  </si>
  <si>
    <t>195900677365738</t>
  </si>
  <si>
    <t>958787650145</t>
  </si>
  <si>
    <t>826800036703161</t>
  </si>
  <si>
    <t>Day 7  —  Daily Entry</t>
  </si>
  <si>
    <t>686499052632</t>
  </si>
  <si>
    <t>927525748004480</t>
  </si>
  <si>
    <t>740157206777</t>
  </si>
  <si>
    <t>444963254607645</t>
  </si>
  <si>
    <t>463314187227</t>
  </si>
  <si>
    <t>349390095687593</t>
  </si>
  <si>
    <t>468251225450</t>
  </si>
  <si>
    <t>439933794937752</t>
  </si>
  <si>
    <t>564316046052</t>
  </si>
  <si>
    <t>583452994764611</t>
  </si>
  <si>
    <t>178239025208</t>
  </si>
  <si>
    <t>317113603904019</t>
  </si>
  <si>
    <t>642501342290</t>
  </si>
  <si>
    <t>771130806549052</t>
  </si>
  <si>
    <t>789596043609</t>
  </si>
  <si>
    <t>150188542583358</t>
  </si>
  <si>
    <t>568013844836</t>
  </si>
  <si>
    <t>889604238516211</t>
  </si>
  <si>
    <t>563082487415</t>
  </si>
  <si>
    <t>887607772342570</t>
  </si>
  <si>
    <t>394755290182</t>
  </si>
  <si>
    <t>322449940852535</t>
  </si>
  <si>
    <t>804405913889</t>
  </si>
  <si>
    <t>598112294404394</t>
  </si>
  <si>
    <t>675914663571</t>
  </si>
  <si>
    <t>825486664343802</t>
  </si>
  <si>
    <t>629075194173</t>
  </si>
  <si>
    <t>703254421756245</t>
  </si>
  <si>
    <t>896968743719</t>
  </si>
  <si>
    <t>859172999092610</t>
  </si>
  <si>
    <t>789650552795</t>
  </si>
  <si>
    <t>962551532218578</t>
  </si>
  <si>
    <t>913649333662</t>
  </si>
  <si>
    <t>741060886620162</t>
  </si>
  <si>
    <t>177903445313</t>
  </si>
  <si>
    <t>874844308365575</t>
  </si>
  <si>
    <t>510459891691</t>
  </si>
  <si>
    <t>350669363564031</t>
  </si>
  <si>
    <t>326893077847</t>
  </si>
  <si>
    <t>024757844256795</t>
  </si>
  <si>
    <t>952068203560</t>
  </si>
  <si>
    <t>697050801655758</t>
  </si>
  <si>
    <t>368784396864</t>
  </si>
  <si>
    <t>874650357261916</t>
  </si>
  <si>
    <t>417751535441</t>
  </si>
  <si>
    <t>835333614802104</t>
  </si>
  <si>
    <t>378623061587</t>
  </si>
  <si>
    <t>902595988905815</t>
  </si>
  <si>
    <t>620489951401</t>
  </si>
  <si>
    <t>776654779771992</t>
  </si>
  <si>
    <t>454723899141</t>
  </si>
  <si>
    <t>873469496255831</t>
  </si>
  <si>
    <t>663869367544</t>
  </si>
  <si>
    <t>272172003570677</t>
  </si>
  <si>
    <t>933948549877</t>
  </si>
  <si>
    <t>659402598994804</t>
  </si>
  <si>
    <t>368454162340</t>
  </si>
  <si>
    <t>214912061317658</t>
  </si>
  <si>
    <t>442139483861</t>
  </si>
  <si>
    <t>363343869054052</t>
  </si>
  <si>
    <t>923849629819</t>
  </si>
  <si>
    <t>882423290393076</t>
  </si>
  <si>
    <t>332302694105</t>
  </si>
  <si>
    <t>293595138025300</t>
  </si>
  <si>
    <t>Day 8  —  Daily Entry</t>
  </si>
  <si>
    <t>795128730743</t>
  </si>
  <si>
    <t>125764279800999</t>
  </si>
  <si>
    <t>949452582160</t>
  </si>
  <si>
    <t>317021214582246</t>
  </si>
  <si>
    <t>541573681718</t>
  </si>
  <si>
    <t>658322645828384</t>
  </si>
  <si>
    <t>229278420430</t>
  </si>
  <si>
    <t>035930116321808</t>
  </si>
  <si>
    <t>835629874579</t>
  </si>
  <si>
    <t>090630214385578</t>
  </si>
  <si>
    <t>465639705998</t>
  </si>
  <si>
    <t>712576855863852</t>
  </si>
  <si>
    <t>711473687920</t>
  </si>
  <si>
    <t>905651533308917</t>
  </si>
  <si>
    <t>537953705432</t>
  </si>
  <si>
    <t>088746835191508</t>
  </si>
  <si>
    <t>134668938148</t>
  </si>
  <si>
    <t>434104694145941</t>
  </si>
  <si>
    <t>188322487625</t>
  </si>
  <si>
    <t>569568195398477</t>
  </si>
  <si>
    <t>156503996437</t>
  </si>
  <si>
    <t>980087806282473</t>
  </si>
  <si>
    <t>339287254541</t>
  </si>
  <si>
    <t>308044607617901</t>
  </si>
  <si>
    <t>552496603829</t>
  </si>
  <si>
    <t>725349061775920</t>
  </si>
  <si>
    <t>558998561173</t>
  </si>
  <si>
    <t>118011140787387</t>
  </si>
  <si>
    <t>932270770226</t>
  </si>
  <si>
    <t>885246437898902</t>
  </si>
  <si>
    <t>314100985395</t>
  </si>
  <si>
    <t>366851997744755</t>
  </si>
  <si>
    <t>238729485456</t>
  </si>
  <si>
    <t>641905638421062</t>
  </si>
  <si>
    <t>720930910928</t>
  </si>
  <si>
    <t>700509019423328</t>
  </si>
  <si>
    <t>659128212281</t>
  </si>
  <si>
    <t>523185612404961</t>
  </si>
  <si>
    <t>170968789126</t>
  </si>
  <si>
    <t>847200280686437</t>
  </si>
  <si>
    <t>314889073631</t>
  </si>
  <si>
    <t>964153223494342</t>
  </si>
  <si>
    <t>374384489734</t>
  </si>
  <si>
    <t>561625527500919</t>
  </si>
  <si>
    <t>230618677615</t>
  </si>
  <si>
    <t>181081198658567</t>
  </si>
  <si>
    <t>335488961741</t>
  </si>
  <si>
    <t>415440093255166</t>
  </si>
  <si>
    <t>628636017306</t>
  </si>
  <si>
    <t>678815952955865</t>
  </si>
  <si>
    <t>635369406659</t>
  </si>
  <si>
    <t>187790343363993</t>
  </si>
  <si>
    <t>140426991414</t>
  </si>
  <si>
    <t>099564402035302</t>
  </si>
  <si>
    <t>356011444655</t>
  </si>
  <si>
    <t>498150053913865</t>
  </si>
  <si>
    <t>954176141672</t>
  </si>
  <si>
    <t>930260076666769</t>
  </si>
  <si>
    <t>613994956413</t>
  </si>
  <si>
    <t>239665481205906</t>
  </si>
  <si>
    <t>792118078998</t>
  </si>
  <si>
    <t>196676695928617</t>
  </si>
  <si>
    <t>871963527952</t>
  </si>
  <si>
    <t>471855284135159</t>
  </si>
  <si>
    <t>Day 9  —  Daily Entry</t>
  </si>
  <si>
    <t>812208412060</t>
  </si>
  <si>
    <t>132985229899559</t>
  </si>
  <si>
    <t>211606914859</t>
  </si>
  <si>
    <t>813430481623859</t>
  </si>
  <si>
    <t>248384224958</t>
  </si>
  <si>
    <t>946334416720939</t>
  </si>
  <si>
    <t>545241709924</t>
  </si>
  <si>
    <t>177728586507820</t>
  </si>
  <si>
    <t>278022852076</t>
  </si>
  <si>
    <t>594426041850588</t>
  </si>
  <si>
    <t>740007225334</t>
  </si>
  <si>
    <t>502551405145805</t>
  </si>
  <si>
    <t>614969235524</t>
  </si>
  <si>
    <t>344597615616621</t>
  </si>
  <si>
    <t>424939052788</t>
  </si>
  <si>
    <t>599157631608898</t>
  </si>
  <si>
    <t>480583966074</t>
  </si>
  <si>
    <t>485662311333266</t>
  </si>
  <si>
    <t>790793822289</t>
  </si>
  <si>
    <t>912755868477471</t>
  </si>
  <si>
    <t>568629082833</t>
  </si>
  <si>
    <t>868191996387785</t>
  </si>
  <si>
    <t>741945215058</t>
  </si>
  <si>
    <t>782728991486134</t>
  </si>
  <si>
    <t>183317173971</t>
  </si>
  <si>
    <t>668739549900627</t>
  </si>
  <si>
    <t>169970863038</t>
  </si>
  <si>
    <t>510817075359581</t>
  </si>
  <si>
    <t>406704252270</t>
  </si>
  <si>
    <t>234998589535562</t>
  </si>
  <si>
    <t>867042317091</t>
  </si>
  <si>
    <t>351452262969750</t>
  </si>
  <si>
    <t>970971080176</t>
  </si>
  <si>
    <t>547420681830023</t>
  </si>
  <si>
    <t>117615011576</t>
  </si>
  <si>
    <t>046782188539999</t>
  </si>
  <si>
    <t>938582755688</t>
  </si>
  <si>
    <t>621565932914670</t>
  </si>
  <si>
    <t>860260160388</t>
  </si>
  <si>
    <t>016854706207264</t>
  </si>
  <si>
    <t>280285731177</t>
  </si>
  <si>
    <t>164825152794767</t>
  </si>
  <si>
    <t>506321186447</t>
  </si>
  <si>
    <t>041360502082420</t>
  </si>
  <si>
    <t>633090089006</t>
  </si>
  <si>
    <t>361431906547114</t>
  </si>
  <si>
    <t>821495523038</t>
  </si>
  <si>
    <t>088687198112346</t>
  </si>
  <si>
    <t>208402395494</t>
  </si>
  <si>
    <t>177835004694356</t>
  </si>
  <si>
    <t>762257073507</t>
  </si>
  <si>
    <t>446617190010548</t>
  </si>
  <si>
    <t>308963460050</t>
  </si>
  <si>
    <t>472762219203841</t>
  </si>
  <si>
    <t>620415239075</t>
  </si>
  <si>
    <t>640993422372965</t>
  </si>
  <si>
    <t>966501776739</t>
  </si>
  <si>
    <t>496098805016733</t>
  </si>
  <si>
    <t>415101325092</t>
  </si>
  <si>
    <t>969301031523990</t>
  </si>
  <si>
    <t>640862015448</t>
  </si>
  <si>
    <t>568187857309937</t>
  </si>
  <si>
    <t>345468140727</t>
  </si>
  <si>
    <t>990170230413219</t>
  </si>
  <si>
    <t>365138376330</t>
  </si>
  <si>
    <t>484580964935373</t>
  </si>
  <si>
    <t>Day 10  —  Daily Entry</t>
  </si>
  <si>
    <t>144353736677</t>
  </si>
  <si>
    <t>513372100694122</t>
  </si>
  <si>
    <t>825189289458</t>
  </si>
  <si>
    <t>597200257396651</t>
  </si>
  <si>
    <t>684723306969</t>
  </si>
  <si>
    <t>957369764134093</t>
  </si>
  <si>
    <t>807888247050</t>
  </si>
  <si>
    <t>998047225570960</t>
  </si>
  <si>
    <t>483635372571</t>
  </si>
  <si>
    <t>271060581183224</t>
  </si>
  <si>
    <t>906554867546</t>
  </si>
  <si>
    <t>087347035736665</t>
  </si>
  <si>
    <t>824362345280</t>
  </si>
  <si>
    <t>223383621816615</t>
  </si>
  <si>
    <t>497472530279</t>
  </si>
  <si>
    <t>516512508706556</t>
  </si>
  <si>
    <t>398661004202</t>
  </si>
  <si>
    <t>950868284074802</t>
  </si>
  <si>
    <t>214449109150</t>
  </si>
  <si>
    <t>856510989168288</t>
  </si>
  <si>
    <t>630723184098</t>
  </si>
  <si>
    <t>477984592970359</t>
  </si>
  <si>
    <t>684004445656</t>
  </si>
  <si>
    <t>842337687832869</t>
  </si>
  <si>
    <t>109014998976</t>
  </si>
  <si>
    <t>151783083838945</t>
  </si>
  <si>
    <t>914087256032</t>
  </si>
  <si>
    <t>234807722980163</t>
  </si>
  <si>
    <t>431210007530</t>
  </si>
  <si>
    <t>228455645246972</t>
  </si>
  <si>
    <t>793575648799</t>
  </si>
  <si>
    <t>583102284801188</t>
  </si>
  <si>
    <t>714550569437</t>
  </si>
  <si>
    <t>467550100716576</t>
  </si>
  <si>
    <t>843202137829</t>
  </si>
  <si>
    <t>225928028361321</t>
  </si>
  <si>
    <t>552543647255</t>
  </si>
  <si>
    <t>196632372698134</t>
  </si>
  <si>
    <t>166325432689</t>
  </si>
  <si>
    <t>254817891956928</t>
  </si>
  <si>
    <t>944120604973</t>
  </si>
  <si>
    <t>434613788433891</t>
  </si>
  <si>
    <t>236244679442</t>
  </si>
  <si>
    <t>356191709943099</t>
  </si>
  <si>
    <t>104460687316</t>
  </si>
  <si>
    <t>024194251014357</t>
  </si>
  <si>
    <t>220935839547</t>
  </si>
  <si>
    <t>447802110395624</t>
  </si>
  <si>
    <t>137012070149</t>
  </si>
  <si>
    <t>868608732958442</t>
  </si>
  <si>
    <t>488638727197</t>
  </si>
  <si>
    <t>742702129039517</t>
  </si>
  <si>
    <t>917520575408</t>
  </si>
  <si>
    <t>512713059003170</t>
  </si>
  <si>
    <t>Day 11  —  Daily Entry</t>
  </si>
  <si>
    <t>141093002547</t>
  </si>
  <si>
    <t>039617809881628</t>
  </si>
  <si>
    <t>733964971660</t>
  </si>
  <si>
    <t>620656904574210</t>
  </si>
  <si>
    <t>314789694993</t>
  </si>
  <si>
    <t>283465391128562</t>
  </si>
  <si>
    <t>887096127389</t>
  </si>
  <si>
    <t>024267202065994</t>
  </si>
  <si>
    <t>537896149270</t>
  </si>
  <si>
    <t>405860991031270</t>
  </si>
  <si>
    <t>769217306052</t>
  </si>
  <si>
    <t>714889001751878</t>
  </si>
  <si>
    <t>234551925918</t>
  </si>
  <si>
    <t>518200002285588</t>
  </si>
  <si>
    <t>163164817891</t>
  </si>
  <si>
    <t>707984769454466</t>
  </si>
  <si>
    <t>122343912744</t>
  </si>
  <si>
    <t>359650041064585</t>
  </si>
  <si>
    <t>654363399327</t>
  </si>
  <si>
    <t>177345462765723</t>
  </si>
  <si>
    <t>582615521699</t>
  </si>
  <si>
    <t>691799620988821</t>
  </si>
  <si>
    <t>330702058308</t>
  </si>
  <si>
    <t>573230313881430</t>
  </si>
  <si>
    <t>516731600005</t>
  </si>
  <si>
    <t>632105949539415</t>
  </si>
  <si>
    <t>671233190758</t>
  </si>
  <si>
    <t>210818107175479</t>
  </si>
  <si>
    <t>173252468758</t>
  </si>
  <si>
    <t>692959000592459</t>
  </si>
  <si>
    <t>862090718565</t>
  </si>
  <si>
    <t>531170676280544</t>
  </si>
  <si>
    <t>913287826665</t>
  </si>
  <si>
    <t>742179735404075</t>
  </si>
  <si>
    <t>537028902431</t>
  </si>
  <si>
    <t>670351943838111</t>
  </si>
  <si>
    <t>146817860077</t>
  </si>
  <si>
    <t>716332231015129</t>
  </si>
  <si>
    <t>948313935404</t>
  </si>
  <si>
    <t>744665257182698</t>
  </si>
  <si>
    <t>288568126667</t>
  </si>
  <si>
    <t>291150289926307</t>
  </si>
  <si>
    <t>539722922250</t>
  </si>
  <si>
    <t>901714060221383</t>
  </si>
  <si>
    <t>436977725902</t>
  </si>
  <si>
    <t>710075436373064</t>
  </si>
  <si>
    <t>749112552106</t>
  </si>
  <si>
    <t>649234962128444</t>
  </si>
  <si>
    <t>186734893197</t>
  </si>
  <si>
    <t>320479836834072</t>
  </si>
  <si>
    <t>798998175364</t>
  </si>
  <si>
    <t>049955934945608</t>
  </si>
  <si>
    <t>185549726615</t>
  </si>
  <si>
    <t>616189683313428</t>
  </si>
  <si>
    <t>687125692553</t>
  </si>
  <si>
    <t>050415613709033</t>
  </si>
  <si>
    <t>557522235724</t>
  </si>
  <si>
    <t>618672908287694</t>
  </si>
  <si>
    <t>Day 12  —  Daily Entry</t>
  </si>
  <si>
    <t>507213249710</t>
  </si>
  <si>
    <t>466706837696856</t>
  </si>
  <si>
    <t>452562787510</t>
  </si>
  <si>
    <t>534539273819188</t>
  </si>
  <si>
    <t>887974913940</t>
  </si>
  <si>
    <t>366136607284790</t>
  </si>
  <si>
    <t>208221725902</t>
  </si>
  <si>
    <t>177941316417469</t>
  </si>
  <si>
    <t>625084810522</t>
  </si>
  <si>
    <t>417566385419896</t>
  </si>
  <si>
    <t>737918575297</t>
  </si>
  <si>
    <t>085713338816154</t>
  </si>
  <si>
    <t>345978153115</t>
  </si>
  <si>
    <t>130466157297274</t>
  </si>
  <si>
    <t>295882732186</t>
  </si>
  <si>
    <t>383094798025132</t>
  </si>
  <si>
    <t>957069447089</t>
  </si>
  <si>
    <t>783310143089922</t>
  </si>
  <si>
    <t>505906019960</t>
  </si>
  <si>
    <t>092462832826140</t>
  </si>
  <si>
    <t>565207213622</t>
  </si>
  <si>
    <t>639424579361946</t>
  </si>
  <si>
    <t>253957392082</t>
  </si>
  <si>
    <t>960172501259603</t>
  </si>
  <si>
    <t>299544281749</t>
  </si>
  <si>
    <t>965340560576008</t>
  </si>
  <si>
    <t>109114047108</t>
  </si>
  <si>
    <t>157421274385903</t>
  </si>
  <si>
    <t>989075019978</t>
  </si>
  <si>
    <t>054432714806078</t>
  </si>
  <si>
    <t>481330928631</t>
  </si>
  <si>
    <t>448274786375219</t>
  </si>
  <si>
    <t>226041577454</t>
  </si>
  <si>
    <t>862177455677165</t>
  </si>
  <si>
    <t>572802070841</t>
  </si>
  <si>
    <t>494473188729310</t>
  </si>
  <si>
    <t>303866304212</t>
  </si>
  <si>
    <t>634463951795130</t>
  </si>
  <si>
    <t>631498259061</t>
  </si>
  <si>
    <t>022257986297940</t>
  </si>
  <si>
    <t>Day 13  —  Daily Entry</t>
  </si>
  <si>
    <t>312827307527</t>
  </si>
  <si>
    <t>706839258813898</t>
  </si>
  <si>
    <t>595490183834</t>
  </si>
  <si>
    <t>543854353157888</t>
  </si>
  <si>
    <t>761317196581</t>
  </si>
  <si>
    <t>593953355339427</t>
  </si>
  <si>
    <t>116942427163</t>
  </si>
  <si>
    <t>551252460749819</t>
  </si>
  <si>
    <t>762133870341</t>
  </si>
  <si>
    <t>325726958286810</t>
  </si>
  <si>
    <t>568757260801</t>
  </si>
  <si>
    <t>285070499244694</t>
  </si>
  <si>
    <t>631056811614</t>
  </si>
  <si>
    <t>197922215578747</t>
  </si>
  <si>
    <t>638858569920</t>
  </si>
  <si>
    <t>751548917691864</t>
  </si>
  <si>
    <t>306783639950</t>
  </si>
  <si>
    <t>149528106915849</t>
  </si>
  <si>
    <t>753445097935</t>
  </si>
  <si>
    <t>132916998065557</t>
  </si>
  <si>
    <t>662681457414</t>
  </si>
  <si>
    <t>662899405501331</t>
  </si>
  <si>
    <t>972308522182</t>
  </si>
  <si>
    <t>479579173928250</t>
  </si>
  <si>
    <t>987622434341</t>
  </si>
  <si>
    <t>555909927796861</t>
  </si>
  <si>
    <t>263149711529</t>
  </si>
  <si>
    <t>005926311690605</t>
  </si>
  <si>
    <t>713859943492</t>
  </si>
  <si>
    <t>425911089940132</t>
  </si>
  <si>
    <t>502474120555</t>
  </si>
  <si>
    <t>038654905528506</t>
  </si>
  <si>
    <t>900648379761</t>
  </si>
  <si>
    <t>627130716386120</t>
  </si>
  <si>
    <t>174031667168</t>
  </si>
  <si>
    <t>166907862118222</t>
  </si>
  <si>
    <t>655535269691</t>
  </si>
  <si>
    <t>482003250286744</t>
  </si>
  <si>
    <t>410408107317</t>
  </si>
  <si>
    <t>187778911188755</t>
  </si>
  <si>
    <t>623132112520</t>
  </si>
  <si>
    <t>822984743668297</t>
  </si>
  <si>
    <t>779702781288</t>
  </si>
  <si>
    <t>491509747918030</t>
  </si>
  <si>
    <t>850425596968</t>
  </si>
  <si>
    <t>282406999755519</t>
  </si>
  <si>
    <t>216691617403</t>
  </si>
  <si>
    <t>350554972374394</t>
  </si>
  <si>
    <t>577189810848</t>
  </si>
  <si>
    <t>896633499460911</t>
  </si>
  <si>
    <t>276666695653</t>
  </si>
  <si>
    <t>626203274335733</t>
  </si>
  <si>
    <t>438709607473</t>
  </si>
  <si>
    <t>980662085691717</t>
  </si>
  <si>
    <t>721014714645</t>
  </si>
  <si>
    <t>784751191479838</t>
  </si>
  <si>
    <t>686079752360</t>
  </si>
  <si>
    <t>758094202463926</t>
  </si>
  <si>
    <t>766453562367</t>
  </si>
  <si>
    <t>331509321790573</t>
  </si>
  <si>
    <t>Day 14  —  Daily Entry</t>
  </si>
  <si>
    <t>978746416034</t>
  </si>
  <si>
    <t>517600162720139</t>
  </si>
  <si>
    <t>923899551331</t>
  </si>
  <si>
    <t>678168253717883</t>
  </si>
  <si>
    <t>121297420741</t>
  </si>
  <si>
    <t>971348318426404</t>
  </si>
  <si>
    <t>930706530954</t>
  </si>
  <si>
    <t>509243878762927</t>
  </si>
  <si>
    <t>526824167685</t>
  </si>
  <si>
    <t>900861702844405</t>
  </si>
  <si>
    <t>366157383510</t>
  </si>
  <si>
    <t>935592398634436</t>
  </si>
  <si>
    <t>150376484062</t>
  </si>
  <si>
    <t>107428023455957</t>
  </si>
  <si>
    <t>778840818889</t>
  </si>
  <si>
    <t>439689136054214</t>
  </si>
  <si>
    <t>203103132357</t>
  </si>
  <si>
    <t>580444670496500</t>
  </si>
  <si>
    <t>607567128969</t>
  </si>
  <si>
    <t>897646009495369</t>
  </si>
  <si>
    <t>670782950295</t>
  </si>
  <si>
    <t>689903011638838</t>
  </si>
  <si>
    <t>578409161896</t>
  </si>
  <si>
    <t>351037541356862</t>
  </si>
  <si>
    <t>850512420012</t>
  </si>
  <si>
    <t>086898704932348</t>
  </si>
  <si>
    <t>651818832187</t>
  </si>
  <si>
    <t>563395545978105</t>
  </si>
  <si>
    <t>819458594181</t>
  </si>
  <si>
    <t>009823298256681</t>
  </si>
  <si>
    <t>611033637553</t>
  </si>
  <si>
    <t>635453934504731</t>
  </si>
  <si>
    <t>589666438473</t>
  </si>
  <si>
    <t>617607414637617</t>
  </si>
  <si>
    <t>179975768099</t>
  </si>
  <si>
    <t>008158509175611</t>
  </si>
  <si>
    <t>855639540963</t>
  </si>
  <si>
    <t>313780657804106</t>
  </si>
  <si>
    <t>227580741382</t>
  </si>
  <si>
    <t>560229732546550</t>
  </si>
  <si>
    <t>129148239278</t>
  </si>
  <si>
    <t>539623080415781</t>
  </si>
  <si>
    <t>276050968011</t>
  </si>
  <si>
    <t>918888839121636</t>
  </si>
  <si>
    <t>113081285648</t>
  </si>
  <si>
    <t>852953066750619</t>
  </si>
  <si>
    <t>175621945930</t>
  </si>
  <si>
    <t>954433875932622</t>
  </si>
  <si>
    <t>Day 15  —  Daily Entry</t>
  </si>
  <si>
    <t>330075654748</t>
  </si>
  <si>
    <t>743834663132665</t>
  </si>
  <si>
    <t>291002705377</t>
  </si>
  <si>
    <t>669487959150826</t>
  </si>
  <si>
    <t>945358301553</t>
  </si>
  <si>
    <t>353050641580170</t>
  </si>
  <si>
    <t>278078583383</t>
  </si>
  <si>
    <t>982481483515607</t>
  </si>
  <si>
    <t>791226927827</t>
  </si>
  <si>
    <t>302022180482684</t>
  </si>
  <si>
    <t>639736702810</t>
  </si>
  <si>
    <t>179506549808588</t>
  </si>
  <si>
    <t>640472049363</t>
  </si>
  <si>
    <t>206074221710935</t>
  </si>
  <si>
    <t>210618183310</t>
  </si>
  <si>
    <t>452350989905145</t>
  </si>
  <si>
    <t>670816154843</t>
  </si>
  <si>
    <t>122517532772949</t>
  </si>
  <si>
    <t>183609390477</t>
  </si>
  <si>
    <t>646045439858837</t>
  </si>
  <si>
    <t>100787927092</t>
  </si>
  <si>
    <t>081796553079156</t>
  </si>
  <si>
    <t>403966832015</t>
  </si>
  <si>
    <t>998549282472196</t>
  </si>
  <si>
    <t>129904300926</t>
  </si>
  <si>
    <t>027945297751588</t>
  </si>
  <si>
    <t>591414469772</t>
  </si>
  <si>
    <t>696768738695695</t>
  </si>
  <si>
    <t>765448269256</t>
  </si>
  <si>
    <t>235470677628047</t>
  </si>
  <si>
    <t>968631753519</t>
  </si>
  <si>
    <t>072890921057971</t>
  </si>
  <si>
    <t>915596758685</t>
  </si>
  <si>
    <t>514531157434338</t>
  </si>
  <si>
    <t>569895404652</t>
  </si>
  <si>
    <t>562341100837179</t>
  </si>
  <si>
    <t>993481960654</t>
  </si>
  <si>
    <t>670852591868389</t>
  </si>
  <si>
    <t>516595444491</t>
  </si>
  <si>
    <t>472766585261426</t>
  </si>
  <si>
    <t>481590434287</t>
  </si>
  <si>
    <t>702336745975388</t>
  </si>
  <si>
    <t>746621472507</t>
  </si>
  <si>
    <t>735764117459667</t>
  </si>
  <si>
    <t>791137108502</t>
  </si>
  <si>
    <t>694170287189119</t>
  </si>
  <si>
    <t>726861887188</t>
  </si>
  <si>
    <t>804839893281213</t>
  </si>
  <si>
    <t>831161904174</t>
  </si>
  <si>
    <t>909482941380087</t>
  </si>
  <si>
    <t>295896558190</t>
  </si>
  <si>
    <t>530606143141449</t>
  </si>
  <si>
    <t>824028922484</t>
  </si>
  <si>
    <t>519989228577473</t>
  </si>
  <si>
    <t>Day 16  —  Daily Entry</t>
  </si>
  <si>
    <t>421868510273</t>
  </si>
  <si>
    <t>234649549932438</t>
  </si>
  <si>
    <t>994519251014</t>
  </si>
  <si>
    <t>433839039278623</t>
  </si>
  <si>
    <t>640882082423</t>
  </si>
  <si>
    <t>977531467389701</t>
  </si>
  <si>
    <t>867717320961</t>
  </si>
  <si>
    <t>164527646315662</t>
  </si>
  <si>
    <t>830611641804</t>
  </si>
  <si>
    <t>029695626353074</t>
  </si>
  <si>
    <t>358037812975</t>
  </si>
  <si>
    <t>747029910999334</t>
  </si>
  <si>
    <t>102650452997</t>
  </si>
  <si>
    <t>551317468051881</t>
  </si>
  <si>
    <t>721725972792</t>
  </si>
  <si>
    <t>525873404296315</t>
  </si>
  <si>
    <t>965606536316</t>
  </si>
  <si>
    <t>669783865362239</t>
  </si>
  <si>
    <t>366837733856</t>
  </si>
  <si>
    <t>135616119357124</t>
  </si>
  <si>
    <t>748131410121</t>
  </si>
  <si>
    <t>644324988285804</t>
  </si>
  <si>
    <t>524717629247</t>
  </si>
  <si>
    <t>655668485505647</t>
  </si>
  <si>
    <t>306102766576</t>
  </si>
  <si>
    <t>045859172456535</t>
  </si>
  <si>
    <t>827104873226</t>
  </si>
  <si>
    <t>340485106091852</t>
  </si>
  <si>
    <t>572544990273</t>
  </si>
  <si>
    <t>877847958966062</t>
  </si>
  <si>
    <t>567853122719</t>
  </si>
  <si>
    <t>933857656908750</t>
  </si>
  <si>
    <t>272780425637</t>
  </si>
  <si>
    <t>148948661901104</t>
  </si>
  <si>
    <t>893861058616</t>
  </si>
  <si>
    <t>112402931295793</t>
  </si>
  <si>
    <t>226252226332</t>
  </si>
  <si>
    <t>401263159541153</t>
  </si>
  <si>
    <t>783589921169</t>
  </si>
  <si>
    <t>840786490922757</t>
  </si>
  <si>
    <t>805923379528</t>
  </si>
  <si>
    <t>067199220428598</t>
  </si>
  <si>
    <t>362867453451</t>
  </si>
  <si>
    <t>304254674934570</t>
  </si>
  <si>
    <t>322740359131</t>
  </si>
  <si>
    <t>502961793454990</t>
  </si>
  <si>
    <t>730692587820</t>
  </si>
  <si>
    <t>934315078517612</t>
  </si>
  <si>
    <t>218112547755</t>
  </si>
  <si>
    <t>434628793996761</t>
  </si>
  <si>
    <t>480775584488</t>
  </si>
  <si>
    <t>635037274104116</t>
  </si>
  <si>
    <t>758975660837</t>
  </si>
  <si>
    <t>818482782293843</t>
  </si>
  <si>
    <t>549254538853</t>
  </si>
  <si>
    <t>091432287119008</t>
  </si>
  <si>
    <t>706601679501</t>
  </si>
  <si>
    <t>812704135560965</t>
  </si>
  <si>
    <t>476697779191</t>
  </si>
  <si>
    <t>363893938813186</t>
  </si>
  <si>
    <t>440851502703</t>
  </si>
  <si>
    <t>783726277175571</t>
  </si>
  <si>
    <t>592286148002</t>
  </si>
  <si>
    <t>018035411932588</t>
  </si>
  <si>
    <t>744806365314</t>
  </si>
  <si>
    <t>097936708764528</t>
  </si>
  <si>
    <t>Day 17  —  Daily Entry</t>
  </si>
  <si>
    <t>805754784182</t>
  </si>
  <si>
    <t>437633082825261</t>
  </si>
  <si>
    <t>386890877881</t>
  </si>
  <si>
    <t>908708456465588</t>
  </si>
  <si>
    <t>639072896313</t>
  </si>
  <si>
    <t>535925949399250</t>
  </si>
  <si>
    <t>434180056614</t>
  </si>
  <si>
    <t>757363881836622</t>
  </si>
  <si>
    <t>832420792785</t>
  </si>
  <si>
    <t>292463736592998</t>
  </si>
  <si>
    <t>127285867695</t>
  </si>
  <si>
    <t>545255254074625</t>
  </si>
  <si>
    <t>278751673486</t>
  </si>
  <si>
    <t>039469255741652</t>
  </si>
  <si>
    <t>130537445134</t>
  </si>
  <si>
    <t>314872297379942</t>
  </si>
  <si>
    <t>438995056202</t>
  </si>
  <si>
    <t>027724760575734</t>
  </si>
  <si>
    <t>988954795031</t>
  </si>
  <si>
    <t>755160542561426</t>
  </si>
  <si>
    <t>899158738123</t>
  </si>
  <si>
    <t>366894290203048</t>
  </si>
  <si>
    <t>166752392097</t>
  </si>
  <si>
    <t>075849491344410</t>
  </si>
  <si>
    <t>812346128416</t>
  </si>
  <si>
    <t>067512575577859</t>
  </si>
  <si>
    <t>285400129766</t>
  </si>
  <si>
    <t>684318653944091</t>
  </si>
  <si>
    <t>969061209256</t>
  </si>
  <si>
    <t>930736443283532</t>
  </si>
  <si>
    <t>584837025910</t>
  </si>
  <si>
    <t>501465845124957</t>
  </si>
  <si>
    <t>944436151122</t>
  </si>
  <si>
    <t>243674904271331</t>
  </si>
  <si>
    <t>911549195493</t>
  </si>
  <si>
    <t>947827378940596</t>
  </si>
  <si>
    <t>945718702852</t>
  </si>
  <si>
    <t>387703309861313</t>
  </si>
  <si>
    <t>441696337997</t>
  </si>
  <si>
    <t>580235049659713</t>
  </si>
  <si>
    <t>909691470391</t>
  </si>
  <si>
    <t>189762393731544</t>
  </si>
  <si>
    <t>Day 18  —  Daily Entry</t>
  </si>
  <si>
    <t>477025724856</t>
  </si>
  <si>
    <t>291764362667732</t>
  </si>
  <si>
    <t>188251792478</t>
  </si>
  <si>
    <t>545410574479974</t>
  </si>
  <si>
    <t>441922858342</t>
  </si>
  <si>
    <t>349690802564645</t>
  </si>
  <si>
    <t>491530992026</t>
  </si>
  <si>
    <t>603775159403338</t>
  </si>
  <si>
    <t>174177479454</t>
  </si>
  <si>
    <t>508456952354066</t>
  </si>
  <si>
    <t>931499347148</t>
  </si>
  <si>
    <t>075225448144688</t>
  </si>
  <si>
    <t>304604938933</t>
  </si>
  <si>
    <t>936754194654987</t>
  </si>
  <si>
    <t>560553506789</t>
  </si>
  <si>
    <t>207859220124567</t>
  </si>
  <si>
    <t>522448343703</t>
  </si>
  <si>
    <t>328991595120170</t>
  </si>
  <si>
    <t>517421779013</t>
  </si>
  <si>
    <t>950118980746451</t>
  </si>
  <si>
    <t>605045790789</t>
  </si>
  <si>
    <t>862712489392722</t>
  </si>
  <si>
    <t>354546068866</t>
  </si>
  <si>
    <t>864124248123004</t>
  </si>
  <si>
    <t>352224886581</t>
  </si>
  <si>
    <t>779259940324389</t>
  </si>
  <si>
    <t>292896135865</t>
  </si>
  <si>
    <t>067635036434377</t>
  </si>
  <si>
    <t>757114576981</t>
  </si>
  <si>
    <t>038558512325017</t>
  </si>
  <si>
    <t>635144974567</t>
  </si>
  <si>
    <t>904365565761874</t>
  </si>
  <si>
    <t>543859842601</t>
  </si>
  <si>
    <t>033210535541100</t>
  </si>
  <si>
    <t>318513609750</t>
  </si>
  <si>
    <t>864807563190216</t>
  </si>
  <si>
    <t>769707226004</t>
  </si>
  <si>
    <t>400196432602502</t>
  </si>
  <si>
    <t>601660006358</t>
  </si>
  <si>
    <t>264479973444321</t>
  </si>
  <si>
    <t>653626489942</t>
  </si>
  <si>
    <t>928035628423012</t>
  </si>
  <si>
    <t>705046847104</t>
  </si>
  <si>
    <t>653961606603155</t>
  </si>
  <si>
    <t>494355694265</t>
  </si>
  <si>
    <t>535877081117699</t>
  </si>
  <si>
    <t>Day 19  —  Daily Entry</t>
  </si>
  <si>
    <t>778628950200</t>
  </si>
  <si>
    <t>535869384006432</t>
  </si>
  <si>
    <t>672807209230</t>
  </si>
  <si>
    <t>828229647495681</t>
  </si>
  <si>
    <t>251279889941</t>
  </si>
  <si>
    <t>448358455394259</t>
  </si>
  <si>
    <t>188436641475</t>
  </si>
  <si>
    <t>856627714205415</t>
  </si>
  <si>
    <t>828524663835</t>
  </si>
  <si>
    <t>660161551361555</t>
  </si>
  <si>
    <t>551387552623</t>
  </si>
  <si>
    <t>018913872468619</t>
  </si>
  <si>
    <t>845070152924</t>
  </si>
  <si>
    <t>767721660377990</t>
  </si>
  <si>
    <t>140645300533</t>
  </si>
  <si>
    <t>304770059225457</t>
  </si>
  <si>
    <t>615868247136</t>
  </si>
  <si>
    <t>260573349881928</t>
  </si>
  <si>
    <t>527238530888</t>
  </si>
  <si>
    <t>481168057871247</t>
  </si>
  <si>
    <t>726308901738</t>
  </si>
  <si>
    <t>395168283974387</t>
  </si>
  <si>
    <t>283011181797</t>
  </si>
  <si>
    <t>179742659839215</t>
  </si>
  <si>
    <t>560468753518</t>
  </si>
  <si>
    <t>339487820871985</t>
  </si>
  <si>
    <t>141926386591</t>
  </si>
  <si>
    <t>395719469401981</t>
  </si>
  <si>
    <t>856607921932</t>
  </si>
  <si>
    <t>152374401336619</t>
  </si>
  <si>
    <t>860886742018</t>
  </si>
  <si>
    <t>669896955248044</t>
  </si>
  <si>
    <t>662115634048</t>
  </si>
  <si>
    <t>018272810703885</t>
  </si>
  <si>
    <t>190116624341</t>
  </si>
  <si>
    <t>247762313800650</t>
  </si>
  <si>
    <t>674504101778</t>
  </si>
  <si>
    <t>188676418221442</t>
  </si>
  <si>
    <t>891295361620</t>
  </si>
  <si>
    <t>199838362393589</t>
  </si>
  <si>
    <t>385995828616</t>
  </si>
  <si>
    <t>975946181342833</t>
  </si>
  <si>
    <t>913156129507</t>
  </si>
  <si>
    <t>522088545746831</t>
  </si>
  <si>
    <t>793163840465</t>
  </si>
  <si>
    <t>638156283134910</t>
  </si>
  <si>
    <t>Day 20  —  Daily Entry</t>
  </si>
  <si>
    <t>313694006788</t>
  </si>
  <si>
    <t>621513442939746</t>
  </si>
  <si>
    <t>840478701468</t>
  </si>
  <si>
    <t>698882863399293</t>
  </si>
  <si>
    <t>925706318657</t>
  </si>
  <si>
    <t>235104914703807</t>
  </si>
  <si>
    <t>240450891169</t>
  </si>
  <si>
    <t>829628460117251</t>
  </si>
  <si>
    <t>581109671193</t>
  </si>
  <si>
    <t>584477824720289</t>
  </si>
  <si>
    <t>860218407492</t>
  </si>
  <si>
    <t>162792255211834</t>
  </si>
  <si>
    <t>180022981368</t>
  </si>
  <si>
    <t>933897251022655</t>
  </si>
  <si>
    <t>471880996778</t>
  </si>
  <si>
    <t>027141353404351</t>
  </si>
  <si>
    <t>999448573039</t>
  </si>
  <si>
    <t>195640912648154</t>
  </si>
  <si>
    <t>249786225267</t>
  </si>
  <si>
    <t>604850354184544</t>
  </si>
  <si>
    <t>530602794682</t>
  </si>
  <si>
    <t>928890785839834</t>
  </si>
  <si>
    <t>755377436916</t>
  </si>
  <si>
    <t>667736835191672</t>
  </si>
  <si>
    <t>228510562358</t>
  </si>
  <si>
    <t>706495526887361</t>
  </si>
  <si>
    <t>719972709360</t>
  </si>
  <si>
    <t>315137726582170</t>
  </si>
  <si>
    <t>408286222094</t>
  </si>
  <si>
    <t>434885792463639</t>
  </si>
  <si>
    <t>823528633874</t>
  </si>
  <si>
    <t>259087608437268</t>
  </si>
  <si>
    <t>814847823068</t>
  </si>
  <si>
    <t>801947072056961</t>
  </si>
  <si>
    <t>241827499605</t>
  </si>
  <si>
    <t>093071898029743</t>
  </si>
  <si>
    <t>820650644716</t>
  </si>
  <si>
    <t>408083040771540</t>
  </si>
  <si>
    <t>666663594000</t>
  </si>
  <si>
    <t>621082186559367</t>
  </si>
  <si>
    <t>248387387987</t>
  </si>
  <si>
    <t>233754062743152</t>
  </si>
  <si>
    <t>686915259858</t>
  </si>
  <si>
    <t>348466454309913</t>
  </si>
  <si>
    <t>936342834325</t>
  </si>
  <si>
    <t>053231673682851</t>
  </si>
  <si>
    <t>622601041444</t>
  </si>
  <si>
    <t>213330115706801</t>
  </si>
  <si>
    <t>790548670428</t>
  </si>
  <si>
    <t>909393035375558</t>
  </si>
  <si>
    <t>577978656090</t>
  </si>
  <si>
    <t>138368297248293</t>
  </si>
  <si>
    <t>871325665470</t>
  </si>
  <si>
    <t>833918567730955</t>
  </si>
  <si>
    <t>982913267405</t>
  </si>
  <si>
    <t>919932994071103</t>
  </si>
  <si>
    <t>892025675254</t>
  </si>
  <si>
    <t>268561475955029</t>
  </si>
  <si>
    <t>679830560216</t>
  </si>
  <si>
    <t>129218409751329</t>
  </si>
  <si>
    <t>242724096418</t>
  </si>
  <si>
    <t>383878154814732</t>
  </si>
  <si>
    <t>Day 21  —  Daily Entry</t>
  </si>
  <si>
    <t>552095801512</t>
  </si>
  <si>
    <t>446629785946519</t>
  </si>
  <si>
    <t>190000172772</t>
  </si>
  <si>
    <t>853090944428026</t>
  </si>
  <si>
    <t>348101803578</t>
  </si>
  <si>
    <t>081517113670818</t>
  </si>
  <si>
    <t>952480214209</t>
  </si>
  <si>
    <t>180012222747446</t>
  </si>
  <si>
    <t>927158809561</t>
  </si>
  <si>
    <t>520673695343393</t>
  </si>
  <si>
    <t>506095809125</t>
  </si>
  <si>
    <t>219906611642342</t>
  </si>
  <si>
    <t>939942146135</t>
  </si>
  <si>
    <t>124837431994265</t>
  </si>
  <si>
    <t>356477693396</t>
  </si>
  <si>
    <t>652845117545002</t>
  </si>
  <si>
    <t>372583062735</t>
  </si>
  <si>
    <t>610054901308820</t>
  </si>
  <si>
    <t>167982744788</t>
  </si>
  <si>
    <t>572704688113020</t>
  </si>
  <si>
    <t>423623226643</t>
  </si>
  <si>
    <t>069824178352485</t>
  </si>
  <si>
    <t>908664481390</t>
  </si>
  <si>
    <t>565443045308353</t>
  </si>
  <si>
    <t>879681417099</t>
  </si>
  <si>
    <t>811924548447191</t>
  </si>
  <si>
    <t>365604224282</t>
  </si>
  <si>
    <t>755694813162359</t>
  </si>
  <si>
    <t>340564987377</t>
  </si>
  <si>
    <t>021875760239877</t>
  </si>
  <si>
    <t>668140379124</t>
  </si>
  <si>
    <t>868660813829789</t>
  </si>
  <si>
    <t>348063674078</t>
  </si>
  <si>
    <t>314190696776933</t>
  </si>
  <si>
    <t>269707696415</t>
  </si>
  <si>
    <t>544223425642778</t>
  </si>
  <si>
    <t>386464442940</t>
  </si>
  <si>
    <t>747925739918945</t>
  </si>
  <si>
    <t>515298938473</t>
  </si>
  <si>
    <t>082063606881591</t>
  </si>
  <si>
    <t>592246063950</t>
  </si>
  <si>
    <t>866602635659156</t>
  </si>
  <si>
    <t>590676208291</t>
  </si>
  <si>
    <t>988387434334822</t>
  </si>
  <si>
    <t>323053938550</t>
  </si>
  <si>
    <t>333370957304531</t>
  </si>
  <si>
    <t>873930514193</t>
  </si>
  <si>
    <t>085642833444473</t>
  </si>
  <si>
    <t>676124827774</t>
  </si>
  <si>
    <t>210740835345989</t>
  </si>
  <si>
    <t>578860735029</t>
  </si>
  <si>
    <t>325609868764964</t>
  </si>
  <si>
    <t>474212837928</t>
  </si>
  <si>
    <t>974977464852181</t>
  </si>
  <si>
    <t>711447727158</t>
  </si>
  <si>
    <t>451057207132271</t>
  </si>
  <si>
    <t>107887458905</t>
  </si>
  <si>
    <t>695819841132899</t>
  </si>
  <si>
    <t>492079538801</t>
  </si>
  <si>
    <t>476204460236831</t>
  </si>
  <si>
    <t>686509053104</t>
  </si>
  <si>
    <t>894056735039850</t>
  </si>
  <si>
    <t>420733641516</t>
  </si>
  <si>
    <t>920478196028700</t>
  </si>
  <si>
    <t>763509649606</t>
  </si>
  <si>
    <t>667847365805945</t>
  </si>
  <si>
    <t>Day 22  —  Daily Entry</t>
  </si>
  <si>
    <t>526367821782</t>
  </si>
  <si>
    <t>540288679991400</t>
  </si>
  <si>
    <t>173829142602</t>
  </si>
  <si>
    <t>931009326946534</t>
  </si>
  <si>
    <t>248836976811</t>
  </si>
  <si>
    <t>823895022879977</t>
  </si>
  <si>
    <t>183642207616</t>
  </si>
  <si>
    <t>381615313862381</t>
  </si>
  <si>
    <t>792191640457</t>
  </si>
  <si>
    <t>709469692036665</t>
  </si>
  <si>
    <t>389601247763</t>
  </si>
  <si>
    <t>463874426829373</t>
  </si>
  <si>
    <t>142698130608</t>
  </si>
  <si>
    <t>613807608591475</t>
  </si>
  <si>
    <t>358305549330</t>
  </si>
  <si>
    <t>221583130018536</t>
  </si>
  <si>
    <t>171053396036</t>
  </si>
  <si>
    <t>488871388296493</t>
  </si>
  <si>
    <t>231623334034</t>
  </si>
  <si>
    <t>464119419591217</t>
  </si>
  <si>
    <t>820880410880</t>
  </si>
  <si>
    <t>451605158746625</t>
  </si>
  <si>
    <t>822775086038</t>
  </si>
  <si>
    <t>632110246979855</t>
  </si>
  <si>
    <t>976930146793</t>
  </si>
  <si>
    <t>012274389983338</t>
  </si>
  <si>
    <t>347472553857</t>
  </si>
  <si>
    <t>223545071280688</t>
  </si>
  <si>
    <t>689215913139</t>
  </si>
  <si>
    <t>733814786386620</t>
  </si>
  <si>
    <t>663199538115</t>
  </si>
  <si>
    <t>765160066604685</t>
  </si>
  <si>
    <t>773688328547</t>
  </si>
  <si>
    <t>959517991407279</t>
  </si>
  <si>
    <t>110513206449</t>
  </si>
  <si>
    <t>627961146328223</t>
  </si>
  <si>
    <t>104923282804</t>
  </si>
  <si>
    <t>024756663561773</t>
  </si>
  <si>
    <t>794976102371</t>
  </si>
  <si>
    <t>801032224399314</t>
  </si>
  <si>
    <t>528498960194</t>
  </si>
  <si>
    <t>058245341902356</t>
  </si>
  <si>
    <t>749737636943</t>
  </si>
  <si>
    <t>799143232488618</t>
  </si>
  <si>
    <t>354571785691</t>
  </si>
  <si>
    <t>408384029020214</t>
  </si>
  <si>
    <t>Day 23  —  Daily Entry</t>
  </si>
  <si>
    <t>916986181490</t>
  </si>
  <si>
    <t>998342827305602</t>
  </si>
  <si>
    <t>453664545010</t>
  </si>
  <si>
    <t>267631407877304</t>
  </si>
  <si>
    <t>183006403252</t>
  </si>
  <si>
    <t>596576816423016</t>
  </si>
  <si>
    <t>360617253738</t>
  </si>
  <si>
    <t>257590906177353</t>
  </si>
  <si>
    <t>732751716475</t>
  </si>
  <si>
    <t>138310621266118</t>
  </si>
  <si>
    <t>619495241522</t>
  </si>
  <si>
    <t>995226706237866</t>
  </si>
  <si>
    <t>360919173029</t>
  </si>
  <si>
    <t>985979425719353</t>
  </si>
  <si>
    <t>818433938311</t>
  </si>
  <si>
    <t>647088970080551</t>
  </si>
  <si>
    <t>720745247620</t>
  </si>
  <si>
    <t>874646911314944</t>
  </si>
  <si>
    <t>619235881619</t>
  </si>
  <si>
    <t>256276764551676</t>
  </si>
  <si>
    <t>728339863607</t>
  </si>
  <si>
    <t>987906875156188</t>
  </si>
  <si>
    <t>663448649454</t>
  </si>
  <si>
    <t>301376542384377</t>
  </si>
  <si>
    <t>718314967199</t>
  </si>
  <si>
    <t>016407109222143</t>
  </si>
  <si>
    <t>745888948926</t>
  </si>
  <si>
    <t>646547135798646</t>
  </si>
  <si>
    <t>972726502699</t>
  </si>
  <si>
    <t>800638159604140</t>
  </si>
  <si>
    <t>876484981592</t>
  </si>
  <si>
    <t>786259854696862</t>
  </si>
  <si>
    <t>951979309356</t>
  </si>
  <si>
    <t>624258357154738</t>
  </si>
  <si>
    <t>573814368337</t>
  </si>
  <si>
    <t>896228552998615</t>
  </si>
  <si>
    <t>381346611903</t>
  </si>
  <si>
    <t>391390553636382</t>
  </si>
  <si>
    <t>884826109119</t>
  </si>
  <si>
    <t>386761447782472</t>
  </si>
  <si>
    <t>Day 24  —  Daily Entry</t>
  </si>
  <si>
    <t>240355890317</t>
  </si>
  <si>
    <t>265201911723863</t>
  </si>
  <si>
    <t>499580125744</t>
  </si>
  <si>
    <t>978871602890175</t>
  </si>
  <si>
    <t>901865508031</t>
  </si>
  <si>
    <t>729579254111208</t>
  </si>
  <si>
    <t>660471520944</t>
  </si>
  <si>
    <t>902322584240341</t>
  </si>
  <si>
    <t>455703047920</t>
  </si>
  <si>
    <t>765223911789220</t>
  </si>
  <si>
    <t>891744224103</t>
  </si>
  <si>
    <t>389427595764877</t>
  </si>
  <si>
    <t>335674159137</t>
  </si>
  <si>
    <t>363418967253077</t>
  </si>
  <si>
    <t>836997692494</t>
  </si>
  <si>
    <t>313978838861428</t>
  </si>
  <si>
    <t>626288804692</t>
  </si>
  <si>
    <t>605665007032590</t>
  </si>
  <si>
    <t>837320811630</t>
  </si>
  <si>
    <t>075991367541377</t>
  </si>
  <si>
    <t>112968309775</t>
  </si>
  <si>
    <t>367679121416195</t>
  </si>
  <si>
    <t>693765247871</t>
  </si>
  <si>
    <t>319973155519381</t>
  </si>
  <si>
    <t>495188575014</t>
  </si>
  <si>
    <t>596491664647096</t>
  </si>
  <si>
    <t>608815586136</t>
  </si>
  <si>
    <t>024088979718346</t>
  </si>
  <si>
    <t>279823436385</t>
  </si>
  <si>
    <t>139281565663985</t>
  </si>
  <si>
    <t>620646776690</t>
  </si>
  <si>
    <t>767737665559089</t>
  </si>
  <si>
    <t>578223682163</t>
  </si>
  <si>
    <t>782588755330331</t>
  </si>
  <si>
    <t>168193216910</t>
  </si>
  <si>
    <t>078197736710705</t>
  </si>
  <si>
    <t>207629531520</t>
  </si>
  <si>
    <t>712182391008226</t>
  </si>
  <si>
    <t>489664428272</t>
  </si>
  <si>
    <t>298541882188631</t>
  </si>
  <si>
    <t>769878332294</t>
  </si>
  <si>
    <t>764438157818510</t>
  </si>
  <si>
    <t>508297194733</t>
  </si>
  <si>
    <t>299614301425475</t>
  </si>
  <si>
    <t>998073405510</t>
  </si>
  <si>
    <t>024367716990114</t>
  </si>
  <si>
    <t>111642670802</t>
  </si>
  <si>
    <t>801904763918413</t>
  </si>
  <si>
    <t>453098038687</t>
  </si>
  <si>
    <t>488434322618691</t>
  </si>
  <si>
    <t>403718345208</t>
  </si>
  <si>
    <t>188314919633438</t>
  </si>
  <si>
    <t>667732169295</t>
  </si>
  <si>
    <t>470732113913328</t>
  </si>
  <si>
    <t>615595919391</t>
  </si>
  <si>
    <t>450292561709768</t>
  </si>
  <si>
    <t>881793604369</t>
  </si>
  <si>
    <t>507644499100171</t>
  </si>
  <si>
    <t>990330970775</t>
  </si>
  <si>
    <t>871356773828398</t>
  </si>
  <si>
    <t>864482486044</t>
  </si>
  <si>
    <t>105728648414180</t>
  </si>
  <si>
    <t>Day 25  —  Daily Entry</t>
  </si>
  <si>
    <t>520441143324</t>
  </si>
  <si>
    <t>207345377829216</t>
  </si>
  <si>
    <t>606625732324</t>
  </si>
  <si>
    <t>838571624926086</t>
  </si>
  <si>
    <t>998714469253</t>
  </si>
  <si>
    <t>667819884598328</t>
  </si>
  <si>
    <t>240603027110</t>
  </si>
  <si>
    <t>346995127470101</t>
  </si>
  <si>
    <t>287760614908</t>
  </si>
  <si>
    <t>232142832320021</t>
  </si>
  <si>
    <t>521026772045</t>
  </si>
  <si>
    <t>669354254929056</t>
  </si>
  <si>
    <t>539076177317</t>
  </si>
  <si>
    <t>842055499112905</t>
  </si>
  <si>
    <t>673354181574</t>
  </si>
  <si>
    <t>529576228438072</t>
  </si>
  <si>
    <t>173024194084</t>
  </si>
  <si>
    <t>178772238933860</t>
  </si>
  <si>
    <t>680421453115</t>
  </si>
  <si>
    <t>612907524262049</t>
  </si>
  <si>
    <t>965178276492</t>
  </si>
  <si>
    <t>092798153599322</t>
  </si>
  <si>
    <t>772625168000</t>
  </si>
  <si>
    <t>037636300237833</t>
  </si>
  <si>
    <t>146903184197</t>
  </si>
  <si>
    <t>570565591336887</t>
  </si>
  <si>
    <t>505428779031</t>
  </si>
  <si>
    <t>810175287151322</t>
  </si>
  <si>
    <t>939205082074</t>
  </si>
  <si>
    <t>423755456868547</t>
  </si>
  <si>
    <t>131241983510</t>
  </si>
  <si>
    <t>699528436863325</t>
  </si>
  <si>
    <t>249857040550</t>
  </si>
  <si>
    <t>914019076159774</t>
  </si>
  <si>
    <t>610298513178</t>
  </si>
  <si>
    <t>247157539442642</t>
  </si>
  <si>
    <t>260802537853</t>
  </si>
  <si>
    <t>050063200240442</t>
  </si>
  <si>
    <t>521198220798</t>
  </si>
  <si>
    <t>791618930608491</t>
  </si>
  <si>
    <t>Day 26  —  Daily Entry</t>
  </si>
  <si>
    <t>203389006592</t>
  </si>
  <si>
    <t>343675648887147</t>
  </si>
  <si>
    <t>463539485958</t>
  </si>
  <si>
    <t>114728653958129</t>
  </si>
  <si>
    <t>600586998434</t>
  </si>
  <si>
    <t>925883456150509</t>
  </si>
  <si>
    <t>424322718224</t>
  </si>
  <si>
    <t>636575771783920</t>
  </si>
  <si>
    <t>440762026060</t>
  </si>
  <si>
    <t>364748374970874</t>
  </si>
  <si>
    <t>974722724492</t>
  </si>
  <si>
    <t>249809510966332</t>
  </si>
  <si>
    <t>426717993149</t>
  </si>
  <si>
    <t>647112422724057</t>
  </si>
  <si>
    <t>962883853131</t>
  </si>
  <si>
    <t>080021190052757</t>
  </si>
  <si>
    <t>532161747623</t>
  </si>
  <si>
    <t>991641608838116</t>
  </si>
  <si>
    <t>431088885159</t>
  </si>
  <si>
    <t>067535473452317</t>
  </si>
  <si>
    <t>901062060663</t>
  </si>
  <si>
    <t>777931513326118</t>
  </si>
  <si>
    <t>662327238758</t>
  </si>
  <si>
    <t>918312955341197</t>
  </si>
  <si>
    <t>361515747637</t>
  </si>
  <si>
    <t>888914478064051</t>
  </si>
  <si>
    <t>249566308790</t>
  </si>
  <si>
    <t>448589050424255</t>
  </si>
  <si>
    <t>988634165021</t>
  </si>
  <si>
    <t>640045412159744</t>
  </si>
  <si>
    <t>696051412168</t>
  </si>
  <si>
    <t>834665790679840</t>
  </si>
  <si>
    <t>785336274264</t>
  </si>
  <si>
    <t>345303555186978</t>
  </si>
  <si>
    <t>813080457112</t>
  </si>
  <si>
    <t>009244513468296</t>
  </si>
  <si>
    <t>708890748092</t>
  </si>
  <si>
    <t>706755174881460</t>
  </si>
  <si>
    <t>671854560660</t>
  </si>
  <si>
    <t>692574497138234</t>
  </si>
  <si>
    <t>501154863196</t>
  </si>
  <si>
    <t>873762269344268</t>
  </si>
  <si>
    <t>609658454597</t>
  </si>
  <si>
    <t>623452011653774</t>
  </si>
  <si>
    <t>548643884092</t>
  </si>
  <si>
    <t>019647292319043</t>
  </si>
  <si>
    <t>860567723775</t>
  </si>
  <si>
    <t>536390545935244</t>
  </si>
  <si>
    <t>562672514604</t>
  </si>
  <si>
    <t>658766248209262</t>
  </si>
  <si>
    <t>882641153657</t>
  </si>
  <si>
    <t>508137807029504</t>
  </si>
  <si>
    <t>370416187524</t>
  </si>
  <si>
    <t>687126722740618</t>
  </si>
  <si>
    <t>951991807286</t>
  </si>
  <si>
    <t>665083123841786</t>
  </si>
  <si>
    <t>223467541448</t>
  </si>
  <si>
    <t>312009230476467</t>
  </si>
  <si>
    <t>Day 27  —  Daily Entry</t>
  </si>
  <si>
    <t>981544777684</t>
  </si>
  <si>
    <t>216823414827581</t>
  </si>
  <si>
    <t>923240765607</t>
  </si>
  <si>
    <t>514016776384544</t>
  </si>
  <si>
    <t>934259512883</t>
  </si>
  <si>
    <t>242125267793424</t>
  </si>
  <si>
    <t>504447810389</t>
  </si>
  <si>
    <t>299251762430043</t>
  </si>
  <si>
    <t>128103462768</t>
  </si>
  <si>
    <t>151578032162700</t>
  </si>
  <si>
    <t>232159868957</t>
  </si>
  <si>
    <t>104586680194783</t>
  </si>
  <si>
    <t>264492211443</t>
  </si>
  <si>
    <t>740285896280214</t>
  </si>
  <si>
    <t>472406068396</t>
  </si>
  <si>
    <t>040805419048709</t>
  </si>
  <si>
    <t>839550451712</t>
  </si>
  <si>
    <t>300283258393548</t>
  </si>
  <si>
    <t>740596020016</t>
  </si>
  <si>
    <t>052888472346405</t>
  </si>
  <si>
    <t>237012649876</t>
  </si>
  <si>
    <t>705252027745172</t>
  </si>
  <si>
    <t>484661430554</t>
  </si>
  <si>
    <t>105491123861272</t>
  </si>
  <si>
    <t>843449218570</t>
  </si>
  <si>
    <t>505844745352288</t>
  </si>
  <si>
    <t>814976568161</t>
  </si>
  <si>
    <t>225330749420398</t>
  </si>
  <si>
    <t>739775875896</t>
  </si>
  <si>
    <t>534873696726099</t>
  </si>
  <si>
    <t>677908230284</t>
  </si>
  <si>
    <t>172577085212915</t>
  </si>
  <si>
    <t>589227419224</t>
  </si>
  <si>
    <t>847560266828619</t>
  </si>
  <si>
    <t>628556096114</t>
  </si>
  <si>
    <t>929351596957994</t>
  </si>
  <si>
    <t>297525697201</t>
  </si>
  <si>
    <t>277341754743293</t>
  </si>
  <si>
    <t>665859089302</t>
  </si>
  <si>
    <t>328995093796458</t>
  </si>
  <si>
    <t>561077451326</t>
  </si>
  <si>
    <t>568269205259464</t>
  </si>
  <si>
    <t>590098075886</t>
  </si>
  <si>
    <t>848170341701689</t>
  </si>
  <si>
    <t>Day 28  —  Daily Entry</t>
  </si>
  <si>
    <t>323818448580</t>
  </si>
  <si>
    <t>332912817413743</t>
  </si>
  <si>
    <t>991167610373</t>
  </si>
  <si>
    <t>842230934517923</t>
  </si>
  <si>
    <t>686419073574</t>
  </si>
  <si>
    <t>439630131492532</t>
  </si>
  <si>
    <t>203973162802</t>
  </si>
  <si>
    <t>710491113595137</t>
  </si>
  <si>
    <t>806737708773</t>
  </si>
  <si>
    <t>474225722011411</t>
  </si>
  <si>
    <t>677354626435</t>
  </si>
  <si>
    <t>718343240742264</t>
  </si>
  <si>
    <t>667647269816</t>
  </si>
  <si>
    <t>761463873216747</t>
  </si>
  <si>
    <t>890346650893</t>
  </si>
  <si>
    <t>059547592665656</t>
  </si>
  <si>
    <t>269154320698</t>
  </si>
  <si>
    <t>935041133686234</t>
  </si>
  <si>
    <t>987456574020</t>
  </si>
  <si>
    <t>951111235834218</t>
  </si>
  <si>
    <t>950823255769</t>
  </si>
  <si>
    <t>591178231390199</t>
  </si>
  <si>
    <t>395695557357</t>
  </si>
  <si>
    <t>410974663144540</t>
  </si>
  <si>
    <t>396105509887</t>
  </si>
  <si>
    <t>753063917526837</t>
  </si>
  <si>
    <t>410261568023</t>
  </si>
  <si>
    <t>118778951540019</t>
  </si>
  <si>
    <t>713771262389</t>
  </si>
  <si>
    <t>474740120610591</t>
  </si>
  <si>
    <t>823333880682</t>
  </si>
  <si>
    <t>194538070455017</t>
  </si>
  <si>
    <t>554141945806</t>
  </si>
  <si>
    <t>821690595336198</t>
  </si>
  <si>
    <t>234441607296</t>
  </si>
  <si>
    <t>140556536351362</t>
  </si>
  <si>
    <t>703980043941</t>
  </si>
  <si>
    <t>198182272160310</t>
  </si>
  <si>
    <t>389904659241</t>
  </si>
  <si>
    <t>591140819901126</t>
  </si>
  <si>
    <t>687695715742</t>
  </si>
  <si>
    <t>596001230313360</t>
  </si>
  <si>
    <t>354825378328</t>
  </si>
  <si>
    <t>270333376991536</t>
  </si>
  <si>
    <t>308219983525</t>
  </si>
  <si>
    <t>490880560335492</t>
  </si>
  <si>
    <t>432840925189</t>
  </si>
  <si>
    <t>958968389221387</t>
  </si>
  <si>
    <t>900795385085</t>
  </si>
  <si>
    <t>999556728010783</t>
  </si>
  <si>
    <t>464564870736</t>
  </si>
  <si>
    <t>835270941687549</t>
  </si>
  <si>
    <t>938005414379</t>
  </si>
  <si>
    <t>623073879852250</t>
  </si>
  <si>
    <t>387067695853</t>
  </si>
  <si>
    <t>202468414259018</t>
  </si>
  <si>
    <t>239703277227</t>
  </si>
  <si>
    <t>087322330921843</t>
  </si>
  <si>
    <t>614236932696</t>
  </si>
  <si>
    <t>845884219736196</t>
  </si>
  <si>
    <t>284330082087</t>
  </si>
  <si>
    <t>595770144685884</t>
  </si>
  <si>
    <t>Day 29  —  Daily Entry</t>
  </si>
  <si>
    <t>833672875394</t>
  </si>
  <si>
    <t>340481727725033</t>
  </si>
  <si>
    <t>612162059612</t>
  </si>
  <si>
    <t>557033654935720</t>
  </si>
  <si>
    <t>453131544024</t>
  </si>
  <si>
    <t>004632101802475</t>
  </si>
  <si>
    <t>646546571302</t>
  </si>
  <si>
    <t>077322149582441</t>
  </si>
  <si>
    <t>883194983707</t>
  </si>
  <si>
    <t>803469167322973</t>
  </si>
  <si>
    <t>407775313064</t>
  </si>
  <si>
    <t>819429000301985</t>
  </si>
  <si>
    <t>682922961314</t>
  </si>
  <si>
    <t>756234962661149</t>
  </si>
  <si>
    <t>550929702264</t>
  </si>
  <si>
    <t>899105743561354</t>
  </si>
  <si>
    <t>953017970801</t>
  </si>
  <si>
    <t>806783720622865</t>
  </si>
  <si>
    <t>281314591187</t>
  </si>
  <si>
    <t>758057751205365</t>
  </si>
  <si>
    <t>793524126123</t>
  </si>
  <si>
    <t>980303561688185</t>
  </si>
  <si>
    <t>418396351971</t>
  </si>
  <si>
    <t>062106689587142</t>
  </si>
  <si>
    <t>741642178416</t>
  </si>
  <si>
    <t>504216079343287</t>
  </si>
  <si>
    <t>614575803975</t>
  </si>
  <si>
    <t>215803148459105</t>
  </si>
  <si>
    <t>937201919719</t>
  </si>
  <si>
    <t>003931408010269</t>
  </si>
  <si>
    <t>557151160503</t>
  </si>
  <si>
    <t>211026055135769</t>
  </si>
  <si>
    <t>280860034368</t>
  </si>
  <si>
    <t>703493338176632</t>
  </si>
  <si>
    <t>183404555460</t>
  </si>
  <si>
    <t>063018336428974</t>
  </si>
  <si>
    <t>298911165203</t>
  </si>
  <si>
    <t>626230294086453</t>
  </si>
  <si>
    <t>399568599293</t>
  </si>
  <si>
    <t>502626831078961</t>
  </si>
  <si>
    <t>306891916818</t>
  </si>
  <si>
    <t>757002764884423</t>
  </si>
  <si>
    <t>962559240446</t>
  </si>
  <si>
    <t>524477520954096</t>
  </si>
  <si>
    <t>480481237139</t>
  </si>
  <si>
    <t>873315033665938</t>
  </si>
  <si>
    <t>314237278654</t>
  </si>
  <si>
    <t>310968184609446</t>
  </si>
  <si>
    <t>639595219159</t>
  </si>
  <si>
    <t>636367311875625</t>
  </si>
  <si>
    <t>102731398119</t>
  </si>
  <si>
    <t>129546928135847</t>
  </si>
  <si>
    <t>578419949518</t>
  </si>
  <si>
    <t>018832448298863</t>
  </si>
  <si>
    <t>419592451367</t>
  </si>
  <si>
    <t>529695021662719</t>
  </si>
  <si>
    <t>Day 30  —  Daily Entry</t>
  </si>
  <si>
    <t>908094358787</t>
  </si>
  <si>
    <t>915506678056602</t>
  </si>
  <si>
    <t>424597915676</t>
  </si>
  <si>
    <t>929850832218314</t>
  </si>
  <si>
    <t>904107329858</t>
  </si>
  <si>
    <t>433904821630160</t>
  </si>
  <si>
    <t>958174240613</t>
  </si>
  <si>
    <t>652332102664791</t>
  </si>
  <si>
    <t>151541530273</t>
  </si>
  <si>
    <t>407767371146486</t>
  </si>
  <si>
    <t>474666375820</t>
  </si>
  <si>
    <t>767995460153177</t>
  </si>
  <si>
    <t>386546696092</t>
  </si>
  <si>
    <t>490446303238625</t>
  </si>
  <si>
    <t>703582295608</t>
  </si>
  <si>
    <t>684493861141930</t>
  </si>
  <si>
    <t>957957408043</t>
  </si>
  <si>
    <t>481506480099311</t>
  </si>
  <si>
    <t>388707879618</t>
  </si>
  <si>
    <t>052241321519994</t>
  </si>
  <si>
    <t>683004034000</t>
  </si>
  <si>
    <t>701316526562094</t>
  </si>
  <si>
    <t>889424293137</t>
  </si>
  <si>
    <t>414927607147916</t>
  </si>
  <si>
    <t>970060236070</t>
  </si>
  <si>
    <t>190806539682640</t>
  </si>
  <si>
    <t>616635112969</t>
  </si>
  <si>
    <t>631663993724612</t>
  </si>
  <si>
    <t>641190337207</t>
  </si>
  <si>
    <t>355423502358041</t>
  </si>
  <si>
    <t>870633166383</t>
  </si>
  <si>
    <t>091309635716383</t>
  </si>
  <si>
    <t>274917512377</t>
  </si>
  <si>
    <t>676410582683033</t>
  </si>
  <si>
    <t>574675071011</t>
  </si>
  <si>
    <t>551213220699817</t>
  </si>
  <si>
    <t>667255637872</t>
  </si>
  <si>
    <t>010261561809911</t>
  </si>
  <si>
    <t>931661158835</t>
  </si>
  <si>
    <t>310217537286364</t>
  </si>
  <si>
    <t>161798471054</t>
  </si>
  <si>
    <t>402404978189649</t>
  </si>
  <si>
    <t>976462727391</t>
  </si>
  <si>
    <t>545983800275098</t>
  </si>
  <si>
    <t>605931743033</t>
  </si>
  <si>
    <t>046381222588191</t>
  </si>
  <si>
    <t>882121353703</t>
  </si>
  <si>
    <t>770311865715530</t>
  </si>
  <si>
    <t>122960581156</t>
  </si>
  <si>
    <t>189335038165351</t>
  </si>
  <si>
    <t>222775873217</t>
  </si>
  <si>
    <t>034062550790486</t>
  </si>
  <si>
    <t>941498513629</t>
  </si>
  <si>
    <t>457360682749362</t>
  </si>
  <si>
    <t>138975358799</t>
  </si>
  <si>
    <t>403664194350010</t>
  </si>
  <si>
    <t>276914682461</t>
  </si>
  <si>
    <t>167961565491065</t>
  </si>
  <si>
    <t>805174594524</t>
  </si>
  <si>
    <t>403410728879255</t>
  </si>
  <si>
    <t>Day 31  —  Daily Entry</t>
  </si>
  <si>
    <t>811618816831</t>
  </si>
  <si>
    <t>086562957371927</t>
  </si>
  <si>
    <t>498922935679</t>
  </si>
  <si>
    <t>971976116973205</t>
  </si>
  <si>
    <t>236992331853</t>
  </si>
  <si>
    <t>376535869464394</t>
  </si>
  <si>
    <t>238192480143</t>
  </si>
  <si>
    <t>572760520835562</t>
  </si>
  <si>
    <t>798974896811</t>
  </si>
  <si>
    <t>907705747009027</t>
  </si>
  <si>
    <t>563505466406</t>
  </si>
  <si>
    <t>512306997104636</t>
  </si>
  <si>
    <t>864636150465</t>
  </si>
  <si>
    <t>672721155500776</t>
  </si>
  <si>
    <t>205279188891</t>
  </si>
  <si>
    <t>997177497444850</t>
  </si>
  <si>
    <t>452560216536</t>
  </si>
  <si>
    <t>137654910622202</t>
  </si>
  <si>
    <t>478122011657</t>
  </si>
  <si>
    <t>719049392389021</t>
  </si>
  <si>
    <t>768814354745</t>
  </si>
  <si>
    <t>298780350689716</t>
  </si>
  <si>
    <t>976667033915</t>
  </si>
  <si>
    <t>126583698345710</t>
  </si>
  <si>
    <t>630679811497</t>
  </si>
  <si>
    <t>194992143508759</t>
  </si>
  <si>
    <t>162552119657</t>
  </si>
  <si>
    <t>530624683683030</t>
  </si>
  <si>
    <t>471396354497</t>
  </si>
  <si>
    <t>943415593137546</t>
  </si>
  <si>
    <t>454978094445</t>
  </si>
  <si>
    <t>620043550266400</t>
  </si>
  <si>
    <t>896995392316</t>
  </si>
  <si>
    <t>309675590227928</t>
  </si>
  <si>
    <t>308667108266</t>
  </si>
  <si>
    <t>966392421055565</t>
  </si>
  <si>
    <t>366705386102</t>
  </si>
  <si>
    <t>434455172997150</t>
  </si>
  <si>
    <t>279956461855</t>
  </si>
  <si>
    <t>030957473594729</t>
  </si>
  <si>
    <t>574384056288</t>
  </si>
  <si>
    <t>321554061649036</t>
  </si>
  <si>
    <t>248620512887</t>
  </si>
  <si>
    <t>298757716747773</t>
  </si>
  <si>
    <t>764944769271</t>
  </si>
  <si>
    <t>747233199557725</t>
  </si>
  <si>
    <t>870955960554</t>
  </si>
  <si>
    <t>133139194682057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</si>
</sst>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.00"/>
    <numFmt numFmtId="165" formatCode="\$#,##0"/>
    <numFmt numFmtId="166" formatCode=";;;"/>
  </numFmts>
  <fonts count="23" x14ac:knownFonts="1">
    <font>
      <sz val="11"/>
      <color theme="1"/>
      <name val="Calibri"/>
      <family val="2"/>
      <scheme val="minor"/>
    </font>
    <font>
      <b/>
      <sz val="13"/>
      <color rgb="FFFFFFFF"/>
      <name val="Calibri"/>
    </font>
    <font>
      <b/>
      <sz val="8"/>
      <color rgb="FF7A5300"/>
      <name val="Calibri"/>
    </font>
    <font>
      <b/>
      <sz val="9"/>
      <color rgb="FFFFFFFF"/>
      <name val="Calibri"/>
    </font>
    <font>
      <i/>
      <sz val="9"/>
      <color rgb="FF5A6473"/>
      <name val="Calibri"/>
    </font>
    <font>
      <b/>
      <sz val="11"/>
      <color rgb="FFFFFFFF"/>
      <name val="Calibri"/>
    </font>
    <font>
      <b/>
      <sz val="11"/>
      <name val="Calibri"/>
    </font>
    <font>
      <b/>
      <sz val="20"/>
      <color rgb="FFE8EEF5"/>
      <name val="Segoe UI"/>
    </font>
    <font>
      <i/>
      <sz val="9"/>
      <color rgb="FF8A97A6"/>
      <name val="Segoe UI"/>
    </font>
    <font>
      <b/>
      <sz val="9"/>
      <color rgb="FF7A5300"/>
      <name val="Segoe UI"/>
    </font>
    <font>
      <b/>
      <sz val="9"/>
      <color rgb="FFE20074"/>
      <name val="Segoe UI"/>
    </font>
    <font>
      <b/>
      <sz val="34"/>
      <color rgb="FFE8EEF5"/>
      <name val="Segoe UI"/>
    </font>
    <font>
      <sz val="8"/>
      <color rgb="FF8A97A6"/>
      <name val="Segoe UI"/>
    </font>
    <font>
      <b/>
      <sz val="13"/>
      <color rgb="FF8A97A6"/>
      <name val="Segoe UI"/>
    </font>
    <font>
      <b/>
      <sz val="11"/>
      <color rgb="FF3FD07A"/>
      <name val="Segoe UI"/>
    </font>
    <font>
      <b/>
      <sz val="10"/>
      <color rgb="FF8A97A6"/>
      <name val="Segoe UI"/>
    </font>
    <font>
      <sz val="10"/>
      <color rgb="FFE8EEF5"/>
      <name val="Segoe UI"/>
    </font>
    <font>
      <b/>
      <sz val="10"/>
      <color rgb="FF3FD07A"/>
      <name val="Segoe UI"/>
    </font>
    <font>
      <sz val="10"/>
      <color rgb="FF8A97A6"/>
      <name val="Segoe UI"/>
    </font>
    <font>
      <b/>
      <sz val="10"/>
      <color rgb="FFF5A623"/>
      <name val="Segoe UI"/>
    </font>
    <font>
      <b/>
      <sz val="8"/>
      <color rgb="FF8A97A6"/>
      <name val="Segoe UI"/>
    </font>
    <font>
      <b/>
      <sz val="9"/>
      <color rgb="FF8A97A6"/>
      <name val="Segoe UI"/>
    </font>
    <font>
      <b/>
      <sz val="16"/>
      <color rgb="FFE8EEF5"/>
      <name val="Segoe UI"/>
    </font>
  </fonts>
  <fills count="10">
    <fill>
      <patternFill patternType="none"/>
    </fill>
    <fill>
      <patternFill patternType="gray125"/>
    </fill>
    <fill>
      <patternFill patternType="solid">
        <fgColor rgb="FF1A1A1A"/>
      </patternFill>
    </fill>
    <fill>
      <patternFill patternType="solid">
        <fgColor rgb="FFFFF2CC"/>
      </patternFill>
    </fill>
    <fill>
      <patternFill patternType="solid">
        <fgColor rgb="FFE20074"/>
      </patternFill>
    </fill>
    <fill>
      <patternFill patternType="solid">
        <fgColor rgb="FFF7F8FA"/>
      </patternFill>
    </fill>
    <fill>
      <patternFill patternType="solid">
        <fgColor rgb="FFFCE4EF"/>
      </patternFill>
    </fill>
    <fill>
      <patternFill patternType="solid">
        <fgColor rgb="FF0F1419"/>
      </patternFill>
    </fill>
    <fill>
      <patternFill patternType="solid">
        <fgColor rgb="FF232D3A"/>
      </patternFill>
    </fill>
    <fill>
      <patternFill patternType="solid">
        <fgColor rgb="FF1A212B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2C3847"/>
      </top>
      <bottom/>
      <diagonal/>
    </border>
    <border>
      <left/>
      <right/>
      <top/>
      <bottom style="thin">
        <color rgb="FF2C3847"/>
      </bottom>
      <diagonal/>
    </border>
    <border>
      <left style="thin">
        <color rgb="FF2C3847"/>
      </left>
      <right/>
      <top/>
      <bottom/>
      <diagonal/>
    </border>
    <border>
      <left/>
      <right style="thin">
        <color rgb="FF2C3847"/>
      </right>
      <top/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7" borderId="0" xfId="0" applyFill="1"/>
    <xf numFmtId="0" fontId="0" fillId="8" borderId="4" xfId="0" applyFill="1" applyBorder="1"/>
    <xf numFmtId="0" fontId="0" fillId="8" borderId="2" xfId="0" applyFill="1" applyBorder="1"/>
    <xf numFmtId="0" fontId="0" fillId="8" borderId="5" xfId="0" applyFill="1" applyBorder="1"/>
    <xf numFmtId="0" fontId="0" fillId="9" borderId="4" xfId="0" applyFill="1" applyBorder="1"/>
    <xf numFmtId="0" fontId="0" fillId="9" borderId="2" xfId="0" applyFill="1" applyBorder="1"/>
    <xf numFmtId="0" fontId="0" fillId="9" borderId="5" xfId="0" applyFill="1" applyBorder="1"/>
    <xf numFmtId="0" fontId="0" fillId="8" borderId="0" xfId="0" applyFill="1"/>
    <xf numFmtId="0" fontId="0" fillId="9" borderId="0" xfId="0" applyFill="1"/>
    <xf numFmtId="0" fontId="0" fillId="8" borderId="3" xfId="0" applyFill="1" applyBorder="1"/>
    <xf numFmtId="0" fontId="0" fillId="9" borderId="3" xfId="0" applyFill="1" applyBorder="1"/>
    <xf numFmtId="0" fontId="3" fillId="4" borderId="1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0" fillId="0" borderId="1" xfId="0" applyBorder="1"/>
    <xf numFmtId="165" fontId="0" fillId="0" borderId="1" xfId="0" applyNumberFormat="1" applyBorder="1"/>
    <xf numFmtId="9" fontId="0" fillId="0" borderId="1" xfId="0" applyNumberFormat="1" applyBorder="1"/>
    <xf numFmtId="164" fontId="0" fillId="0" borderId="1" xfId="0" applyNumberFormat="1" applyBorder="1"/>
    <xf numFmtId="0" fontId="5" fillId="4" borderId="0" xfId="0" applyFont="1" applyFill="1"/>
    <xf numFmtId="0" fontId="6" fillId="6" borderId="1" xfId="0" applyFont="1" applyFill="1" applyBorder="1"/>
    <xf numFmtId="164" fontId="6" fillId="6" borderId="1" xfId="0" applyNumberFormat="1" applyFont="1" applyFill="1" applyBorder="1"/>
    <xf numFmtId="0" fontId="20" fillId="9" borderId="0" xfId="0" applyFont="1" applyFill="1" applyAlignment="1">
      <alignment horizontal="left" vertical="center"/>
    </xf>
    <xf numFmtId="0" fontId="0" fillId="0" borderId="0" xfId="0"/>
    <xf numFmtId="165" fontId="22" fillId="9" borderId="0" xfId="0" applyNumberFormat="1" applyFont="1" applyFill="1" applyAlignment="1">
      <alignment horizontal="left" vertical="center"/>
    </xf>
    <xf numFmtId="0" fontId="16" fillId="9" borderId="0" xfId="0" applyFont="1" applyFill="1" applyAlignment="1">
      <alignment horizontal="left" vertical="center"/>
    </xf>
    <xf numFmtId="0" fontId="21" fillId="9" borderId="0" xfId="0" applyFont="1" applyFill="1" applyAlignment="1">
      <alignment horizontal="right" vertical="center"/>
    </xf>
    <xf numFmtId="0" fontId="10" fillId="8" borderId="0" xfId="0" applyFont="1" applyFill="1" applyAlignment="1">
      <alignment horizontal="left" vertical="center"/>
    </xf>
    <xf numFmtId="3" fontId="22" fillId="9" borderId="0" xfId="0" applyNumberFormat="1" applyFont="1" applyFill="1" applyAlignment="1">
      <alignment horizontal="left" vertical="center"/>
    </xf>
    <xf numFmtId="0" fontId="10" fillId="9" borderId="0" xfId="0" applyFont="1" applyFill="1" applyAlignment="1">
      <alignment horizontal="left" vertical="center"/>
    </xf>
    <xf numFmtId="3" fontId="13" fillId="8" borderId="0" xfId="0" applyNumberFormat="1" applyFont="1" applyFill="1" applyAlignment="1">
      <alignment horizontal="right" vertical="center"/>
    </xf>
    <xf numFmtId="0" fontId="8" fillId="7" borderId="0" xfId="0" applyFont="1" applyFill="1" applyAlignment="1">
      <alignment horizontal="left" vertical="center"/>
    </xf>
    <xf numFmtId="3" fontId="17" fillId="9" borderId="0" xfId="0" applyNumberFormat="1" applyFont="1" applyFill="1" applyAlignment="1">
      <alignment horizontal="right" vertical="center"/>
    </xf>
    <xf numFmtId="166" fontId="0" fillId="9" borderId="0" xfId="0" applyNumberFormat="1" applyFill="1"/>
    <xf numFmtId="0" fontId="14" fillId="8" borderId="0" xfId="0" applyFont="1" applyFill="1" applyAlignment="1">
      <alignment horizontal="left" vertical="center"/>
    </xf>
    <xf numFmtId="0" fontId="9" fillId="3" borderId="0" xfId="0" applyFont="1" applyFill="1" applyAlignment="1">
      <alignment horizontal="center" vertical="center"/>
    </xf>
    <xf numFmtId="0" fontId="0" fillId="3" borderId="0" xfId="0" applyFill="1"/>
    <xf numFmtId="0" fontId="7" fillId="7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right" vertical="center"/>
    </xf>
    <xf numFmtId="3" fontId="19" fillId="9" borderId="0" xfId="0" applyNumberFormat="1" applyFont="1" applyFill="1" applyAlignment="1">
      <alignment horizontal="right" vertical="center"/>
    </xf>
    <xf numFmtId="0" fontId="15" fillId="8" borderId="0" xfId="0" applyFont="1" applyFill="1" applyAlignment="1">
      <alignment horizontal="right" vertical="center"/>
    </xf>
    <xf numFmtId="166" fontId="0" fillId="8" borderId="0" xfId="0" applyNumberFormat="1" applyFill="1"/>
    <xf numFmtId="0" fontId="18" fillId="9" borderId="0" xfId="0" applyFont="1" applyFill="1" applyAlignment="1">
      <alignment horizontal="left" vertical="center"/>
    </xf>
    <xf numFmtId="3" fontId="11" fillId="8" borderId="0" xfId="0" applyNumberFormat="1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left" vertical="center"/>
    </xf>
    <xf numFmtId="0" fontId="4" fillId="5" borderId="1" xfId="0" applyFont="1" applyFill="1" applyBorder="1" applyAlignment="1">
      <alignment horizontal="left" vertical="top" wrapText="1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Dashboard!$AU$1</c:f>
              <c:strCache>
                <c:ptCount val="1"/>
                <c:pt idx="0">
                  <c:v>Actual</c:v>
                </c:pt>
              </c:strCache>
            </c:strRef>
          </c:tx>
          <c:spPr>
            <a:ln w="30000">
              <a:solidFill>
                <a:srgbClr val="E20074"/>
              </a:solidFill>
              <a:prstDash val="solid"/>
            </a:ln>
          </c:spPr>
          <c:marker>
            <c:symbol val="none"/>
          </c:marker>
          <c:cat>
            <c:numRef>
              <c:f>Dashboard!$AT$2:$AT$32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Dashboard!$AU$2:$AU$32</c:f>
              <c:numCache>
                <c:formatCode>General</c:formatCode>
                <c:ptCount val="31"/>
                <c:pt idx="0">
                  <c:v>17</c:v>
                </c:pt>
                <c:pt idx="1">
                  <c:v>34</c:v>
                </c:pt>
                <c:pt idx="2">
                  <c:v>52</c:v>
                </c:pt>
                <c:pt idx="3">
                  <c:v>71</c:v>
                </c:pt>
                <c:pt idx="4">
                  <c:v>89</c:v>
                </c:pt>
                <c:pt idx="5">
                  <c:v>104</c:v>
                </c:pt>
                <c:pt idx="6">
                  <c:v>126</c:v>
                </c:pt>
                <c:pt idx="7">
                  <c:v>151</c:v>
                </c:pt>
                <c:pt idx="8">
                  <c:v>168</c:v>
                </c:pt>
                <c:pt idx="9">
                  <c:v>190</c:v>
                </c:pt>
                <c:pt idx="10">
                  <c:v>208</c:v>
                </c:pt>
                <c:pt idx="11">
                  <c:v>224</c:v>
                </c:pt>
                <c:pt idx="12">
                  <c:v>244</c:v>
                </c:pt>
                <c:pt idx="13">
                  <c:v>260</c:v>
                </c:pt>
                <c:pt idx="14">
                  <c:v>276</c:v>
                </c:pt>
                <c:pt idx="15">
                  <c:v>300</c:v>
                </c:pt>
                <c:pt idx="16">
                  <c:v>317</c:v>
                </c:pt>
                <c:pt idx="17">
                  <c:v>332</c:v>
                </c:pt>
                <c:pt idx="18">
                  <c:v>346</c:v>
                </c:pt>
                <c:pt idx="19">
                  <c:v>360</c:v>
                </c:pt>
                <c:pt idx="20">
                  <c:v>380</c:v>
                </c:pt>
                <c:pt idx="21">
                  <c:v>397</c:v>
                </c:pt>
                <c:pt idx="22">
                  <c:v>411</c:v>
                </c:pt>
                <c:pt idx="23">
                  <c:v>434</c:v>
                </c:pt>
                <c:pt idx="24">
                  <c:v>444</c:v>
                </c:pt>
                <c:pt idx="25">
                  <c:v>466</c:v>
                </c:pt>
                <c:pt idx="26">
                  <c:v>478</c:v>
                </c:pt>
                <c:pt idx="27">
                  <c:v>495</c:v>
                </c:pt>
                <c:pt idx="28">
                  <c:v>513</c:v>
                </c:pt>
                <c:pt idx="29">
                  <c:v>536</c:v>
                </c:pt>
                <c:pt idx="30">
                  <c:v>553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AE-41C9-8212-7B42EE205F4C}"/>
            </c:ext>
          </c:extLst>
        </c:ser>
        <c:ser>
          <c:idx val="1"/>
          <c:order val="1"/>
          <c:tx>
            <c:strRef>
              <c:f>Dashboard!$AV$1</c:f>
              <c:strCache>
                <c:ptCount val="1"/>
                <c:pt idx="0">
                  <c:v>Pace</c:v>
                </c:pt>
              </c:strCache>
            </c:strRef>
          </c:tx>
          <c:spPr>
            <a:ln w="14000">
              <a:solidFill>
                <a:srgbClr val="55637A"/>
              </a:solidFill>
              <a:prstDash val="dash"/>
            </a:ln>
          </c:spPr>
          <c:marker>
            <c:symbol val="none"/>
          </c:marker>
          <c:cat>
            <c:numRef>
              <c:f>Dashboard!$AT$2:$AT$32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Dashboard!$AV$2:$AV$32</c:f>
              <c:numCache>
                <c:formatCode>General</c:formatCode>
                <c:ptCount val="31"/>
                <c:pt idx="0">
                  <c:v>17.419354838709676</c:v>
                </c:pt>
                <c:pt idx="1">
                  <c:v>34.838709677419352</c:v>
                </c:pt>
                <c:pt idx="2">
                  <c:v>52.258064516129032</c:v>
                </c:pt>
                <c:pt idx="3">
                  <c:v>69.677419354838705</c:v>
                </c:pt>
                <c:pt idx="4">
                  <c:v>87.096774193548384</c:v>
                </c:pt>
                <c:pt idx="5">
                  <c:v>104.51612903225806</c:v>
                </c:pt>
                <c:pt idx="6">
                  <c:v>121.93548387096774</c:v>
                </c:pt>
                <c:pt idx="7">
                  <c:v>139.35483870967741</c:v>
                </c:pt>
                <c:pt idx="8">
                  <c:v>156.7741935483871</c:v>
                </c:pt>
                <c:pt idx="9">
                  <c:v>174.19354838709677</c:v>
                </c:pt>
                <c:pt idx="10">
                  <c:v>191.61290322580646</c:v>
                </c:pt>
                <c:pt idx="11">
                  <c:v>209.03225806451613</c:v>
                </c:pt>
                <c:pt idx="12">
                  <c:v>226.45161290322579</c:v>
                </c:pt>
                <c:pt idx="13">
                  <c:v>243.87096774193549</c:v>
                </c:pt>
                <c:pt idx="14">
                  <c:v>261.29032258064518</c:v>
                </c:pt>
                <c:pt idx="15">
                  <c:v>278.70967741935482</c:v>
                </c:pt>
                <c:pt idx="16">
                  <c:v>296.12903225806451</c:v>
                </c:pt>
                <c:pt idx="17">
                  <c:v>313.54838709677421</c:v>
                </c:pt>
                <c:pt idx="18">
                  <c:v>330.96774193548384</c:v>
                </c:pt>
                <c:pt idx="19">
                  <c:v>348.38709677419354</c:v>
                </c:pt>
                <c:pt idx="20">
                  <c:v>365.80645161290323</c:v>
                </c:pt>
                <c:pt idx="21">
                  <c:v>383.22580645161293</c:v>
                </c:pt>
                <c:pt idx="22">
                  <c:v>400.64516129032256</c:v>
                </c:pt>
                <c:pt idx="23">
                  <c:v>418.06451612903226</c:v>
                </c:pt>
                <c:pt idx="24">
                  <c:v>435.48387096774195</c:v>
                </c:pt>
                <c:pt idx="25">
                  <c:v>452.90322580645159</c:v>
                </c:pt>
                <c:pt idx="26">
                  <c:v>470.32258064516128</c:v>
                </c:pt>
                <c:pt idx="27">
                  <c:v>487.74193548387098</c:v>
                </c:pt>
                <c:pt idx="28">
                  <c:v>505.16129032258067</c:v>
                </c:pt>
                <c:pt idx="29">
                  <c:v>522.58064516129036</c:v>
                </c:pt>
                <c:pt idx="30">
                  <c:v>540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AE-41C9-8212-7B42EE205F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2C3847"/>
            </a:solidFill>
            <a:prstDash val="solid"/>
          </a:ln>
        </c:spPr>
        <c:txPr>
          <a:bodyPr/>
          <a:lstStyle/>
          <a:p>
            <a:pPr>
              <a:defRPr sz="800">
                <a:solidFill>
                  <a:srgbClr val="8A97A6"/>
                </a:solidFill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>
            <a:solidFill>
              <a:srgbClr val="2C3847"/>
            </a:solidFill>
            <a:prstDash val="solid"/>
          </a:ln>
        </c:spPr>
        <c:txPr>
          <a:bodyPr/>
          <a:lstStyle/>
          <a:p>
            <a:pPr>
              <a:defRPr sz="800">
                <a:solidFill>
                  <a:srgbClr val="8A97A6"/>
                </a:solidFill>
              </a:defRPr>
            </a:pPr>
            <a:endParaRPr lang="en-US"/>
          </a:p>
        </c:txPr>
        <c:crossAx val="10"/>
        <c:crosses val="autoZero"/>
        <c:crossBetween val="between"/>
      </c:valAx>
      <c:spPr>
        <a:solidFill>
          <a:srgbClr val="1A212B"/>
        </a:solidFill>
        <a:ln>
          <a:noFill/>
          <a:prstDash val="solid"/>
        </a:ln>
      </c:spPr>
    </c:plotArea>
    <c:legend>
      <c:legendPos val="t"/>
      <c:overlay val="0"/>
      <c:txPr>
        <a:bodyPr/>
        <a:lstStyle/>
        <a:p>
          <a:pPr>
            <a:defRPr sz="850">
              <a:solidFill>
                <a:srgbClr val="8A97A6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1A212B"/>
    </a:solidFill>
    <a:ln>
      <a:noFill/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27</xdr:row>
      <xdr:rowOff>0</xdr:rowOff>
    </xdr:from>
    <xdr:ext cx="6443999" cy="2484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42"/>
  <sheetViews>
    <sheetView showGridLines="0" workbookViewId="0"/>
  </sheetViews>
  <sheetFormatPr defaultRowHeight="15" x14ac:dyDescent="0.25"/>
  <cols>
    <col min="1" max="44" width="2.42578125" customWidth="1"/>
  </cols>
  <sheetData>
    <row r="1" spans="1:51" ht="1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T1" t="s">
        <v>0</v>
      </c>
      <c r="AU1" t="s">
        <v>1</v>
      </c>
      <c r="AV1" t="s">
        <v>2</v>
      </c>
      <c r="AY1">
        <f>'Team Leaderboard'!$E$4+0/100000</f>
        <v>37</v>
      </c>
    </row>
    <row r="2" spans="1:51" ht="15" customHeight="1" x14ac:dyDescent="0.25">
      <c r="A2" s="1"/>
      <c r="B2" s="36" t="s">
        <v>3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1"/>
      <c r="Z2" s="1"/>
      <c r="AA2" s="1"/>
      <c r="AB2" s="1"/>
      <c r="AC2" s="1"/>
      <c r="AD2" s="1"/>
      <c r="AE2" s="1"/>
      <c r="AF2" s="1"/>
      <c r="AG2" s="34" t="s">
        <v>4</v>
      </c>
      <c r="AH2" s="35"/>
      <c r="AI2" s="35"/>
      <c r="AJ2" s="35"/>
      <c r="AK2" s="35"/>
      <c r="AL2" s="35"/>
      <c r="AM2" s="35"/>
      <c r="AN2" s="35"/>
      <c r="AO2" s="35"/>
      <c r="AP2" s="35"/>
      <c r="AQ2" s="35"/>
      <c r="AR2" s="1"/>
      <c r="AT2">
        <v>1</v>
      </c>
      <c r="AU2">
        <f>SUM('1'!Q16)+SUM('1'!R16)</f>
        <v>17</v>
      </c>
      <c r="AV2">
        <f>('Store Total'!$C$4+'Store Total'!$C$5)*1/31</f>
        <v>17.419354838709676</v>
      </c>
      <c r="AY2">
        <f>'Team Leaderboard'!$E$5+1/100000</f>
        <v>64.000010000000003</v>
      </c>
    </row>
    <row r="3" spans="1:51" ht="15" customHeight="1" x14ac:dyDescent="0.25">
      <c r="A3" s="1"/>
      <c r="B3" s="30" t="s">
        <v>5</v>
      </c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T3">
        <v>2</v>
      </c>
      <c r="AU3">
        <f>SUM('1:2'!Q16)+SUM('1:2'!R16)</f>
        <v>34</v>
      </c>
      <c r="AV3">
        <f>('Store Total'!$C$4+'Store Total'!$C$5)*2/31</f>
        <v>34.838709677419352</v>
      </c>
      <c r="AY3">
        <f>'Team Leaderboard'!$E$6+2/100000</f>
        <v>44.000019999999999</v>
      </c>
    </row>
    <row r="4" spans="1:51" ht="15" customHeight="1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T4">
        <v>3</v>
      </c>
      <c r="AU4">
        <f>SUM('1:3'!Q16)+SUM('1:3'!R16)</f>
        <v>52</v>
      </c>
      <c r="AV4">
        <f>('Store Total'!$C$4+'Store Total'!$C$5)*3/31</f>
        <v>52.258064516129032</v>
      </c>
      <c r="AY4">
        <f>'Team Leaderboard'!$E$7+3/100000</f>
        <v>53.000030000000002</v>
      </c>
    </row>
    <row r="5" spans="1:51" ht="15" customHeight="1" x14ac:dyDescent="0.25">
      <c r="A5" s="1"/>
      <c r="B5" s="2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4"/>
      <c r="R5" s="1"/>
      <c r="S5" s="5"/>
      <c r="T5" s="6"/>
      <c r="U5" s="6"/>
      <c r="V5" s="6"/>
      <c r="W5" s="6"/>
      <c r="X5" s="6"/>
      <c r="Y5" s="6"/>
      <c r="Z5" s="6"/>
      <c r="AA5" s="6"/>
      <c r="AB5" s="6"/>
      <c r="AC5" s="6"/>
      <c r="AD5" s="7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T5">
        <v>4</v>
      </c>
      <c r="AU5">
        <f>SUM('1:4'!Q16)+SUM('1:4'!R16)</f>
        <v>71</v>
      </c>
      <c r="AV5">
        <f>('Store Total'!$C$4+'Store Total'!$C$5)*4/31</f>
        <v>69.677419354838705</v>
      </c>
      <c r="AY5">
        <f>'Team Leaderboard'!$E$8+4/100000</f>
        <v>39.000039999999998</v>
      </c>
    </row>
    <row r="6" spans="1:51" ht="15" customHeight="1" x14ac:dyDescent="0.25">
      <c r="A6" s="1"/>
      <c r="B6" s="2"/>
      <c r="C6" s="26" t="s">
        <v>6</v>
      </c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4"/>
      <c r="R6" s="1"/>
      <c r="S6" s="5"/>
      <c r="T6" s="28" t="s">
        <v>7</v>
      </c>
      <c r="U6" s="22"/>
      <c r="V6" s="22"/>
      <c r="W6" s="22"/>
      <c r="X6" s="22"/>
      <c r="Y6" s="22"/>
      <c r="Z6" s="22"/>
      <c r="AA6" s="22"/>
      <c r="AB6" s="22"/>
      <c r="AC6" s="22"/>
      <c r="AD6" s="7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T6">
        <v>5</v>
      </c>
      <c r="AU6">
        <f>SUM('1:5'!Q16)+SUM('1:5'!R16)</f>
        <v>89</v>
      </c>
      <c r="AV6">
        <f>('Store Total'!$C$4+'Store Total'!$C$5)*5/31</f>
        <v>87.096774193548384</v>
      </c>
      <c r="AY6">
        <f>'Team Leaderboard'!$E$9+5/100000</f>
        <v>54.000050000000002</v>
      </c>
    </row>
    <row r="7" spans="1:51" ht="15" customHeight="1" x14ac:dyDescent="0.25">
      <c r="A7" s="1"/>
      <c r="B7" s="2"/>
      <c r="C7" s="42">
        <f>'Store Total'!B4+'Store Total'!B5</f>
        <v>553</v>
      </c>
      <c r="D7" s="22"/>
      <c r="E7" s="22"/>
      <c r="F7" s="22"/>
      <c r="G7" s="22"/>
      <c r="H7" s="22"/>
      <c r="I7" s="22"/>
      <c r="J7" s="22"/>
      <c r="K7" s="37" t="s">
        <v>8</v>
      </c>
      <c r="L7" s="22"/>
      <c r="M7" s="22"/>
      <c r="N7" s="22"/>
      <c r="O7" s="22"/>
      <c r="P7" s="22"/>
      <c r="Q7" s="4"/>
      <c r="R7" s="1"/>
      <c r="S7" s="5"/>
      <c r="T7" s="24" t="str">
        <f>INDEX('Team Leaderboard'!$B$4:$B$15,MATCH(LARGE($AY$1:$AY$12,1),$AY$1:$AY$12,0))</f>
        <v>Expert 02</v>
      </c>
      <c r="U7" s="22"/>
      <c r="V7" s="22"/>
      <c r="W7" s="22"/>
      <c r="X7" s="22"/>
      <c r="Y7" s="22"/>
      <c r="Z7" s="22"/>
      <c r="AA7" s="31">
        <f>INDEX('Team Leaderboard'!$E$4:$E$15,MATCH(LARGE($AY$1:$AY$12,1),$AY$1:$AY$12,0))</f>
        <v>64</v>
      </c>
      <c r="AB7" s="22"/>
      <c r="AC7" s="22"/>
      <c r="AD7" s="7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T7">
        <v>6</v>
      </c>
      <c r="AU7">
        <f>SUM('1:6'!Q16)+SUM('1:6'!R16)</f>
        <v>104</v>
      </c>
      <c r="AV7">
        <f>('Store Total'!$C$4+'Store Total'!$C$5)*6/31</f>
        <v>104.51612903225806</v>
      </c>
      <c r="AY7">
        <f>'Team Leaderboard'!$E$10+6/100000</f>
        <v>32.000059999999998</v>
      </c>
    </row>
    <row r="8" spans="1:51" ht="15" customHeight="1" x14ac:dyDescent="0.25">
      <c r="A8" s="1"/>
      <c r="B8" s="2"/>
      <c r="C8" s="22"/>
      <c r="D8" s="22"/>
      <c r="E8" s="22"/>
      <c r="F8" s="22"/>
      <c r="G8" s="22"/>
      <c r="H8" s="22"/>
      <c r="I8" s="22"/>
      <c r="J8" s="22"/>
      <c r="K8" s="29">
        <f>'Store Total'!C4+'Store Total'!C5</f>
        <v>540</v>
      </c>
      <c r="L8" s="22"/>
      <c r="M8" s="22"/>
      <c r="N8" s="22"/>
      <c r="O8" s="22"/>
      <c r="P8" s="22"/>
      <c r="Q8" s="4"/>
      <c r="R8" s="1"/>
      <c r="S8" s="5"/>
      <c r="T8" s="24" t="str">
        <f>INDEX('Team Leaderboard'!$B$4:$B$15,MATCH(LARGE($AY$1:$AY$12,2),$AY$1:$AY$12,0))</f>
        <v>Expert 11</v>
      </c>
      <c r="U8" s="22"/>
      <c r="V8" s="22"/>
      <c r="W8" s="22"/>
      <c r="X8" s="22"/>
      <c r="Y8" s="22"/>
      <c r="Z8" s="22"/>
      <c r="AA8" s="31">
        <f>INDEX('Team Leaderboard'!$E$4:$E$15,MATCH(LARGE($AY$1:$AY$12,2),$AY$1:$AY$12,0))</f>
        <v>54</v>
      </c>
      <c r="AB8" s="22"/>
      <c r="AC8" s="22"/>
      <c r="AD8" s="7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T8">
        <v>7</v>
      </c>
      <c r="AU8">
        <f>SUM('1:7'!Q16)+SUM('1:7'!R16)</f>
        <v>126</v>
      </c>
      <c r="AV8">
        <f>('Store Total'!$C$4+'Store Total'!$C$5)*7/31</f>
        <v>121.93548387096774</v>
      </c>
      <c r="AY8">
        <f>'Team Leaderboard'!$E$11+7/100000</f>
        <v>43.000070000000001</v>
      </c>
    </row>
    <row r="9" spans="1:51" ht="15" customHeight="1" x14ac:dyDescent="0.25">
      <c r="A9" s="1"/>
      <c r="B9" s="2"/>
      <c r="C9" s="22"/>
      <c r="D9" s="22"/>
      <c r="E9" s="22"/>
      <c r="F9" s="22"/>
      <c r="G9" s="22"/>
      <c r="H9" s="22"/>
      <c r="I9" s="22"/>
      <c r="J9" s="22"/>
      <c r="K9" s="8"/>
      <c r="L9" s="8"/>
      <c r="M9" s="8"/>
      <c r="N9" s="8"/>
      <c r="O9" s="8"/>
      <c r="P9" s="8"/>
      <c r="Q9" s="4"/>
      <c r="R9" s="1"/>
      <c r="S9" s="5"/>
      <c r="T9" s="24" t="str">
        <f>INDEX('Team Leaderboard'!$B$4:$B$15,MATCH(LARGE($AY$1:$AY$12,3),$AY$1:$AY$12,0))</f>
        <v>Expert 06</v>
      </c>
      <c r="U9" s="22"/>
      <c r="V9" s="22"/>
      <c r="W9" s="22"/>
      <c r="X9" s="22"/>
      <c r="Y9" s="22"/>
      <c r="Z9" s="22"/>
      <c r="AA9" s="31">
        <f>INDEX('Team Leaderboard'!$E$4:$E$15,MATCH(LARGE($AY$1:$AY$12,3),$AY$1:$AY$12,0))</f>
        <v>54</v>
      </c>
      <c r="AB9" s="22"/>
      <c r="AC9" s="22"/>
      <c r="AD9" s="7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T9">
        <v>8</v>
      </c>
      <c r="AU9">
        <f>SUM('1:8'!Q16)+SUM('1:8'!R16)</f>
        <v>151</v>
      </c>
      <c r="AV9">
        <f>('Store Total'!$C$4+'Store Total'!$C$5)*8/31</f>
        <v>139.35483870967741</v>
      </c>
      <c r="AY9">
        <f>'Team Leaderboard'!$E$12+8/100000</f>
        <v>35.000079999999997</v>
      </c>
    </row>
    <row r="10" spans="1:51" ht="15" customHeight="1" x14ac:dyDescent="0.25">
      <c r="A10" s="1"/>
      <c r="B10" s="2"/>
      <c r="C10" s="33" t="str">
        <f>TEXT(('Store Total'!B4+'Store Total'!B5)/('Store Total'!C4+'Store Total'!C5),"0%")&amp;" of goal"</f>
        <v>102% of goal</v>
      </c>
      <c r="D10" s="22"/>
      <c r="E10" s="22"/>
      <c r="F10" s="22"/>
      <c r="G10" s="22"/>
      <c r="H10" s="22"/>
      <c r="I10" s="22"/>
      <c r="J10" s="22"/>
      <c r="K10" s="39" t="str">
        <f>TEXT(('Store Total'!B4+'Store Total'!B5)-('Store Total'!C4+'Store Total'!C5),"+#,##0;-#,##0")&amp;" vs goal"</f>
        <v>+13 vs goal</v>
      </c>
      <c r="L10" s="22"/>
      <c r="M10" s="22"/>
      <c r="N10" s="22"/>
      <c r="O10" s="22"/>
      <c r="P10" s="22"/>
      <c r="Q10" s="4"/>
      <c r="R10" s="1"/>
      <c r="S10" s="5"/>
      <c r="T10" s="9"/>
      <c r="U10" s="9"/>
      <c r="V10" s="9"/>
      <c r="W10" s="9"/>
      <c r="X10" s="9"/>
      <c r="Y10" s="9"/>
      <c r="Z10" s="9"/>
      <c r="AA10" s="9"/>
      <c r="AB10" s="9"/>
      <c r="AC10" s="9"/>
      <c r="AD10" s="7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T10">
        <v>9</v>
      </c>
      <c r="AU10">
        <f>SUM('1:9'!Q16)+SUM('1:9'!R16)</f>
        <v>168</v>
      </c>
      <c r="AV10">
        <f>('Store Total'!$C$4+'Store Total'!$C$5)*9/31</f>
        <v>156.7741935483871</v>
      </c>
      <c r="AY10">
        <f>'Team Leaderboard'!$E$13+9/100000</f>
        <v>45.00009</v>
      </c>
    </row>
    <row r="11" spans="1:51" ht="15" customHeight="1" x14ac:dyDescent="0.25">
      <c r="A11" s="1"/>
      <c r="B11" s="2"/>
      <c r="C11" s="40">
        <f>('Store Total'!B4+'Store Total'!B5)/('Store Total'!C4+'Store Total'!C5)</f>
        <v>1.0240740740740741</v>
      </c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4"/>
      <c r="R11" s="1"/>
      <c r="S11" s="5"/>
      <c r="T11" s="41" t="str">
        <f>INDEX('Team Leaderboard'!$B$4:$B$15,MATCH(SMALL($AY$1:$AY$12,1),$AY$1:$AY$12,0))</f>
        <v>Expert 07</v>
      </c>
      <c r="U11" s="22"/>
      <c r="V11" s="22"/>
      <c r="W11" s="22"/>
      <c r="X11" s="22"/>
      <c r="Y11" s="22"/>
      <c r="Z11" s="22"/>
      <c r="AA11" s="38">
        <f>INDEX('Team Leaderboard'!$E$4:$E$15,MATCH(SMALL($AY$1:$AY$12,1),$AY$1:$AY$12,0))</f>
        <v>32</v>
      </c>
      <c r="AB11" s="22"/>
      <c r="AC11" s="22"/>
      <c r="AD11" s="7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T11">
        <v>10</v>
      </c>
      <c r="AU11">
        <f>SUM('1:10'!Q16)+SUM('1:10'!R16)</f>
        <v>190</v>
      </c>
      <c r="AV11">
        <f>('Store Total'!$C$4+'Store Total'!$C$5)*10/31</f>
        <v>174.19354838709677</v>
      </c>
      <c r="AY11">
        <f>'Team Leaderboard'!$E$14+10/100000</f>
        <v>54.000100000000003</v>
      </c>
    </row>
    <row r="12" spans="1:51" ht="15" customHeight="1" x14ac:dyDescent="0.25">
      <c r="A12" s="1"/>
      <c r="B12" s="2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4"/>
      <c r="R12" s="1"/>
      <c r="S12" s="5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7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T12">
        <v>11</v>
      </c>
      <c r="AU12">
        <f>SUM('1:11'!Q16)+SUM('1:11'!R16)</f>
        <v>208</v>
      </c>
      <c r="AV12">
        <f>('Store Total'!$C$4+'Store Total'!$C$5)*11/31</f>
        <v>191.61290322580646</v>
      </c>
      <c r="AY12">
        <f>'Team Leaderboard'!$E$15+11/100000</f>
        <v>53.000109999999999</v>
      </c>
    </row>
    <row r="13" spans="1:51" ht="15" customHeight="1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T13">
        <v>12</v>
      </c>
      <c r="AU13">
        <f>SUM('1:12'!Q16)+SUM('1:12'!R16)</f>
        <v>224</v>
      </c>
      <c r="AV13">
        <f>('Store Total'!$C$4+'Store Total'!$C$5)*12/31</f>
        <v>209.03225806451613</v>
      </c>
    </row>
    <row r="14" spans="1:51" ht="15" customHeight="1" x14ac:dyDescent="0.25">
      <c r="A14" s="1"/>
      <c r="B14" s="5"/>
      <c r="C14" s="6"/>
      <c r="D14" s="6"/>
      <c r="E14" s="6"/>
      <c r="F14" s="6"/>
      <c r="G14" s="6"/>
      <c r="H14" s="6"/>
      <c r="I14" s="6"/>
      <c r="J14" s="6"/>
      <c r="K14" s="7"/>
      <c r="L14" s="1"/>
      <c r="M14" s="5"/>
      <c r="N14" s="6"/>
      <c r="O14" s="6"/>
      <c r="P14" s="6"/>
      <c r="Q14" s="6"/>
      <c r="R14" s="6"/>
      <c r="S14" s="6"/>
      <c r="T14" s="6"/>
      <c r="U14" s="6"/>
      <c r="V14" s="7"/>
      <c r="W14" s="1"/>
      <c r="X14" s="5"/>
      <c r="Y14" s="6"/>
      <c r="Z14" s="6"/>
      <c r="AA14" s="6"/>
      <c r="AB14" s="6"/>
      <c r="AC14" s="6"/>
      <c r="AD14" s="6"/>
      <c r="AE14" s="6"/>
      <c r="AF14" s="6"/>
      <c r="AG14" s="7"/>
      <c r="AH14" s="1"/>
      <c r="AI14" s="5"/>
      <c r="AJ14" s="6"/>
      <c r="AK14" s="6"/>
      <c r="AL14" s="6"/>
      <c r="AM14" s="6"/>
      <c r="AN14" s="6"/>
      <c r="AO14" s="6"/>
      <c r="AP14" s="6"/>
      <c r="AQ14" s="6"/>
      <c r="AR14" s="7"/>
      <c r="AT14">
        <v>13</v>
      </c>
      <c r="AU14">
        <f>SUM('1:13'!Q16)+SUM('1:13'!R16)</f>
        <v>244</v>
      </c>
      <c r="AV14">
        <f>('Store Total'!$C$4+'Store Total'!$C$5)*13/31</f>
        <v>226.45161290322579</v>
      </c>
    </row>
    <row r="15" spans="1:51" ht="15" customHeight="1" x14ac:dyDescent="0.25">
      <c r="A15" s="1"/>
      <c r="B15" s="5"/>
      <c r="C15" s="21" t="s">
        <v>9</v>
      </c>
      <c r="D15" s="22"/>
      <c r="E15" s="22"/>
      <c r="F15" s="22"/>
      <c r="G15" s="22"/>
      <c r="H15" s="22"/>
      <c r="I15" s="25" t="str">
        <f>TEXT('Store Total'!D4,"0%")</f>
        <v>105%</v>
      </c>
      <c r="J15" s="22"/>
      <c r="K15" s="7"/>
      <c r="L15" s="1"/>
      <c r="M15" s="5"/>
      <c r="N15" s="21" t="s">
        <v>10</v>
      </c>
      <c r="O15" s="22"/>
      <c r="P15" s="22"/>
      <c r="Q15" s="22"/>
      <c r="R15" s="22"/>
      <c r="S15" s="22"/>
      <c r="T15" s="25" t="str">
        <f>TEXT('Store Total'!D5,"0%")</f>
        <v>96%</v>
      </c>
      <c r="U15" s="22"/>
      <c r="V15" s="7"/>
      <c r="W15" s="1"/>
      <c r="X15" s="5"/>
      <c r="Y15" s="21" t="s">
        <v>11</v>
      </c>
      <c r="Z15" s="22"/>
      <c r="AA15" s="22"/>
      <c r="AB15" s="22"/>
      <c r="AC15" s="22"/>
      <c r="AD15" s="22"/>
      <c r="AE15" s="25" t="str">
        <f>TEXT('Store Total'!D10,"0%")</f>
        <v>106%</v>
      </c>
      <c r="AF15" s="22"/>
      <c r="AG15" s="7"/>
      <c r="AH15" s="1"/>
      <c r="AI15" s="5"/>
      <c r="AJ15" s="21" t="s">
        <v>12</v>
      </c>
      <c r="AK15" s="22"/>
      <c r="AL15" s="22"/>
      <c r="AM15" s="22"/>
      <c r="AN15" s="22"/>
      <c r="AO15" s="22"/>
      <c r="AP15" s="25" t="str">
        <f>TEXT('Store Total'!D11,"0%")</f>
        <v>98%</v>
      </c>
      <c r="AQ15" s="22"/>
      <c r="AR15" s="7"/>
      <c r="AT15">
        <v>14</v>
      </c>
      <c r="AU15">
        <f>SUM('1:14'!Q16)+SUM('1:14'!R16)</f>
        <v>260</v>
      </c>
      <c r="AV15">
        <f>('Store Total'!$C$4+'Store Total'!$C$5)*14/31</f>
        <v>243.87096774193549</v>
      </c>
    </row>
    <row r="16" spans="1:51" ht="15" customHeight="1" x14ac:dyDescent="0.25">
      <c r="A16" s="1"/>
      <c r="B16" s="5"/>
      <c r="C16" s="27">
        <f>'Store Total'!B4</f>
        <v>424</v>
      </c>
      <c r="D16" s="22"/>
      <c r="E16" s="22"/>
      <c r="F16" s="22"/>
      <c r="G16" s="22"/>
      <c r="H16" s="22"/>
      <c r="I16" s="22"/>
      <c r="J16" s="22"/>
      <c r="K16" s="7"/>
      <c r="L16" s="1"/>
      <c r="M16" s="5"/>
      <c r="N16" s="27">
        <f>'Store Total'!B5</f>
        <v>129</v>
      </c>
      <c r="O16" s="22"/>
      <c r="P16" s="22"/>
      <c r="Q16" s="22"/>
      <c r="R16" s="22"/>
      <c r="S16" s="22"/>
      <c r="T16" s="22"/>
      <c r="U16" s="22"/>
      <c r="V16" s="7"/>
      <c r="W16" s="1"/>
      <c r="X16" s="5"/>
      <c r="Y16" s="27">
        <f>'Store Total'!B10</f>
        <v>661</v>
      </c>
      <c r="Z16" s="22"/>
      <c r="AA16" s="22"/>
      <c r="AB16" s="22"/>
      <c r="AC16" s="22"/>
      <c r="AD16" s="22"/>
      <c r="AE16" s="22"/>
      <c r="AF16" s="22"/>
      <c r="AG16" s="7"/>
      <c r="AH16" s="1"/>
      <c r="AI16" s="5"/>
      <c r="AJ16" s="23">
        <f>'Store Total'!B11</f>
        <v>40752.919999999991</v>
      </c>
      <c r="AK16" s="22"/>
      <c r="AL16" s="22"/>
      <c r="AM16" s="22"/>
      <c r="AN16" s="22"/>
      <c r="AO16" s="22"/>
      <c r="AP16" s="22"/>
      <c r="AQ16" s="22"/>
      <c r="AR16" s="7"/>
      <c r="AT16">
        <v>15</v>
      </c>
      <c r="AU16">
        <f>SUM('1:15'!Q16)+SUM('1:15'!R16)</f>
        <v>276</v>
      </c>
      <c r="AV16">
        <f>('Store Total'!$C$4+'Store Total'!$C$5)*15/31</f>
        <v>261.29032258064518</v>
      </c>
    </row>
    <row r="17" spans="1:48" ht="15" customHeight="1" x14ac:dyDescent="0.25">
      <c r="A17" s="1"/>
      <c r="B17" s="5"/>
      <c r="C17" s="32">
        <f>'Store Total'!D4</f>
        <v>1.0469135802469136</v>
      </c>
      <c r="D17" s="22"/>
      <c r="E17" s="22"/>
      <c r="F17" s="22"/>
      <c r="G17" s="22"/>
      <c r="H17" s="22"/>
      <c r="I17" s="22"/>
      <c r="J17" s="22"/>
      <c r="K17" s="7"/>
      <c r="L17" s="1"/>
      <c r="M17" s="5"/>
      <c r="N17" s="32">
        <f>'Store Total'!D5</f>
        <v>0.9555555555555556</v>
      </c>
      <c r="O17" s="22"/>
      <c r="P17" s="22"/>
      <c r="Q17" s="22"/>
      <c r="R17" s="22"/>
      <c r="S17" s="22"/>
      <c r="T17" s="22"/>
      <c r="U17" s="22"/>
      <c r="V17" s="7"/>
      <c r="W17" s="1"/>
      <c r="X17" s="5"/>
      <c r="Y17" s="32">
        <f>'Store Total'!D10</f>
        <v>1.0576000000000001</v>
      </c>
      <c r="Z17" s="22"/>
      <c r="AA17" s="22"/>
      <c r="AB17" s="22"/>
      <c r="AC17" s="22"/>
      <c r="AD17" s="22"/>
      <c r="AE17" s="22"/>
      <c r="AF17" s="22"/>
      <c r="AG17" s="7"/>
      <c r="AH17" s="1"/>
      <c r="AI17" s="5"/>
      <c r="AJ17" s="32">
        <f>'Store Total'!D11</f>
        <v>0.97963749999999983</v>
      </c>
      <c r="AK17" s="22"/>
      <c r="AL17" s="22"/>
      <c r="AM17" s="22"/>
      <c r="AN17" s="22"/>
      <c r="AO17" s="22"/>
      <c r="AP17" s="22"/>
      <c r="AQ17" s="22"/>
      <c r="AR17" s="7"/>
      <c r="AT17">
        <v>16</v>
      </c>
      <c r="AU17">
        <f>SUM('1:16'!Q16)+SUM('1:16'!R16)</f>
        <v>300</v>
      </c>
      <c r="AV17">
        <f>('Store Total'!$C$4+'Store Total'!$C$5)*16/31</f>
        <v>278.70967741935482</v>
      </c>
    </row>
    <row r="18" spans="1:48" ht="15" customHeight="1" x14ac:dyDescent="0.25">
      <c r="A18" s="1"/>
      <c r="B18" s="5"/>
      <c r="C18" s="11"/>
      <c r="D18" s="11"/>
      <c r="E18" s="11"/>
      <c r="F18" s="11"/>
      <c r="G18" s="11"/>
      <c r="H18" s="11"/>
      <c r="I18" s="11"/>
      <c r="J18" s="11"/>
      <c r="K18" s="7"/>
      <c r="L18" s="1"/>
      <c r="M18" s="5"/>
      <c r="N18" s="11"/>
      <c r="O18" s="11"/>
      <c r="P18" s="11"/>
      <c r="Q18" s="11"/>
      <c r="R18" s="11"/>
      <c r="S18" s="11"/>
      <c r="T18" s="11"/>
      <c r="U18" s="11"/>
      <c r="V18" s="7"/>
      <c r="W18" s="1"/>
      <c r="X18" s="5"/>
      <c r="Y18" s="11"/>
      <c r="Z18" s="11"/>
      <c r="AA18" s="11"/>
      <c r="AB18" s="11"/>
      <c r="AC18" s="11"/>
      <c r="AD18" s="11"/>
      <c r="AE18" s="11"/>
      <c r="AF18" s="11"/>
      <c r="AG18" s="7"/>
      <c r="AH18" s="1"/>
      <c r="AI18" s="5"/>
      <c r="AJ18" s="11"/>
      <c r="AK18" s="11"/>
      <c r="AL18" s="11"/>
      <c r="AM18" s="11"/>
      <c r="AN18" s="11"/>
      <c r="AO18" s="11"/>
      <c r="AP18" s="11"/>
      <c r="AQ18" s="11"/>
      <c r="AR18" s="7"/>
      <c r="AT18">
        <v>17</v>
      </c>
      <c r="AU18">
        <f>SUM('1:17'!Q16)+SUM('1:17'!R16)</f>
        <v>317</v>
      </c>
      <c r="AV18">
        <f>('Store Total'!$C$4+'Store Total'!$C$5)*17/31</f>
        <v>296.12903225806451</v>
      </c>
    </row>
    <row r="19" spans="1:48" ht="15" customHeight="1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T19">
        <v>18</v>
      </c>
      <c r="AU19">
        <f>SUM('1:18'!Q16)+SUM('1:18'!R16)</f>
        <v>332</v>
      </c>
      <c r="AV19">
        <f>('Store Total'!$C$4+'Store Total'!$C$5)*18/31</f>
        <v>313.54838709677421</v>
      </c>
    </row>
    <row r="20" spans="1:48" ht="15" customHeight="1" x14ac:dyDescent="0.25">
      <c r="A20" s="1"/>
      <c r="B20" s="5"/>
      <c r="C20" s="6"/>
      <c r="D20" s="6"/>
      <c r="E20" s="6"/>
      <c r="F20" s="6"/>
      <c r="G20" s="6"/>
      <c r="H20" s="6"/>
      <c r="I20" s="6"/>
      <c r="J20" s="6"/>
      <c r="K20" s="7"/>
      <c r="L20" s="1"/>
      <c r="M20" s="5"/>
      <c r="N20" s="6"/>
      <c r="O20" s="6"/>
      <c r="P20" s="6"/>
      <c r="Q20" s="6"/>
      <c r="R20" s="6"/>
      <c r="S20" s="6"/>
      <c r="T20" s="6"/>
      <c r="U20" s="6"/>
      <c r="V20" s="7"/>
      <c r="W20" s="1"/>
      <c r="X20" s="5"/>
      <c r="Y20" s="6"/>
      <c r="Z20" s="6"/>
      <c r="AA20" s="6"/>
      <c r="AB20" s="6"/>
      <c r="AC20" s="6"/>
      <c r="AD20" s="6"/>
      <c r="AE20" s="6"/>
      <c r="AF20" s="6"/>
      <c r="AG20" s="7"/>
      <c r="AH20" s="1"/>
      <c r="AI20" s="5"/>
      <c r="AJ20" s="6"/>
      <c r="AK20" s="6"/>
      <c r="AL20" s="6"/>
      <c r="AM20" s="6"/>
      <c r="AN20" s="6"/>
      <c r="AO20" s="6"/>
      <c r="AP20" s="6"/>
      <c r="AQ20" s="6"/>
      <c r="AR20" s="7"/>
      <c r="AT20">
        <v>19</v>
      </c>
      <c r="AU20">
        <f>SUM('1:19'!Q16)+SUM('1:19'!R16)</f>
        <v>346</v>
      </c>
      <c r="AV20">
        <f>('Store Total'!$C$4+'Store Total'!$C$5)*19/31</f>
        <v>330.96774193548384</v>
      </c>
    </row>
    <row r="21" spans="1:48" ht="15" customHeight="1" x14ac:dyDescent="0.25">
      <c r="A21" s="1"/>
      <c r="B21" s="5"/>
      <c r="C21" s="21" t="s">
        <v>13</v>
      </c>
      <c r="D21" s="22"/>
      <c r="E21" s="22"/>
      <c r="F21" s="22"/>
      <c r="G21" s="22"/>
      <c r="H21" s="22"/>
      <c r="I21" s="25" t="str">
        <f>TEXT('Store Total'!D7,"0%")</f>
        <v>98%</v>
      </c>
      <c r="J21" s="22"/>
      <c r="K21" s="7"/>
      <c r="L21" s="1"/>
      <c r="M21" s="5"/>
      <c r="N21" s="21" t="s">
        <v>14</v>
      </c>
      <c r="O21" s="22"/>
      <c r="P21" s="22"/>
      <c r="Q21" s="22"/>
      <c r="R21" s="22"/>
      <c r="S21" s="22"/>
      <c r="T21" s="25" t="str">
        <f>TEXT('Store Total'!D8,"0%")</f>
        <v>106%</v>
      </c>
      <c r="U21" s="22"/>
      <c r="V21" s="7"/>
      <c r="W21" s="1"/>
      <c r="X21" s="5"/>
      <c r="Y21" s="21" t="s">
        <v>15</v>
      </c>
      <c r="Z21" s="22"/>
      <c r="AA21" s="22"/>
      <c r="AB21" s="22"/>
      <c r="AC21" s="22"/>
      <c r="AD21" s="22"/>
      <c r="AE21" s="25" t="str">
        <f>TEXT('Store Total'!D6,"0%")</f>
        <v>114%</v>
      </c>
      <c r="AF21" s="22"/>
      <c r="AG21" s="7"/>
      <c r="AH21" s="1"/>
      <c r="AI21" s="5"/>
      <c r="AJ21" s="21" t="s">
        <v>16</v>
      </c>
      <c r="AK21" s="22"/>
      <c r="AL21" s="22"/>
      <c r="AM21" s="22"/>
      <c r="AN21" s="22"/>
      <c r="AO21" s="22"/>
      <c r="AP21" s="25" t="str">
        <f>TEXT('Store Total'!D9,"0%")</f>
        <v>102%</v>
      </c>
      <c r="AQ21" s="22"/>
      <c r="AR21" s="7"/>
      <c r="AT21">
        <v>20</v>
      </c>
      <c r="AU21">
        <f>SUM('1:20'!Q16)+SUM('1:20'!R16)</f>
        <v>360</v>
      </c>
      <c r="AV21">
        <f>('Store Total'!$C$4+'Store Total'!$C$5)*20/31</f>
        <v>348.38709677419354</v>
      </c>
    </row>
    <row r="22" spans="1:48" ht="15" customHeight="1" x14ac:dyDescent="0.25">
      <c r="A22" s="1"/>
      <c r="B22" s="5"/>
      <c r="C22" s="27">
        <f>'Store Total'!B7</f>
        <v>59</v>
      </c>
      <c r="D22" s="22"/>
      <c r="E22" s="22"/>
      <c r="F22" s="22"/>
      <c r="G22" s="22"/>
      <c r="H22" s="22"/>
      <c r="I22" s="22"/>
      <c r="J22" s="22"/>
      <c r="K22" s="7"/>
      <c r="L22" s="1"/>
      <c r="M22" s="5"/>
      <c r="N22" s="27">
        <f>'Store Total'!B8</f>
        <v>74</v>
      </c>
      <c r="O22" s="22"/>
      <c r="P22" s="22"/>
      <c r="Q22" s="22"/>
      <c r="R22" s="22"/>
      <c r="S22" s="22"/>
      <c r="T22" s="22"/>
      <c r="U22" s="22"/>
      <c r="V22" s="7"/>
      <c r="W22" s="1"/>
      <c r="X22" s="5"/>
      <c r="Y22" s="27">
        <f>'Store Total'!B6</f>
        <v>40</v>
      </c>
      <c r="Z22" s="22"/>
      <c r="AA22" s="22"/>
      <c r="AB22" s="22"/>
      <c r="AC22" s="22"/>
      <c r="AD22" s="22"/>
      <c r="AE22" s="22"/>
      <c r="AF22" s="22"/>
      <c r="AG22" s="7"/>
      <c r="AH22" s="1"/>
      <c r="AI22" s="5"/>
      <c r="AJ22" s="23">
        <f>'Store Total'!B9</f>
        <v>8291</v>
      </c>
      <c r="AK22" s="22"/>
      <c r="AL22" s="22"/>
      <c r="AM22" s="22"/>
      <c r="AN22" s="22"/>
      <c r="AO22" s="22"/>
      <c r="AP22" s="22"/>
      <c r="AQ22" s="22"/>
      <c r="AR22" s="7"/>
      <c r="AT22">
        <v>21</v>
      </c>
      <c r="AU22">
        <f>SUM('1:21'!Q16)+SUM('1:21'!R16)</f>
        <v>380</v>
      </c>
      <c r="AV22">
        <f>('Store Total'!$C$4+'Store Total'!$C$5)*21/31</f>
        <v>365.80645161290323</v>
      </c>
    </row>
    <row r="23" spans="1:48" ht="15" customHeight="1" x14ac:dyDescent="0.25">
      <c r="A23" s="1"/>
      <c r="B23" s="5"/>
      <c r="C23" s="32">
        <f>'Store Total'!D7</f>
        <v>0.98333333333333328</v>
      </c>
      <c r="D23" s="22"/>
      <c r="E23" s="22"/>
      <c r="F23" s="22"/>
      <c r="G23" s="22"/>
      <c r="H23" s="22"/>
      <c r="I23" s="22"/>
      <c r="J23" s="22"/>
      <c r="K23" s="7"/>
      <c r="L23" s="1"/>
      <c r="M23" s="5"/>
      <c r="N23" s="32">
        <f>'Store Total'!D8</f>
        <v>1.0571428571428572</v>
      </c>
      <c r="O23" s="22"/>
      <c r="P23" s="22"/>
      <c r="Q23" s="22"/>
      <c r="R23" s="22"/>
      <c r="S23" s="22"/>
      <c r="T23" s="22"/>
      <c r="U23" s="22"/>
      <c r="V23" s="7"/>
      <c r="W23" s="1"/>
      <c r="X23" s="5"/>
      <c r="Y23" s="32">
        <f>'Store Total'!D6</f>
        <v>1.1428571428571428</v>
      </c>
      <c r="Z23" s="22"/>
      <c r="AA23" s="22"/>
      <c r="AB23" s="22"/>
      <c r="AC23" s="22"/>
      <c r="AD23" s="22"/>
      <c r="AE23" s="22"/>
      <c r="AF23" s="22"/>
      <c r="AG23" s="7"/>
      <c r="AH23" s="1"/>
      <c r="AI23" s="5"/>
      <c r="AJ23" s="32">
        <f>'Store Total'!D9</f>
        <v>1.0235802469135802</v>
      </c>
      <c r="AK23" s="22"/>
      <c r="AL23" s="22"/>
      <c r="AM23" s="22"/>
      <c r="AN23" s="22"/>
      <c r="AO23" s="22"/>
      <c r="AP23" s="22"/>
      <c r="AQ23" s="22"/>
      <c r="AR23" s="7"/>
      <c r="AT23">
        <v>22</v>
      </c>
      <c r="AU23">
        <f>SUM('1:22'!Q16)+SUM('1:22'!R16)</f>
        <v>397</v>
      </c>
      <c r="AV23">
        <f>('Store Total'!$C$4+'Store Total'!$C$5)*22/31</f>
        <v>383.22580645161293</v>
      </c>
    </row>
    <row r="24" spans="1:48" ht="15" customHeight="1" x14ac:dyDescent="0.25">
      <c r="A24" s="1"/>
      <c r="B24" s="5"/>
      <c r="C24" s="11"/>
      <c r="D24" s="11"/>
      <c r="E24" s="11"/>
      <c r="F24" s="11"/>
      <c r="G24" s="11"/>
      <c r="H24" s="11"/>
      <c r="I24" s="11"/>
      <c r="J24" s="11"/>
      <c r="K24" s="7"/>
      <c r="L24" s="1"/>
      <c r="M24" s="5"/>
      <c r="N24" s="11"/>
      <c r="O24" s="11"/>
      <c r="P24" s="11"/>
      <c r="Q24" s="11"/>
      <c r="R24" s="11"/>
      <c r="S24" s="11"/>
      <c r="T24" s="11"/>
      <c r="U24" s="11"/>
      <c r="V24" s="7"/>
      <c r="W24" s="1"/>
      <c r="X24" s="5"/>
      <c r="Y24" s="11"/>
      <c r="Z24" s="11"/>
      <c r="AA24" s="11"/>
      <c r="AB24" s="11"/>
      <c r="AC24" s="11"/>
      <c r="AD24" s="11"/>
      <c r="AE24" s="11"/>
      <c r="AF24" s="11"/>
      <c r="AG24" s="7"/>
      <c r="AH24" s="1"/>
      <c r="AI24" s="5"/>
      <c r="AJ24" s="11"/>
      <c r="AK24" s="11"/>
      <c r="AL24" s="11"/>
      <c r="AM24" s="11"/>
      <c r="AN24" s="11"/>
      <c r="AO24" s="11"/>
      <c r="AP24" s="11"/>
      <c r="AQ24" s="11"/>
      <c r="AR24" s="7"/>
      <c r="AT24">
        <v>23</v>
      </c>
      <c r="AU24">
        <f>SUM('1:23'!Q16)+SUM('1:23'!R16)</f>
        <v>411</v>
      </c>
      <c r="AV24">
        <f>('Store Total'!$C$4+'Store Total'!$C$5)*23/31</f>
        <v>400.64516129032256</v>
      </c>
    </row>
    <row r="25" spans="1:48" ht="1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T25">
        <v>24</v>
      </c>
      <c r="AU25">
        <f>SUM('1:24'!Q16)+SUM('1:24'!R16)</f>
        <v>434</v>
      </c>
      <c r="AV25">
        <f>('Store Total'!$C$4+'Store Total'!$C$5)*24/31</f>
        <v>418.06451612903226</v>
      </c>
    </row>
    <row r="26" spans="1:48" ht="15" customHeight="1" x14ac:dyDescent="0.25">
      <c r="A26" s="1"/>
      <c r="B26" s="5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7"/>
      <c r="AR26" s="1"/>
      <c r="AT26">
        <v>25</v>
      </c>
      <c r="AU26">
        <f>SUM('1:25'!Q16)+SUM('1:25'!R16)</f>
        <v>444</v>
      </c>
      <c r="AV26">
        <f>('Store Total'!$C$4+'Store Total'!$C$5)*25/31</f>
        <v>435.48387096774195</v>
      </c>
    </row>
    <row r="27" spans="1:48" ht="15" customHeight="1" x14ac:dyDescent="0.25">
      <c r="A27" s="1"/>
      <c r="B27" s="5"/>
      <c r="C27" s="28" t="s">
        <v>17</v>
      </c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7"/>
      <c r="AR27" s="1"/>
      <c r="AT27">
        <v>26</v>
      </c>
      <c r="AU27">
        <f>SUM('1:26'!Q16)+SUM('1:26'!R16)</f>
        <v>466</v>
      </c>
      <c r="AV27">
        <f>('Store Total'!$C$4+'Store Total'!$C$5)*26/31</f>
        <v>452.90322580645159</v>
      </c>
    </row>
    <row r="28" spans="1:48" ht="15" customHeight="1" x14ac:dyDescent="0.25">
      <c r="A28" s="1"/>
      <c r="B28" s="5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7"/>
      <c r="AR28" s="1"/>
      <c r="AT28">
        <v>27</v>
      </c>
      <c r="AU28">
        <f>SUM('1:27'!Q16)+SUM('1:27'!R16)</f>
        <v>478</v>
      </c>
      <c r="AV28">
        <f>('Store Total'!$C$4+'Store Total'!$C$5)*27/31</f>
        <v>470.32258064516128</v>
      </c>
    </row>
    <row r="29" spans="1:48" ht="15" customHeight="1" x14ac:dyDescent="0.25">
      <c r="A29" s="1"/>
      <c r="B29" s="5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7"/>
      <c r="AR29" s="1"/>
      <c r="AT29">
        <v>28</v>
      </c>
      <c r="AU29">
        <f>SUM('1:28'!Q16)+SUM('1:28'!R16)</f>
        <v>495</v>
      </c>
      <c r="AV29">
        <f>('Store Total'!$C$4+'Store Total'!$C$5)*28/31</f>
        <v>487.74193548387098</v>
      </c>
    </row>
    <row r="30" spans="1:48" ht="15" customHeight="1" x14ac:dyDescent="0.25">
      <c r="A30" s="1"/>
      <c r="B30" s="5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7"/>
      <c r="AR30" s="1"/>
      <c r="AT30">
        <v>29</v>
      </c>
      <c r="AU30">
        <f>SUM('1:29'!Q16)+SUM('1:29'!R16)</f>
        <v>513</v>
      </c>
      <c r="AV30">
        <f>('Store Total'!$C$4+'Store Total'!$C$5)*29/31</f>
        <v>505.16129032258067</v>
      </c>
    </row>
    <row r="31" spans="1:48" ht="15" customHeight="1" x14ac:dyDescent="0.25">
      <c r="A31" s="1"/>
      <c r="B31" s="5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7"/>
      <c r="AR31" s="1"/>
      <c r="AT31">
        <v>30</v>
      </c>
      <c r="AU31">
        <f>SUM('1:30'!Q16)+SUM('1:30'!R16)</f>
        <v>536</v>
      </c>
      <c r="AV31">
        <f>('Store Total'!$C$4+'Store Total'!$C$5)*30/31</f>
        <v>522.58064516129036</v>
      </c>
    </row>
    <row r="32" spans="1:48" ht="15" customHeight="1" x14ac:dyDescent="0.25">
      <c r="A32" s="1"/>
      <c r="B32" s="5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7"/>
      <c r="AR32" s="1"/>
      <c r="AT32">
        <v>31</v>
      </c>
      <c r="AU32">
        <f>SUM('1:31'!Q16)+SUM('1:31'!R16)</f>
        <v>553</v>
      </c>
      <c r="AV32">
        <f>('Store Total'!$C$4+'Store Total'!$C$5)*31/31</f>
        <v>540</v>
      </c>
    </row>
    <row r="33" spans="1:44" ht="15" customHeight="1" x14ac:dyDescent="0.25">
      <c r="A33" s="1"/>
      <c r="B33" s="5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7"/>
      <c r="AR33" s="1"/>
    </row>
    <row r="34" spans="1:44" ht="15" customHeight="1" x14ac:dyDescent="0.25">
      <c r="A34" s="1"/>
      <c r="B34" s="5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7"/>
      <c r="AR34" s="1"/>
    </row>
    <row r="35" spans="1:44" ht="15" customHeight="1" x14ac:dyDescent="0.25">
      <c r="A35" s="1"/>
      <c r="B35" s="5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7"/>
      <c r="AR35" s="1"/>
    </row>
    <row r="36" spans="1:44" ht="15" customHeight="1" x14ac:dyDescent="0.25">
      <c r="A36" s="1"/>
      <c r="B36" s="5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7"/>
      <c r="AR36" s="1"/>
    </row>
    <row r="37" spans="1:44" ht="15" customHeight="1" x14ac:dyDescent="0.25">
      <c r="A37" s="1"/>
      <c r="B37" s="5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  <c r="AQ37" s="7"/>
      <c r="AR37" s="1"/>
    </row>
    <row r="38" spans="1:44" ht="15" customHeight="1" x14ac:dyDescent="0.25">
      <c r="A38" s="1"/>
      <c r="B38" s="5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7"/>
      <c r="AR38" s="1"/>
    </row>
    <row r="39" spans="1:44" ht="15" customHeight="1" x14ac:dyDescent="0.25">
      <c r="A39" s="1"/>
      <c r="B39" s="5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7"/>
      <c r="AR39" s="1"/>
    </row>
    <row r="40" spans="1:44" ht="15" customHeight="1" x14ac:dyDescent="0.25">
      <c r="A40" s="1"/>
      <c r="B40" s="5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7"/>
      <c r="AR40" s="1"/>
    </row>
    <row r="41" spans="1:44" x14ac:dyDescent="0.25">
      <c r="B41" s="5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7"/>
    </row>
    <row r="42" spans="1:44" x14ac:dyDescent="0.25">
      <c r="B42" s="5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7"/>
    </row>
  </sheetData>
  <mergeCells count="52">
    <mergeCell ref="Y23:AF23"/>
    <mergeCell ref="C7:J9"/>
    <mergeCell ref="AG2:AQ2"/>
    <mergeCell ref="C22:J22"/>
    <mergeCell ref="C27:AF27"/>
    <mergeCell ref="B2:X2"/>
    <mergeCell ref="T21:U21"/>
    <mergeCell ref="K7:P7"/>
    <mergeCell ref="AA11:AC11"/>
    <mergeCell ref="N17:U17"/>
    <mergeCell ref="Y17:AF17"/>
    <mergeCell ref="I21:J21"/>
    <mergeCell ref="N15:S15"/>
    <mergeCell ref="N23:U23"/>
    <mergeCell ref="Y22:AF22"/>
    <mergeCell ref="Y16:AF16"/>
    <mergeCell ref="K10:P10"/>
    <mergeCell ref="AP15:AQ15"/>
    <mergeCell ref="B3:AD3"/>
    <mergeCell ref="AA7:AC7"/>
    <mergeCell ref="AJ23:AQ23"/>
    <mergeCell ref="AE21:AF21"/>
    <mergeCell ref="AJ17:AQ17"/>
    <mergeCell ref="AJ15:AO15"/>
    <mergeCell ref="C10:J10"/>
    <mergeCell ref="C16:J16"/>
    <mergeCell ref="AA8:AC8"/>
    <mergeCell ref="C11:P11"/>
    <mergeCell ref="C23:J23"/>
    <mergeCell ref="C15:H15"/>
    <mergeCell ref="AJ21:AO21"/>
    <mergeCell ref="C17:J17"/>
    <mergeCell ref="T9:Z9"/>
    <mergeCell ref="AE15:AF15"/>
    <mergeCell ref="I15:J15"/>
    <mergeCell ref="AP21:AQ21"/>
    <mergeCell ref="C6:P6"/>
    <mergeCell ref="T7:Z7"/>
    <mergeCell ref="N16:U16"/>
    <mergeCell ref="T6:AC6"/>
    <mergeCell ref="C21:H21"/>
    <mergeCell ref="K8:P8"/>
    <mergeCell ref="Y15:AD15"/>
    <mergeCell ref="AA9:AC9"/>
    <mergeCell ref="AJ16:AQ16"/>
    <mergeCell ref="T11:Z11"/>
    <mergeCell ref="Y21:AD21"/>
    <mergeCell ref="N21:S21"/>
    <mergeCell ref="AJ22:AQ22"/>
    <mergeCell ref="T8:Z8"/>
    <mergeCell ref="T15:U15"/>
    <mergeCell ref="N22:U22"/>
  </mergeCells>
  <conditionalFormatting sqref="C11">
    <cfRule type="dataBar" priority="1">
      <dataBar showValue="0">
        <cfvo type="num" val="0"/>
        <cfvo type="num" val="1.25"/>
        <color rgb="FFE20074"/>
      </dataBar>
    </cfRule>
  </conditionalFormatting>
  <conditionalFormatting sqref="C17">
    <cfRule type="dataBar" priority="2">
      <dataBar showValue="0">
        <cfvo type="num" val="0"/>
        <cfvo type="num" val="1.25"/>
        <color rgb="FFE20074"/>
      </dataBar>
    </cfRule>
  </conditionalFormatting>
  <conditionalFormatting sqref="C23">
    <cfRule type="dataBar" priority="6">
      <dataBar showValue="0">
        <cfvo type="num" val="0"/>
        <cfvo type="num" val="1.25"/>
        <color rgb="FFE20074"/>
      </dataBar>
    </cfRule>
  </conditionalFormatting>
  <conditionalFormatting sqref="N17">
    <cfRule type="dataBar" priority="3">
      <dataBar showValue="0">
        <cfvo type="num" val="0"/>
        <cfvo type="num" val="1.25"/>
        <color rgb="FFE20074"/>
      </dataBar>
    </cfRule>
  </conditionalFormatting>
  <conditionalFormatting sqref="N23">
    <cfRule type="dataBar" priority="7">
      <dataBar showValue="0">
        <cfvo type="num" val="0"/>
        <cfvo type="num" val="1.25"/>
        <color rgb="FFE20074"/>
      </dataBar>
    </cfRule>
  </conditionalFormatting>
  <conditionalFormatting sqref="Y17">
    <cfRule type="dataBar" priority="4">
      <dataBar showValue="0">
        <cfvo type="num" val="0"/>
        <cfvo type="num" val="1.25"/>
        <color rgb="FFE20074"/>
      </dataBar>
    </cfRule>
  </conditionalFormatting>
  <conditionalFormatting sqref="Y23">
    <cfRule type="dataBar" priority="8">
      <dataBar showValue="0">
        <cfvo type="num" val="0"/>
        <cfvo type="num" val="1.25"/>
        <color rgb="FFE20074"/>
      </dataBar>
    </cfRule>
  </conditionalFormatting>
  <conditionalFormatting sqref="AJ17">
    <cfRule type="dataBar" priority="5">
      <dataBar showValue="0">
        <cfvo type="num" val="0"/>
        <cfvo type="num" val="1.25"/>
        <color rgb="FFE20074"/>
      </dataBar>
    </cfRule>
  </conditionalFormatting>
  <conditionalFormatting sqref="AJ23">
    <cfRule type="dataBar" priority="9">
      <dataBar showValue="0">
        <cfvo type="num" val="0"/>
        <cfvo type="num" val="1.25"/>
        <color rgb="FFE20074"/>
      </dataBar>
    </cfRule>
  </conditionalFormatting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5"/>
  <sheetViews>
    <sheetView showGridLines="0" workbookViewId="0">
      <selection sqref="A1:F1"/>
    </sheetView>
  </sheetViews>
  <sheetFormatPr defaultRowHeight="15" x14ac:dyDescent="0.25"/>
  <cols>
    <col min="1" max="1" width="12" customWidth="1"/>
    <col min="2" max="2" width="16" customWidth="1"/>
    <col min="3" max="6" width="12" customWidth="1"/>
  </cols>
  <sheetData>
    <row r="1" spans="1:6" ht="24" customHeight="1" x14ac:dyDescent="0.25">
      <c r="A1" s="44" t="s">
        <v>18</v>
      </c>
      <c r="B1" s="22"/>
      <c r="C1" s="22"/>
      <c r="D1" s="22"/>
      <c r="E1" s="22"/>
      <c r="F1" s="22"/>
    </row>
    <row r="2" spans="1:6" ht="21.95" customHeight="1" x14ac:dyDescent="0.25">
      <c r="A2" s="43" t="s">
        <v>19</v>
      </c>
      <c r="B2" s="22"/>
      <c r="C2" s="22"/>
      <c r="D2" s="22"/>
      <c r="E2" s="22"/>
      <c r="F2" s="22"/>
    </row>
    <row r="3" spans="1:6" x14ac:dyDescent="0.25">
      <c r="A3" s="12" t="s">
        <v>20</v>
      </c>
      <c r="B3" s="12" t="s">
        <v>21</v>
      </c>
      <c r="C3" s="12" t="s">
        <v>22</v>
      </c>
      <c r="D3" s="12" t="s">
        <v>23</v>
      </c>
      <c r="E3" s="12" t="s">
        <v>24</v>
      </c>
      <c r="F3" s="12" t="s">
        <v>25</v>
      </c>
    </row>
    <row r="4" spans="1:6" x14ac:dyDescent="0.25">
      <c r="A4" s="13">
        <f t="shared" ref="A4:A15" si="0">RANK(E4,$E$4:$E$15)</f>
        <v>10</v>
      </c>
      <c r="B4" s="13" t="str">
        <f>Setup!$A$5</f>
        <v>Expert 01</v>
      </c>
      <c r="C4" s="14">
        <f>SUM('1:31'!Q4)</f>
        <v>31</v>
      </c>
      <c r="D4" s="14">
        <f>SUM('1:31'!R4)</f>
        <v>6</v>
      </c>
      <c r="E4" s="14">
        <f t="shared" ref="E4:E15" si="1">C4+D4</f>
        <v>37</v>
      </c>
      <c r="F4" s="15">
        <f>SUM('1:31'!X4)</f>
        <v>3418.2600000000007</v>
      </c>
    </row>
    <row r="5" spans="1:6" x14ac:dyDescent="0.25">
      <c r="A5" s="13">
        <f t="shared" si="0"/>
        <v>1</v>
      </c>
      <c r="B5" s="13" t="str">
        <f>Setup!$A$6</f>
        <v>Expert 02</v>
      </c>
      <c r="C5" s="14">
        <f>SUM('1:31'!Q5)</f>
        <v>44</v>
      </c>
      <c r="D5" s="14">
        <f>SUM('1:31'!R5)</f>
        <v>20</v>
      </c>
      <c r="E5" s="14">
        <f t="shared" si="1"/>
        <v>64</v>
      </c>
      <c r="F5" s="15">
        <f>SUM('1:31'!X5)</f>
        <v>4472.25</v>
      </c>
    </row>
    <row r="6" spans="1:6" x14ac:dyDescent="0.25">
      <c r="A6" s="13">
        <f t="shared" si="0"/>
        <v>7</v>
      </c>
      <c r="B6" s="13" t="str">
        <f>Setup!$A$7</f>
        <v>Expert 03</v>
      </c>
      <c r="C6" s="14">
        <f>SUM('1:31'!Q6)</f>
        <v>34</v>
      </c>
      <c r="D6" s="14">
        <f>SUM('1:31'!R6)</f>
        <v>10</v>
      </c>
      <c r="E6" s="14">
        <f t="shared" si="1"/>
        <v>44</v>
      </c>
      <c r="F6" s="15">
        <f>SUM('1:31'!X6)</f>
        <v>3910.1699999999996</v>
      </c>
    </row>
    <row r="7" spans="1:6" x14ac:dyDescent="0.25">
      <c r="A7" s="13">
        <f t="shared" si="0"/>
        <v>4</v>
      </c>
      <c r="B7" s="13" t="str">
        <f>Setup!$A$8</f>
        <v>Expert 04</v>
      </c>
      <c r="C7" s="14">
        <f>SUM('1:31'!Q7)</f>
        <v>44</v>
      </c>
      <c r="D7" s="14">
        <f>SUM('1:31'!R7)</f>
        <v>9</v>
      </c>
      <c r="E7" s="14">
        <f t="shared" si="1"/>
        <v>53</v>
      </c>
      <c r="F7" s="15">
        <f>SUM('1:31'!X7)</f>
        <v>2739.21</v>
      </c>
    </row>
    <row r="8" spans="1:6" x14ac:dyDescent="0.25">
      <c r="A8" s="13">
        <f t="shared" si="0"/>
        <v>9</v>
      </c>
      <c r="B8" s="13" t="str">
        <f>Setup!$A$9</f>
        <v>Expert 05</v>
      </c>
      <c r="C8" s="14">
        <f>SUM('1:31'!Q8)</f>
        <v>30</v>
      </c>
      <c r="D8" s="14">
        <f>SUM('1:31'!R8)</f>
        <v>9</v>
      </c>
      <c r="E8" s="14">
        <f t="shared" si="1"/>
        <v>39</v>
      </c>
      <c r="F8" s="15">
        <f>SUM('1:31'!X8)</f>
        <v>3188.6199999999994</v>
      </c>
    </row>
    <row r="9" spans="1:6" x14ac:dyDescent="0.25">
      <c r="A9" s="13">
        <f t="shared" si="0"/>
        <v>2</v>
      </c>
      <c r="B9" s="13" t="str">
        <f>Setup!$A$10</f>
        <v>Expert 06</v>
      </c>
      <c r="C9" s="14">
        <f>SUM('1:31'!Q9)</f>
        <v>40</v>
      </c>
      <c r="D9" s="14">
        <f>SUM('1:31'!R9)</f>
        <v>14</v>
      </c>
      <c r="E9" s="14">
        <f t="shared" si="1"/>
        <v>54</v>
      </c>
      <c r="F9" s="15">
        <f>SUM('1:31'!X9)</f>
        <v>4191.3100000000004</v>
      </c>
    </row>
    <row r="10" spans="1:6" x14ac:dyDescent="0.25">
      <c r="A10" s="13">
        <f t="shared" si="0"/>
        <v>12</v>
      </c>
      <c r="B10" s="13" t="str">
        <f>Setup!$A$11</f>
        <v>Expert 07</v>
      </c>
      <c r="C10" s="14">
        <f>SUM('1:31'!Q10)</f>
        <v>28</v>
      </c>
      <c r="D10" s="14">
        <f>SUM('1:31'!R10)</f>
        <v>4</v>
      </c>
      <c r="E10" s="14">
        <f t="shared" si="1"/>
        <v>32</v>
      </c>
      <c r="F10" s="15">
        <f>SUM('1:31'!X10)</f>
        <v>2329.98</v>
      </c>
    </row>
    <row r="11" spans="1:6" x14ac:dyDescent="0.25">
      <c r="A11" s="13">
        <f t="shared" si="0"/>
        <v>8</v>
      </c>
      <c r="B11" s="13" t="str">
        <f>Setup!$A$12</f>
        <v>Expert 08</v>
      </c>
      <c r="C11" s="14">
        <f>SUM('1:31'!Q11)</f>
        <v>36</v>
      </c>
      <c r="D11" s="14">
        <f>SUM('1:31'!R11)</f>
        <v>7</v>
      </c>
      <c r="E11" s="14">
        <f t="shared" si="1"/>
        <v>43</v>
      </c>
      <c r="F11" s="15">
        <f>SUM('1:31'!X11)</f>
        <v>2948.16</v>
      </c>
    </row>
    <row r="12" spans="1:6" x14ac:dyDescent="0.25">
      <c r="A12" s="13">
        <f t="shared" si="0"/>
        <v>11</v>
      </c>
      <c r="B12" s="13" t="str">
        <f>Setup!$A$13</f>
        <v>Expert 09</v>
      </c>
      <c r="C12" s="14">
        <f>SUM('1:31'!Q12)</f>
        <v>28</v>
      </c>
      <c r="D12" s="14">
        <f>SUM('1:31'!R12)</f>
        <v>7</v>
      </c>
      <c r="E12" s="14">
        <f t="shared" si="1"/>
        <v>35</v>
      </c>
      <c r="F12" s="15">
        <f>SUM('1:31'!X12)</f>
        <v>3102.53</v>
      </c>
    </row>
    <row r="13" spans="1:6" x14ac:dyDescent="0.25">
      <c r="A13" s="13">
        <f t="shared" si="0"/>
        <v>6</v>
      </c>
      <c r="B13" s="13" t="str">
        <f>Setup!$A$14</f>
        <v>Expert 10</v>
      </c>
      <c r="C13" s="14">
        <f>SUM('1:31'!Q13)</f>
        <v>32</v>
      </c>
      <c r="D13" s="14">
        <f>SUM('1:31'!R13)</f>
        <v>13</v>
      </c>
      <c r="E13" s="14">
        <f t="shared" si="1"/>
        <v>45</v>
      </c>
      <c r="F13" s="15">
        <f>SUM('1:31'!X13)</f>
        <v>3327.6400000000003</v>
      </c>
    </row>
    <row r="14" spans="1:6" x14ac:dyDescent="0.25">
      <c r="A14" s="13">
        <f t="shared" si="0"/>
        <v>2</v>
      </c>
      <c r="B14" s="13" t="str">
        <f>Setup!$A$15</f>
        <v>Expert 11</v>
      </c>
      <c r="C14" s="14">
        <f>SUM('1:31'!Q14)</f>
        <v>36</v>
      </c>
      <c r="D14" s="14">
        <f>SUM('1:31'!R14)</f>
        <v>18</v>
      </c>
      <c r="E14" s="14">
        <f t="shared" si="1"/>
        <v>54</v>
      </c>
      <c r="F14" s="15">
        <f>SUM('1:31'!X14)</f>
        <v>3257.6299999999997</v>
      </c>
    </row>
    <row r="15" spans="1:6" x14ac:dyDescent="0.25">
      <c r="A15" s="13">
        <f t="shared" si="0"/>
        <v>4</v>
      </c>
      <c r="B15" s="13" t="str">
        <f>Setup!$A$16</f>
        <v>Expert 12</v>
      </c>
      <c r="C15" s="14">
        <f>SUM('1:31'!Q15)</f>
        <v>41</v>
      </c>
      <c r="D15" s="14">
        <f>SUM('1:31'!R15)</f>
        <v>12</v>
      </c>
      <c r="E15" s="14">
        <f t="shared" si="1"/>
        <v>53</v>
      </c>
      <c r="F15" s="15">
        <f>SUM('1:31'!X15)</f>
        <v>3867.1600000000008</v>
      </c>
    </row>
  </sheetData>
  <mergeCells count="2">
    <mergeCell ref="A2:F2"/>
    <mergeCell ref="A1:F1"/>
  </mergeCells>
  <conditionalFormatting sqref="E4:E15">
    <cfRule type="colorScale" priority="1">
      <colorScale>
        <cfvo type="min"/>
        <cfvo type="percentile" val="50"/>
        <cfvo type="max"/>
        <color rgb="FFFFF1F7"/>
        <color rgb="FFF7A9D0"/>
        <color rgb="FFE2007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4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6" customWidth="1"/>
    <col min="2" max="9" width="11" customWidth="1"/>
  </cols>
  <sheetData>
    <row r="1" spans="1:9" ht="24" customHeight="1" x14ac:dyDescent="0.25">
      <c r="A1" s="44" t="s">
        <v>26</v>
      </c>
      <c r="B1" s="22"/>
      <c r="C1" s="22"/>
      <c r="D1" s="22"/>
      <c r="E1" s="22"/>
      <c r="F1" s="22"/>
      <c r="G1" s="22"/>
      <c r="H1" s="22"/>
      <c r="I1" s="22"/>
    </row>
    <row r="2" spans="1:9" ht="21.95" customHeight="1" x14ac:dyDescent="0.25">
      <c r="A2" s="43" t="s">
        <v>19</v>
      </c>
      <c r="B2" s="22"/>
      <c r="C2" s="22"/>
      <c r="D2" s="22"/>
      <c r="E2" s="22"/>
      <c r="F2" s="22"/>
      <c r="G2" s="22"/>
      <c r="H2" s="22"/>
      <c r="I2" s="22"/>
    </row>
    <row r="3" spans="1:9" x14ac:dyDescent="0.25">
      <c r="A3" s="12" t="s">
        <v>0</v>
      </c>
      <c r="B3" s="12" t="s">
        <v>22</v>
      </c>
      <c r="C3" s="12" t="s">
        <v>23</v>
      </c>
      <c r="D3" s="12" t="s">
        <v>15</v>
      </c>
      <c r="E3" s="12" t="s">
        <v>13</v>
      </c>
      <c r="F3" s="12" t="s">
        <v>27</v>
      </c>
      <c r="G3" s="12" t="s">
        <v>28</v>
      </c>
      <c r="H3" s="12" t="s">
        <v>29</v>
      </c>
      <c r="I3" s="12" t="s">
        <v>25</v>
      </c>
    </row>
    <row r="4" spans="1:9" x14ac:dyDescent="0.25">
      <c r="A4" s="13">
        <v>1</v>
      </c>
      <c r="B4" s="14">
        <f>'1'!Q16</f>
        <v>13</v>
      </c>
      <c r="C4" s="14">
        <f>'1'!R16</f>
        <v>4</v>
      </c>
      <c r="D4" s="14">
        <f>'1'!S16</f>
        <v>5</v>
      </c>
      <c r="E4" s="14">
        <f>'1'!T16</f>
        <v>2</v>
      </c>
      <c r="F4" s="14">
        <f>'1'!U16</f>
        <v>4</v>
      </c>
      <c r="G4" s="15">
        <f>'1'!V16</f>
        <v>325</v>
      </c>
      <c r="H4" s="14">
        <f>'1'!W16</f>
        <v>18</v>
      </c>
      <c r="I4" s="15">
        <f>'1'!X16</f>
        <v>1446.5800000000002</v>
      </c>
    </row>
    <row r="5" spans="1:9" x14ac:dyDescent="0.25">
      <c r="A5" s="13">
        <v>2</v>
      </c>
      <c r="B5" s="14">
        <f>'2'!Q16</f>
        <v>16</v>
      </c>
      <c r="C5" s="14">
        <f>'2'!R16</f>
        <v>1</v>
      </c>
      <c r="D5" s="14">
        <f>'2'!S16</f>
        <v>2</v>
      </c>
      <c r="E5" s="14">
        <f>'2'!T16</f>
        <v>2</v>
      </c>
      <c r="F5" s="14">
        <f>'2'!U16</f>
        <v>1</v>
      </c>
      <c r="G5" s="15">
        <f>'2'!V16</f>
        <v>288</v>
      </c>
      <c r="H5" s="14">
        <f>'2'!W16</f>
        <v>19</v>
      </c>
      <c r="I5" s="15">
        <f>'2'!X16</f>
        <v>1848.57</v>
      </c>
    </row>
    <row r="6" spans="1:9" x14ac:dyDescent="0.25">
      <c r="A6" s="13">
        <v>3</v>
      </c>
      <c r="B6" s="14">
        <f>'3'!Q16</f>
        <v>15</v>
      </c>
      <c r="C6" s="14">
        <f>'3'!R16</f>
        <v>3</v>
      </c>
      <c r="D6" s="14">
        <f>'3'!S16</f>
        <v>1</v>
      </c>
      <c r="E6" s="14">
        <f>'3'!T16</f>
        <v>1</v>
      </c>
      <c r="F6" s="14">
        <f>'3'!U16</f>
        <v>5</v>
      </c>
      <c r="G6" s="15">
        <f>'3'!V16</f>
        <v>280</v>
      </c>
      <c r="H6" s="14">
        <f>'3'!W16</f>
        <v>23</v>
      </c>
      <c r="I6" s="15">
        <f>'3'!X16</f>
        <v>1691.3100000000002</v>
      </c>
    </row>
    <row r="7" spans="1:9" x14ac:dyDescent="0.25">
      <c r="A7" s="13">
        <v>4</v>
      </c>
      <c r="B7" s="14">
        <f>'4'!Q16</f>
        <v>13</v>
      </c>
      <c r="C7" s="14">
        <f>'4'!R16</f>
        <v>6</v>
      </c>
      <c r="D7" s="14">
        <f>'4'!S16</f>
        <v>2</v>
      </c>
      <c r="E7" s="14">
        <f>'4'!T16</f>
        <v>1</v>
      </c>
      <c r="F7" s="14">
        <f>'4'!U16</f>
        <v>2</v>
      </c>
      <c r="G7" s="15">
        <f>'4'!V16</f>
        <v>203</v>
      </c>
      <c r="H7" s="14">
        <f>'4'!W16</f>
        <v>20</v>
      </c>
      <c r="I7" s="15">
        <f>'4'!X16</f>
        <v>1096.1200000000001</v>
      </c>
    </row>
    <row r="8" spans="1:9" x14ac:dyDescent="0.25">
      <c r="A8" s="13">
        <v>5</v>
      </c>
      <c r="B8" s="14">
        <f>'5'!Q16</f>
        <v>16</v>
      </c>
      <c r="C8" s="14">
        <f>'5'!R16</f>
        <v>2</v>
      </c>
      <c r="D8" s="14">
        <f>'5'!S16</f>
        <v>1</v>
      </c>
      <c r="E8" s="14">
        <f>'5'!T16</f>
        <v>0</v>
      </c>
      <c r="F8" s="14">
        <f>'5'!U16</f>
        <v>3</v>
      </c>
      <c r="G8" s="15">
        <f>'5'!V16</f>
        <v>178</v>
      </c>
      <c r="H8" s="14">
        <f>'5'!W16</f>
        <v>20</v>
      </c>
      <c r="I8" s="15">
        <f>'5'!X16</f>
        <v>1181.8300000000002</v>
      </c>
    </row>
    <row r="9" spans="1:9" x14ac:dyDescent="0.25">
      <c r="A9" s="13">
        <v>6</v>
      </c>
      <c r="B9" s="14">
        <f>'6'!Q16</f>
        <v>13</v>
      </c>
      <c r="C9" s="14">
        <f>'6'!R16</f>
        <v>2</v>
      </c>
      <c r="D9" s="14">
        <f>'6'!S16</f>
        <v>0</v>
      </c>
      <c r="E9" s="14">
        <f>'6'!T16</f>
        <v>1</v>
      </c>
      <c r="F9" s="14">
        <f>'6'!U16</f>
        <v>1</v>
      </c>
      <c r="G9" s="15">
        <f>'6'!V16</f>
        <v>128</v>
      </c>
      <c r="H9" s="14">
        <f>'6'!W16</f>
        <v>19</v>
      </c>
      <c r="I9" s="15">
        <f>'6'!X16</f>
        <v>1144.3</v>
      </c>
    </row>
    <row r="10" spans="1:9" x14ac:dyDescent="0.25">
      <c r="A10" s="13">
        <v>7</v>
      </c>
      <c r="B10" s="14">
        <f>'7'!Q16</f>
        <v>21</v>
      </c>
      <c r="C10" s="14">
        <f>'7'!R16</f>
        <v>1</v>
      </c>
      <c r="D10" s="14">
        <f>'7'!S16</f>
        <v>1</v>
      </c>
      <c r="E10" s="14">
        <f>'7'!T16</f>
        <v>5</v>
      </c>
      <c r="F10" s="14">
        <f>'7'!U16</f>
        <v>2</v>
      </c>
      <c r="G10" s="15">
        <f>'7'!V16</f>
        <v>271</v>
      </c>
      <c r="H10" s="14">
        <f>'7'!W16</f>
        <v>28</v>
      </c>
      <c r="I10" s="15">
        <f>'7'!X16</f>
        <v>1444.27</v>
      </c>
    </row>
    <row r="11" spans="1:9" x14ac:dyDescent="0.25">
      <c r="A11" s="13">
        <v>8</v>
      </c>
      <c r="B11" s="14">
        <f>'8'!Q16</f>
        <v>18</v>
      </c>
      <c r="C11" s="14">
        <f>'8'!R16</f>
        <v>7</v>
      </c>
      <c r="D11" s="14">
        <f>'8'!S16</f>
        <v>0</v>
      </c>
      <c r="E11" s="14">
        <f>'8'!T16</f>
        <v>2</v>
      </c>
      <c r="F11" s="14">
        <f>'8'!U16</f>
        <v>3</v>
      </c>
      <c r="G11" s="15">
        <f>'8'!V16</f>
        <v>306</v>
      </c>
      <c r="H11" s="14">
        <f>'8'!W16</f>
        <v>25</v>
      </c>
      <c r="I11" s="15">
        <f>'8'!X16</f>
        <v>1664.23</v>
      </c>
    </row>
    <row r="12" spans="1:9" x14ac:dyDescent="0.25">
      <c r="A12" s="13">
        <v>9</v>
      </c>
      <c r="B12" s="14">
        <f>'9'!Q16</f>
        <v>12</v>
      </c>
      <c r="C12" s="14">
        <f>'9'!R16</f>
        <v>5</v>
      </c>
      <c r="D12" s="14">
        <f>'9'!S16</f>
        <v>2</v>
      </c>
      <c r="E12" s="14">
        <f>'9'!T16</f>
        <v>3</v>
      </c>
      <c r="F12" s="14">
        <f>'9'!U16</f>
        <v>7</v>
      </c>
      <c r="G12" s="15">
        <f>'9'!V16</f>
        <v>500</v>
      </c>
      <c r="H12" s="14">
        <f>'9'!W16</f>
        <v>24</v>
      </c>
      <c r="I12" s="15">
        <f>'9'!X16</f>
        <v>2110.42</v>
      </c>
    </row>
    <row r="13" spans="1:9" x14ac:dyDescent="0.25">
      <c r="A13" s="13">
        <v>10</v>
      </c>
      <c r="B13" s="14">
        <f>'10'!Q16</f>
        <v>15</v>
      </c>
      <c r="C13" s="14">
        <f>'10'!R16</f>
        <v>7</v>
      </c>
      <c r="D13" s="14">
        <f>'10'!S16</f>
        <v>2</v>
      </c>
      <c r="E13" s="14">
        <f>'10'!T16</f>
        <v>2</v>
      </c>
      <c r="F13" s="14">
        <f>'10'!U16</f>
        <v>0</v>
      </c>
      <c r="G13" s="15">
        <f>'10'!V16</f>
        <v>299</v>
      </c>
      <c r="H13" s="14">
        <f>'10'!W16</f>
        <v>24</v>
      </c>
      <c r="I13" s="15">
        <f>'10'!X16</f>
        <v>1021.97</v>
      </c>
    </row>
    <row r="14" spans="1:9" x14ac:dyDescent="0.25">
      <c r="A14" s="13">
        <v>11</v>
      </c>
      <c r="B14" s="14">
        <f>'11'!Q16</f>
        <v>10</v>
      </c>
      <c r="C14" s="14">
        <f>'11'!R16</f>
        <v>8</v>
      </c>
      <c r="D14" s="14">
        <f>'11'!S16</f>
        <v>2</v>
      </c>
      <c r="E14" s="14">
        <f>'11'!T16</f>
        <v>3</v>
      </c>
      <c r="F14" s="14">
        <f>'11'!U16</f>
        <v>3</v>
      </c>
      <c r="G14" s="15">
        <f>'11'!V16</f>
        <v>333</v>
      </c>
      <c r="H14" s="14">
        <f>'11'!W16</f>
        <v>21</v>
      </c>
      <c r="I14" s="15">
        <f>'11'!X16</f>
        <v>1315.72</v>
      </c>
    </row>
    <row r="15" spans="1:9" x14ac:dyDescent="0.25">
      <c r="A15" s="13">
        <v>12</v>
      </c>
      <c r="B15" s="14">
        <f>'12'!Q16</f>
        <v>11</v>
      </c>
      <c r="C15" s="14">
        <f>'12'!R16</f>
        <v>5</v>
      </c>
      <c r="D15" s="14">
        <f>'12'!S16</f>
        <v>2</v>
      </c>
      <c r="E15" s="14">
        <f>'12'!T16</f>
        <v>0</v>
      </c>
      <c r="F15" s="14">
        <f>'12'!U16</f>
        <v>1</v>
      </c>
      <c r="G15" s="15">
        <f>'12'!V16</f>
        <v>234</v>
      </c>
      <c r="H15" s="14">
        <f>'12'!W16</f>
        <v>18</v>
      </c>
      <c r="I15" s="15">
        <f>'12'!X16</f>
        <v>819.39</v>
      </c>
    </row>
    <row r="16" spans="1:9" x14ac:dyDescent="0.25">
      <c r="A16" s="13">
        <v>13</v>
      </c>
      <c r="B16" s="14">
        <f>'13'!Q16</f>
        <v>14</v>
      </c>
      <c r="C16" s="14">
        <f>'13'!R16</f>
        <v>6</v>
      </c>
      <c r="D16" s="14">
        <f>'13'!S16</f>
        <v>1</v>
      </c>
      <c r="E16" s="14">
        <f>'13'!T16</f>
        <v>1</v>
      </c>
      <c r="F16" s="14">
        <f>'13'!U16</f>
        <v>1</v>
      </c>
      <c r="G16" s="15">
        <f>'13'!V16</f>
        <v>323</v>
      </c>
      <c r="H16" s="14">
        <f>'13'!W16</f>
        <v>27</v>
      </c>
      <c r="I16" s="15">
        <f>'13'!X16</f>
        <v>1355.04</v>
      </c>
    </row>
    <row r="17" spans="1:9" x14ac:dyDescent="0.25">
      <c r="A17" s="13">
        <v>14</v>
      </c>
      <c r="B17" s="14">
        <f>'14'!Q16</f>
        <v>11</v>
      </c>
      <c r="C17" s="14">
        <f>'14'!R16</f>
        <v>5</v>
      </c>
      <c r="D17" s="14">
        <f>'14'!S16</f>
        <v>1</v>
      </c>
      <c r="E17" s="14">
        <f>'14'!T16</f>
        <v>1</v>
      </c>
      <c r="F17" s="14">
        <f>'14'!U16</f>
        <v>0</v>
      </c>
      <c r="G17" s="15">
        <f>'14'!V16</f>
        <v>168</v>
      </c>
      <c r="H17" s="14">
        <f>'14'!W16</f>
        <v>22</v>
      </c>
      <c r="I17" s="15">
        <f>'14'!X16</f>
        <v>1008.2700000000001</v>
      </c>
    </row>
    <row r="18" spans="1:9" x14ac:dyDescent="0.25">
      <c r="A18" s="13">
        <v>15</v>
      </c>
      <c r="B18" s="14">
        <f>'15'!Q16</f>
        <v>13</v>
      </c>
      <c r="C18" s="14">
        <f>'15'!R16</f>
        <v>3</v>
      </c>
      <c r="D18" s="14">
        <f>'15'!S16</f>
        <v>0</v>
      </c>
      <c r="E18" s="14">
        <f>'15'!T16</f>
        <v>0</v>
      </c>
      <c r="F18" s="14">
        <f>'15'!U16</f>
        <v>3</v>
      </c>
      <c r="G18" s="15">
        <f>'15'!V16</f>
        <v>279</v>
      </c>
      <c r="H18" s="14">
        <f>'15'!W16</f>
        <v>21</v>
      </c>
      <c r="I18" s="15">
        <f>'15'!X16</f>
        <v>1586.0099999999998</v>
      </c>
    </row>
    <row r="19" spans="1:9" x14ac:dyDescent="0.25">
      <c r="A19" s="13">
        <v>16</v>
      </c>
      <c r="B19" s="14">
        <f>'16'!Q16</f>
        <v>17</v>
      </c>
      <c r="C19" s="14">
        <f>'16'!R16</f>
        <v>7</v>
      </c>
      <c r="D19" s="14">
        <f>'16'!S16</f>
        <v>3</v>
      </c>
      <c r="E19" s="14">
        <f>'16'!T16</f>
        <v>4</v>
      </c>
      <c r="F19" s="14">
        <f>'16'!U16</f>
        <v>2</v>
      </c>
      <c r="G19" s="15">
        <f>'16'!V16</f>
        <v>415</v>
      </c>
      <c r="H19" s="14">
        <f>'16'!W16</f>
        <v>28</v>
      </c>
      <c r="I19" s="15">
        <f>'16'!X16</f>
        <v>1147.18</v>
      </c>
    </row>
    <row r="20" spans="1:9" x14ac:dyDescent="0.25">
      <c r="A20" s="13">
        <v>17</v>
      </c>
      <c r="B20" s="14">
        <f>'17'!Q16</f>
        <v>10</v>
      </c>
      <c r="C20" s="14">
        <f>'17'!R16</f>
        <v>7</v>
      </c>
      <c r="D20" s="14">
        <f>'17'!S16</f>
        <v>0</v>
      </c>
      <c r="E20" s="14">
        <f>'17'!T16</f>
        <v>3</v>
      </c>
      <c r="F20" s="14">
        <f>'17'!U16</f>
        <v>1</v>
      </c>
      <c r="G20" s="15">
        <f>'17'!V16</f>
        <v>188</v>
      </c>
      <c r="H20" s="14">
        <f>'17'!W16</f>
        <v>19</v>
      </c>
      <c r="I20" s="15">
        <f>'17'!X16</f>
        <v>863.19000000000017</v>
      </c>
    </row>
    <row r="21" spans="1:9" x14ac:dyDescent="0.25">
      <c r="A21" s="13">
        <v>18</v>
      </c>
      <c r="B21" s="14">
        <f>'18'!Q16</f>
        <v>13</v>
      </c>
      <c r="C21" s="14">
        <f>'18'!R16</f>
        <v>2</v>
      </c>
      <c r="D21" s="14">
        <f>'18'!S16</f>
        <v>1</v>
      </c>
      <c r="E21" s="14">
        <f>'18'!T16</f>
        <v>1</v>
      </c>
      <c r="F21" s="14">
        <f>'18'!U16</f>
        <v>1</v>
      </c>
      <c r="G21" s="15">
        <f>'18'!V16</f>
        <v>244</v>
      </c>
      <c r="H21" s="14">
        <f>'18'!W16</f>
        <v>19</v>
      </c>
      <c r="I21" s="15">
        <f>'18'!X16</f>
        <v>1308.8800000000001</v>
      </c>
    </row>
    <row r="22" spans="1:9" x14ac:dyDescent="0.25">
      <c r="A22" s="13">
        <v>19</v>
      </c>
      <c r="B22" s="14">
        <f>'19'!Q16</f>
        <v>9</v>
      </c>
      <c r="C22" s="14">
        <f>'19'!R16</f>
        <v>5</v>
      </c>
      <c r="D22" s="14">
        <f>'19'!S16</f>
        <v>1</v>
      </c>
      <c r="E22" s="14">
        <f>'19'!T16</f>
        <v>4</v>
      </c>
      <c r="F22" s="14">
        <f>'19'!U16</f>
        <v>2</v>
      </c>
      <c r="G22" s="15">
        <f>'19'!V16</f>
        <v>240</v>
      </c>
      <c r="H22" s="14">
        <f>'19'!W16</f>
        <v>18</v>
      </c>
      <c r="I22" s="15">
        <f>'19'!X16</f>
        <v>1194.6400000000001</v>
      </c>
    </row>
    <row r="23" spans="1:9" x14ac:dyDescent="0.25">
      <c r="A23" s="13">
        <v>20</v>
      </c>
      <c r="B23" s="14">
        <f>'20'!Q16</f>
        <v>10</v>
      </c>
      <c r="C23" s="14">
        <f>'20'!R16</f>
        <v>4</v>
      </c>
      <c r="D23" s="14">
        <f>'20'!S16</f>
        <v>2</v>
      </c>
      <c r="E23" s="14">
        <f>'20'!T16</f>
        <v>0</v>
      </c>
      <c r="F23" s="14">
        <f>'20'!U16</f>
        <v>6</v>
      </c>
      <c r="G23" s="15">
        <f>'20'!V16</f>
        <v>314</v>
      </c>
      <c r="H23" s="14">
        <f>'20'!W16</f>
        <v>24</v>
      </c>
      <c r="I23" s="15">
        <f>'20'!X16</f>
        <v>1376.4399999999998</v>
      </c>
    </row>
    <row r="24" spans="1:9" x14ac:dyDescent="0.25">
      <c r="A24" s="13">
        <v>21</v>
      </c>
      <c r="B24" s="14">
        <f>'21'!Q16</f>
        <v>19</v>
      </c>
      <c r="C24" s="14">
        <f>'21'!R16</f>
        <v>1</v>
      </c>
      <c r="D24" s="14">
        <f>'21'!S16</f>
        <v>1</v>
      </c>
      <c r="E24" s="14">
        <f>'21'!T16</f>
        <v>3</v>
      </c>
      <c r="F24" s="14">
        <f>'21'!U16</f>
        <v>2</v>
      </c>
      <c r="G24" s="15">
        <f>'21'!V16</f>
        <v>151</v>
      </c>
      <c r="H24" s="14">
        <f>'21'!W16</f>
        <v>27</v>
      </c>
      <c r="I24" s="15">
        <f>'21'!X16</f>
        <v>1629.4699999999998</v>
      </c>
    </row>
    <row r="25" spans="1:9" x14ac:dyDescent="0.25">
      <c r="A25" s="13">
        <v>22</v>
      </c>
      <c r="B25" s="14">
        <f>'22'!Q16</f>
        <v>16</v>
      </c>
      <c r="C25" s="14">
        <f>'22'!R16</f>
        <v>1</v>
      </c>
      <c r="D25" s="14">
        <f>'22'!S16</f>
        <v>0</v>
      </c>
      <c r="E25" s="14">
        <f>'22'!T16</f>
        <v>2</v>
      </c>
      <c r="F25" s="14">
        <f>'22'!U16</f>
        <v>0</v>
      </c>
      <c r="G25" s="15">
        <f>'22'!V16</f>
        <v>275</v>
      </c>
      <c r="H25" s="14">
        <f>'22'!W16</f>
        <v>19</v>
      </c>
      <c r="I25" s="15">
        <f>'22'!X16</f>
        <v>1477.5900000000001</v>
      </c>
    </row>
    <row r="26" spans="1:9" x14ac:dyDescent="0.25">
      <c r="A26" s="13">
        <v>23</v>
      </c>
      <c r="B26" s="14">
        <f>'23'!Q16</f>
        <v>11</v>
      </c>
      <c r="C26" s="14">
        <f>'23'!R16</f>
        <v>3</v>
      </c>
      <c r="D26" s="14">
        <f>'23'!S16</f>
        <v>1</v>
      </c>
      <c r="E26" s="14">
        <f>'23'!T16</f>
        <v>0</v>
      </c>
      <c r="F26" s="14">
        <f>'23'!U16</f>
        <v>2</v>
      </c>
      <c r="G26" s="15">
        <f>'23'!V16</f>
        <v>171</v>
      </c>
      <c r="H26" s="14">
        <f>'23'!W16</f>
        <v>13</v>
      </c>
      <c r="I26" s="15">
        <f>'23'!X16</f>
        <v>1201.19</v>
      </c>
    </row>
    <row r="27" spans="1:9" x14ac:dyDescent="0.25">
      <c r="A27" s="13">
        <v>24</v>
      </c>
      <c r="B27" s="14">
        <f>'24'!Q16</f>
        <v>19</v>
      </c>
      <c r="C27" s="14">
        <f>'24'!R16</f>
        <v>4</v>
      </c>
      <c r="D27" s="14">
        <f>'24'!S16</f>
        <v>2</v>
      </c>
      <c r="E27" s="14">
        <f>'24'!T16</f>
        <v>3</v>
      </c>
      <c r="F27" s="14">
        <f>'24'!U16</f>
        <v>1</v>
      </c>
      <c r="G27" s="15">
        <f>'24'!V16</f>
        <v>347</v>
      </c>
      <c r="H27" s="14">
        <f>'24'!W16</f>
        <v>26</v>
      </c>
      <c r="I27" s="15">
        <f>'24'!X16</f>
        <v>1270.3200000000002</v>
      </c>
    </row>
    <row r="28" spans="1:9" x14ac:dyDescent="0.25">
      <c r="A28" s="13">
        <v>25</v>
      </c>
      <c r="B28" s="14">
        <f>'25'!Q16</f>
        <v>8</v>
      </c>
      <c r="C28" s="14">
        <f>'25'!R16</f>
        <v>2</v>
      </c>
      <c r="D28" s="14">
        <f>'25'!S16</f>
        <v>1</v>
      </c>
      <c r="E28" s="14">
        <f>'25'!T16</f>
        <v>8</v>
      </c>
      <c r="F28" s="14">
        <f>'25'!U16</f>
        <v>3</v>
      </c>
      <c r="G28" s="15">
        <f>'25'!V16</f>
        <v>193</v>
      </c>
      <c r="H28" s="14">
        <f>'25'!W16</f>
        <v>12</v>
      </c>
      <c r="I28" s="15">
        <f>'25'!X16</f>
        <v>1460.36</v>
      </c>
    </row>
    <row r="29" spans="1:9" x14ac:dyDescent="0.25">
      <c r="A29" s="13">
        <v>26</v>
      </c>
      <c r="B29" s="14">
        <f>'26'!Q16</f>
        <v>16</v>
      </c>
      <c r="C29" s="14">
        <f>'26'!R16</f>
        <v>6</v>
      </c>
      <c r="D29" s="14">
        <f>'26'!S16</f>
        <v>3</v>
      </c>
      <c r="E29" s="14">
        <f>'26'!T16</f>
        <v>0</v>
      </c>
      <c r="F29" s="14">
        <f>'26'!U16</f>
        <v>2</v>
      </c>
      <c r="G29" s="15">
        <f>'26'!V16</f>
        <v>270</v>
      </c>
      <c r="H29" s="14">
        <f>'26'!W16</f>
        <v>25</v>
      </c>
      <c r="I29" s="15">
        <f>'26'!X16</f>
        <v>1105.6399999999999</v>
      </c>
    </row>
    <row r="30" spans="1:9" x14ac:dyDescent="0.25">
      <c r="A30" s="13">
        <v>27</v>
      </c>
      <c r="B30" s="14">
        <f>'27'!Q16</f>
        <v>10</v>
      </c>
      <c r="C30" s="14">
        <f>'27'!R16</f>
        <v>2</v>
      </c>
      <c r="D30" s="14">
        <f>'27'!S16</f>
        <v>0</v>
      </c>
      <c r="E30" s="14">
        <f>'27'!T16</f>
        <v>1</v>
      </c>
      <c r="F30" s="14">
        <f>'27'!U16</f>
        <v>3</v>
      </c>
      <c r="G30" s="15">
        <f>'27'!V16</f>
        <v>209</v>
      </c>
      <c r="H30" s="14">
        <f>'27'!W16</f>
        <v>16</v>
      </c>
      <c r="I30" s="15">
        <f>'27'!X16</f>
        <v>837.17</v>
      </c>
    </row>
    <row r="31" spans="1:9" x14ac:dyDescent="0.25">
      <c r="A31" s="13">
        <v>28</v>
      </c>
      <c r="B31" s="14">
        <f>'28'!Q16</f>
        <v>12</v>
      </c>
      <c r="C31" s="14">
        <f>'28'!R16</f>
        <v>5</v>
      </c>
      <c r="D31" s="14">
        <f>'28'!S16</f>
        <v>0</v>
      </c>
      <c r="E31" s="14">
        <f>'28'!T16</f>
        <v>3</v>
      </c>
      <c r="F31" s="14">
        <f>'28'!U16</f>
        <v>4</v>
      </c>
      <c r="G31" s="15">
        <f>'28'!V16</f>
        <v>390</v>
      </c>
      <c r="H31" s="14">
        <f>'28'!W16</f>
        <v>23</v>
      </c>
      <c r="I31" s="15">
        <f>'28'!X16</f>
        <v>1179.19</v>
      </c>
    </row>
    <row r="32" spans="1:9" x14ac:dyDescent="0.25">
      <c r="A32" s="13">
        <v>29</v>
      </c>
      <c r="B32" s="14">
        <f>'29'!Q16</f>
        <v>13</v>
      </c>
      <c r="C32" s="14">
        <f>'29'!R16</f>
        <v>5</v>
      </c>
      <c r="D32" s="14">
        <f>'29'!S16</f>
        <v>0</v>
      </c>
      <c r="E32" s="14">
        <f>'29'!T16</f>
        <v>2</v>
      </c>
      <c r="F32" s="14">
        <f>'29'!U16</f>
        <v>4</v>
      </c>
      <c r="G32" s="15">
        <f>'29'!V16</f>
        <v>256</v>
      </c>
      <c r="H32" s="14">
        <f>'29'!W16</f>
        <v>23</v>
      </c>
      <c r="I32" s="15">
        <f>'29'!X16</f>
        <v>1451.7099999999998</v>
      </c>
    </row>
    <row r="33" spans="1:9" x14ac:dyDescent="0.25">
      <c r="A33" s="13">
        <v>30</v>
      </c>
      <c r="B33" s="14">
        <f>'30'!Q16</f>
        <v>16</v>
      </c>
      <c r="C33" s="14">
        <f>'30'!R16</f>
        <v>7</v>
      </c>
      <c r="D33" s="14">
        <f>'30'!S16</f>
        <v>0</v>
      </c>
      <c r="E33" s="14">
        <f>'30'!T16</f>
        <v>1</v>
      </c>
      <c r="F33" s="14">
        <f>'30'!U16</f>
        <v>3</v>
      </c>
      <c r="G33" s="15">
        <f>'30'!V16</f>
        <v>293</v>
      </c>
      <c r="H33" s="14">
        <f>'30'!W16</f>
        <v>24</v>
      </c>
      <c r="I33" s="15">
        <f>'30'!X16</f>
        <v>1315.1399999999999</v>
      </c>
    </row>
    <row r="34" spans="1:9" x14ac:dyDescent="0.25">
      <c r="A34" s="13">
        <v>31</v>
      </c>
      <c r="B34" s="14">
        <f>'31'!Q16</f>
        <v>14</v>
      </c>
      <c r="C34" s="14">
        <f>'31'!R16</f>
        <v>3</v>
      </c>
      <c r="D34" s="14">
        <f>'31'!S16</f>
        <v>3</v>
      </c>
      <c r="E34" s="14">
        <f>'31'!T16</f>
        <v>0</v>
      </c>
      <c r="F34" s="14">
        <f>'31'!U16</f>
        <v>2</v>
      </c>
      <c r="G34" s="15">
        <f>'31'!V16</f>
        <v>220</v>
      </c>
      <c r="H34" s="14">
        <f>'31'!W16</f>
        <v>16</v>
      </c>
      <c r="I34" s="15">
        <f>'31'!X16</f>
        <v>1200.7800000000002</v>
      </c>
    </row>
  </sheetData>
  <mergeCells count="2">
    <mergeCell ref="A1:I1"/>
    <mergeCell ref="A2:I2"/>
  </mergeCells>
  <conditionalFormatting sqref="B4:B34">
    <cfRule type="colorScale" priority="1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C4:C34">
    <cfRule type="colorScale" priority="2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D4:D34">
    <cfRule type="colorScale" priority="3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E4:E34">
    <cfRule type="colorScale" priority="4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F4:F34">
    <cfRule type="colorScale" priority="5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G4:G34">
    <cfRule type="colorScale" priority="6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H4:H34">
    <cfRule type="colorScale" priority="7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I4:I34">
    <cfRule type="colorScale" priority="8">
      <colorScale>
        <cfvo type="min"/>
        <cfvo type="percentile" val="50"/>
        <cfvo type="max"/>
        <color rgb="FFFFFFFF"/>
        <color rgb="FFF7A9D0"/>
        <color rgb="FFE20074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1"/>
  <sheetViews>
    <sheetView showGridLines="0" workbookViewId="0">
      <selection sqref="A1:E1"/>
    </sheetView>
  </sheetViews>
  <sheetFormatPr defaultRowHeight="15" x14ac:dyDescent="0.25"/>
  <cols>
    <col min="1" max="5" width="14" customWidth="1"/>
  </cols>
  <sheetData>
    <row r="1" spans="1:5" ht="24" customHeight="1" x14ac:dyDescent="0.25">
      <c r="A1" s="44" t="s">
        <v>30</v>
      </c>
      <c r="B1" s="22"/>
      <c r="C1" s="22"/>
      <c r="D1" s="22"/>
      <c r="E1" s="22"/>
    </row>
    <row r="2" spans="1:5" ht="21.95" customHeight="1" x14ac:dyDescent="0.25">
      <c r="A2" s="43" t="s">
        <v>19</v>
      </c>
      <c r="B2" s="22"/>
      <c r="C2" s="22"/>
      <c r="D2" s="22"/>
      <c r="E2" s="22"/>
    </row>
    <row r="3" spans="1:5" x14ac:dyDescent="0.25">
      <c r="A3" s="12" t="s">
        <v>31</v>
      </c>
      <c r="B3" s="12" t="s">
        <v>32</v>
      </c>
      <c r="C3" s="12" t="s">
        <v>33</v>
      </c>
      <c r="D3" s="12" t="s">
        <v>34</v>
      </c>
      <c r="E3" s="12" t="s">
        <v>35</v>
      </c>
    </row>
    <row r="4" spans="1:5" x14ac:dyDescent="0.25">
      <c r="A4" s="13" t="s">
        <v>22</v>
      </c>
      <c r="B4" s="14">
        <f>SUM('1:31'!Q16)</f>
        <v>424</v>
      </c>
      <c r="C4" s="14">
        <f>Setup!$F$5</f>
        <v>405</v>
      </c>
      <c r="D4" s="16">
        <f t="shared" ref="D4:D11" si="0">IFERROR(B4/C4,0)</f>
        <v>1.0469135802469136</v>
      </c>
      <c r="E4" s="14">
        <f t="shared" ref="E4:E11" si="1">B4-C4</f>
        <v>19</v>
      </c>
    </row>
    <row r="5" spans="1:5" x14ac:dyDescent="0.25">
      <c r="A5" s="13" t="s">
        <v>23</v>
      </c>
      <c r="B5" s="14">
        <f>SUM('1:31'!R16)</f>
        <v>129</v>
      </c>
      <c r="C5" s="14">
        <f>Setup!$F$6</f>
        <v>135</v>
      </c>
      <c r="D5" s="16">
        <f t="shared" si="0"/>
        <v>0.9555555555555556</v>
      </c>
      <c r="E5" s="14">
        <f t="shared" si="1"/>
        <v>-6</v>
      </c>
    </row>
    <row r="6" spans="1:5" x14ac:dyDescent="0.25">
      <c r="A6" s="13" t="s">
        <v>15</v>
      </c>
      <c r="B6" s="14">
        <f>SUM('1:31'!S16)</f>
        <v>40</v>
      </c>
      <c r="C6" s="14">
        <f>Setup!$F$7</f>
        <v>35</v>
      </c>
      <c r="D6" s="16">
        <f t="shared" si="0"/>
        <v>1.1428571428571428</v>
      </c>
      <c r="E6" s="14">
        <f t="shared" si="1"/>
        <v>5</v>
      </c>
    </row>
    <row r="7" spans="1:5" x14ac:dyDescent="0.25">
      <c r="A7" s="13" t="s">
        <v>13</v>
      </c>
      <c r="B7" s="14">
        <f>SUM('1:31'!T16)</f>
        <v>59</v>
      </c>
      <c r="C7" s="14">
        <f>Setup!$F$8</f>
        <v>60</v>
      </c>
      <c r="D7" s="16">
        <f t="shared" si="0"/>
        <v>0.98333333333333328</v>
      </c>
      <c r="E7" s="14">
        <f t="shared" si="1"/>
        <v>-1</v>
      </c>
    </row>
    <row r="8" spans="1:5" x14ac:dyDescent="0.25">
      <c r="A8" s="13" t="s">
        <v>27</v>
      </c>
      <c r="B8" s="14">
        <f>SUM('1:31'!U16)</f>
        <v>74</v>
      </c>
      <c r="C8" s="14">
        <f>Setup!$F$9</f>
        <v>70</v>
      </c>
      <c r="D8" s="16">
        <f t="shared" si="0"/>
        <v>1.0571428571428572</v>
      </c>
      <c r="E8" s="14">
        <f t="shared" si="1"/>
        <v>4</v>
      </c>
    </row>
    <row r="9" spans="1:5" x14ac:dyDescent="0.25">
      <c r="A9" s="13" t="s">
        <v>28</v>
      </c>
      <c r="B9" s="15">
        <f>SUM('1:31'!V16)</f>
        <v>8291</v>
      </c>
      <c r="C9" s="15">
        <f>Setup!$F$10</f>
        <v>8100</v>
      </c>
      <c r="D9" s="16">
        <f t="shared" si="0"/>
        <v>1.0235802469135802</v>
      </c>
      <c r="E9" s="15">
        <f t="shared" si="1"/>
        <v>191</v>
      </c>
    </row>
    <row r="10" spans="1:5" x14ac:dyDescent="0.25">
      <c r="A10" s="13" t="s">
        <v>29</v>
      </c>
      <c r="B10" s="14">
        <f>SUM('1:31'!W16)</f>
        <v>661</v>
      </c>
      <c r="C10" s="14">
        <f>Setup!$F$11</f>
        <v>625</v>
      </c>
      <c r="D10" s="16">
        <f t="shared" si="0"/>
        <v>1.0576000000000001</v>
      </c>
      <c r="E10" s="14">
        <f t="shared" si="1"/>
        <v>36</v>
      </c>
    </row>
    <row r="11" spans="1:5" x14ac:dyDescent="0.25">
      <c r="A11" s="13" t="s">
        <v>25</v>
      </c>
      <c r="B11" s="15">
        <f>SUM('1:31'!X16)</f>
        <v>40752.919999999991</v>
      </c>
      <c r="C11" s="15">
        <f>Setup!$F$12</f>
        <v>41600</v>
      </c>
      <c r="D11" s="16">
        <f t="shared" si="0"/>
        <v>0.97963749999999983</v>
      </c>
      <c r="E11" s="15">
        <f t="shared" si="1"/>
        <v>-847.08000000000902</v>
      </c>
    </row>
  </sheetData>
  <mergeCells count="2">
    <mergeCell ref="A2:E2"/>
    <mergeCell ref="A1:E1"/>
  </mergeCells>
  <conditionalFormatting sqref="D4:D11">
    <cfRule type="colorScale" priority="1">
      <colorScale>
        <cfvo type="num" val="0.6"/>
        <cfvo type="num" val="1"/>
        <cfvo type="num" val="1.3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1"/>
  <sheetViews>
    <sheetView showGridLines="0" tabSelected="1" workbookViewId="0">
      <pane ySplit="4" topLeftCell="A5" activePane="bottomLeft" state="frozen"/>
      <selection pane="bottomLeft" sqref="A1:F1"/>
    </sheetView>
  </sheetViews>
  <sheetFormatPr defaultRowHeight="15" x14ac:dyDescent="0.25"/>
  <cols>
    <col min="1" max="1" width="20" customWidth="1"/>
    <col min="2" max="2" width="2.42578125" customWidth="1"/>
    <col min="3" max="3" width="26" customWidth="1"/>
    <col min="4" max="4" width="2.42578125" customWidth="1"/>
    <col min="5" max="6" width="15" customWidth="1"/>
  </cols>
  <sheetData>
    <row r="1" spans="1:6" ht="24" customHeight="1" x14ac:dyDescent="0.25">
      <c r="A1" s="44" t="s">
        <v>36</v>
      </c>
      <c r="B1" s="22"/>
      <c r="C1" s="22"/>
      <c r="D1" s="22"/>
      <c r="E1" s="22"/>
      <c r="F1" s="22"/>
    </row>
    <row r="2" spans="1:6" ht="21.95" customHeight="1" x14ac:dyDescent="0.25">
      <c r="A2" s="43" t="s">
        <v>19</v>
      </c>
      <c r="B2" s="22"/>
      <c r="C2" s="22"/>
      <c r="D2" s="22"/>
      <c r="E2" s="22"/>
      <c r="F2" s="22"/>
    </row>
    <row r="4" spans="1:6" x14ac:dyDescent="0.25">
      <c r="A4" s="12" t="s">
        <v>37</v>
      </c>
      <c r="C4" s="12" t="s">
        <v>38</v>
      </c>
      <c r="E4" s="12" t="s">
        <v>31</v>
      </c>
      <c r="F4" s="12" t="s">
        <v>33</v>
      </c>
    </row>
    <row r="5" spans="1:6" x14ac:dyDescent="0.25">
      <c r="A5" s="14" t="s">
        <v>39</v>
      </c>
      <c r="C5" s="14" t="s">
        <v>40</v>
      </c>
      <c r="E5" s="14" t="s">
        <v>22</v>
      </c>
      <c r="F5" s="14">
        <v>405</v>
      </c>
    </row>
    <row r="6" spans="1:6" x14ac:dyDescent="0.25">
      <c r="A6" s="14" t="s">
        <v>41</v>
      </c>
      <c r="C6" s="14" t="s">
        <v>42</v>
      </c>
      <c r="E6" s="14" t="s">
        <v>23</v>
      </c>
      <c r="F6" s="14">
        <v>135</v>
      </c>
    </row>
    <row r="7" spans="1:6" x14ac:dyDescent="0.25">
      <c r="A7" s="14" t="s">
        <v>43</v>
      </c>
      <c r="C7" s="14" t="s">
        <v>44</v>
      </c>
      <c r="E7" s="14" t="s">
        <v>15</v>
      </c>
      <c r="F7" s="14">
        <v>35</v>
      </c>
    </row>
    <row r="8" spans="1:6" x14ac:dyDescent="0.25">
      <c r="A8" s="14" t="s">
        <v>45</v>
      </c>
      <c r="C8" s="14" t="s">
        <v>46</v>
      </c>
      <c r="E8" s="14" t="s">
        <v>13</v>
      </c>
      <c r="F8" s="14">
        <v>60</v>
      </c>
    </row>
    <row r="9" spans="1:6" x14ac:dyDescent="0.25">
      <c r="A9" s="14" t="s">
        <v>47</v>
      </c>
      <c r="C9" s="14" t="s">
        <v>48</v>
      </c>
      <c r="E9" s="14" t="s">
        <v>27</v>
      </c>
      <c r="F9" s="14">
        <v>70</v>
      </c>
    </row>
    <row r="10" spans="1:6" x14ac:dyDescent="0.25">
      <c r="A10" s="14" t="s">
        <v>49</v>
      </c>
      <c r="C10" s="14" t="s">
        <v>50</v>
      </c>
      <c r="E10" s="14" t="s">
        <v>28</v>
      </c>
      <c r="F10" s="15">
        <v>8100</v>
      </c>
    </row>
    <row r="11" spans="1:6" x14ac:dyDescent="0.25">
      <c r="A11" s="14" t="s">
        <v>51</v>
      </c>
      <c r="C11" s="14" t="s">
        <v>52</v>
      </c>
      <c r="E11" s="14" t="s">
        <v>29</v>
      </c>
      <c r="F11" s="14">
        <v>625</v>
      </c>
    </row>
    <row r="12" spans="1:6" x14ac:dyDescent="0.25">
      <c r="A12" s="14" t="s">
        <v>53</v>
      </c>
      <c r="C12" s="14" t="s">
        <v>54</v>
      </c>
      <c r="E12" s="14" t="s">
        <v>25</v>
      </c>
      <c r="F12" s="15">
        <v>41600</v>
      </c>
    </row>
    <row r="13" spans="1:6" x14ac:dyDescent="0.25">
      <c r="A13" s="14" t="s">
        <v>55</v>
      </c>
      <c r="C13" s="14" t="s">
        <v>56</v>
      </c>
    </row>
    <row r="14" spans="1:6" x14ac:dyDescent="0.25">
      <c r="A14" s="14" t="s">
        <v>57</v>
      </c>
      <c r="C14" s="14" t="s">
        <v>58</v>
      </c>
    </row>
    <row r="15" spans="1:6" x14ac:dyDescent="0.25">
      <c r="A15" s="14" t="s">
        <v>59</v>
      </c>
      <c r="C15" s="14" t="s">
        <v>60</v>
      </c>
    </row>
    <row r="16" spans="1:6" x14ac:dyDescent="0.25">
      <c r="A16" s="14" t="s">
        <v>61</v>
      </c>
      <c r="C16" s="14" t="s">
        <v>62</v>
      </c>
    </row>
    <row r="17" spans="3:3" x14ac:dyDescent="0.25">
      <c r="C17" s="14" t="s">
        <v>63</v>
      </c>
    </row>
    <row r="18" spans="3:3" x14ac:dyDescent="0.25">
      <c r="C18" s="14" t="s">
        <v>64</v>
      </c>
    </row>
    <row r="19" spans="3:3" x14ac:dyDescent="0.25">
      <c r="C19" s="14" t="s">
        <v>65</v>
      </c>
    </row>
    <row r="20" spans="3:3" x14ac:dyDescent="0.25">
      <c r="C20" s="14" t="s">
        <v>66</v>
      </c>
    </row>
    <row r="21" spans="3:3" x14ac:dyDescent="0.25">
      <c r="C21" s="14" t="s">
        <v>67</v>
      </c>
    </row>
    <row r="22" spans="3:3" x14ac:dyDescent="0.25">
      <c r="C22" s="14" t="s">
        <v>68</v>
      </c>
    </row>
    <row r="23" spans="3:3" x14ac:dyDescent="0.25">
      <c r="C23" s="14" t="s">
        <v>69</v>
      </c>
    </row>
    <row r="24" spans="3:3" x14ac:dyDescent="0.25">
      <c r="C24" s="14" t="s">
        <v>70</v>
      </c>
    </row>
    <row r="25" spans="3:3" x14ac:dyDescent="0.25">
      <c r="C25" s="14" t="s">
        <v>71</v>
      </c>
    </row>
    <row r="26" spans="3:3" x14ac:dyDescent="0.25">
      <c r="C26" s="14" t="s">
        <v>72</v>
      </c>
    </row>
    <row r="27" spans="3:3" x14ac:dyDescent="0.25">
      <c r="C27" s="14" t="s">
        <v>73</v>
      </c>
    </row>
    <row r="28" spans="3:3" x14ac:dyDescent="0.25">
      <c r="C28" s="14" t="s">
        <v>74</v>
      </c>
    </row>
    <row r="29" spans="3:3" x14ac:dyDescent="0.25">
      <c r="C29" s="14" t="s">
        <v>75</v>
      </c>
    </row>
    <row r="30" spans="3:3" x14ac:dyDescent="0.25">
      <c r="C30" s="14" t="s">
        <v>76</v>
      </c>
    </row>
    <row r="33" spans="1:6" ht="14.1" customHeight="1" x14ac:dyDescent="0.25">
      <c r="A33" s="45" t="s">
        <v>77</v>
      </c>
      <c r="B33" s="46"/>
      <c r="C33" s="46"/>
      <c r="D33" s="46"/>
      <c r="E33" s="46"/>
      <c r="F33" s="46"/>
    </row>
    <row r="34" spans="1:6" ht="14.1" customHeight="1" x14ac:dyDescent="0.25">
      <c r="A34" s="46"/>
      <c r="B34" s="46"/>
      <c r="C34" s="46"/>
      <c r="D34" s="46"/>
      <c r="E34" s="46"/>
      <c r="F34" s="46"/>
    </row>
    <row r="35" spans="1:6" ht="14.1" customHeight="1" x14ac:dyDescent="0.25">
      <c r="A35" s="46"/>
      <c r="B35" s="46"/>
      <c r="C35" s="46"/>
      <c r="D35" s="46"/>
      <c r="E35" s="46"/>
      <c r="F35" s="46"/>
    </row>
    <row r="36" spans="1:6" ht="14.1" customHeight="1" x14ac:dyDescent="0.25">
      <c r="A36" s="46"/>
      <c r="B36" s="46"/>
      <c r="C36" s="46"/>
      <c r="D36" s="46"/>
      <c r="E36" s="46"/>
      <c r="F36" s="46"/>
    </row>
    <row r="37" spans="1:6" ht="14.1" customHeight="1" x14ac:dyDescent="0.25">
      <c r="A37" s="46"/>
      <c r="B37" s="46"/>
      <c r="C37" s="46"/>
      <c r="D37" s="46"/>
      <c r="E37" s="46"/>
      <c r="F37" s="46"/>
    </row>
    <row r="38" spans="1:6" ht="14.1" customHeight="1" x14ac:dyDescent="0.25">
      <c r="A38" s="46"/>
      <c r="B38" s="46"/>
      <c r="C38" s="46"/>
      <c r="D38" s="46"/>
      <c r="E38" s="46"/>
      <c r="F38" s="46"/>
    </row>
    <row r="39" spans="1:6" ht="14.1" customHeight="1" x14ac:dyDescent="0.25">
      <c r="A39" s="46"/>
      <c r="B39" s="46"/>
      <c r="C39" s="46"/>
      <c r="D39" s="46"/>
      <c r="E39" s="46"/>
      <c r="F39" s="46"/>
    </row>
    <row r="40" spans="1:6" ht="14.1" customHeight="1" x14ac:dyDescent="0.25">
      <c r="A40" s="46"/>
      <c r="B40" s="46"/>
      <c r="C40" s="46"/>
      <c r="D40" s="46"/>
      <c r="E40" s="46"/>
      <c r="F40" s="46"/>
    </row>
    <row r="41" spans="1:6" ht="14.1" customHeight="1" x14ac:dyDescent="0.25">
      <c r="A41" s="46"/>
      <c r="B41" s="46"/>
      <c r="C41" s="46"/>
      <c r="D41" s="46"/>
      <c r="E41" s="46"/>
      <c r="F41" s="46"/>
    </row>
  </sheetData>
  <mergeCells count="3">
    <mergeCell ref="A2:F2"/>
    <mergeCell ref="A33:F41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43"/>
  <sheetViews>
    <sheetView showGridLines="0" workbookViewId="0">
      <pane ySplit="3" topLeftCell="A4" activePane="bottomLeft" state="frozen"/>
      <selection pane="bottomLeft" sqref="A1:M1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4" t="s">
        <v>78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</row>
    <row r="2" spans="1:24" ht="21.95" customHeight="1" x14ac:dyDescent="0.25">
      <c r="A2" s="43" t="s">
        <v>19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</row>
    <row r="3" spans="1:24" x14ac:dyDescent="0.25">
      <c r="A3" s="12" t="s">
        <v>79</v>
      </c>
      <c r="B3" s="12" t="s">
        <v>80</v>
      </c>
      <c r="C3" s="12" t="s">
        <v>81</v>
      </c>
      <c r="D3" s="12" t="s">
        <v>82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83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39</v>
      </c>
      <c r="B4" s="14" t="s">
        <v>84</v>
      </c>
      <c r="C4" s="14" t="s">
        <v>85</v>
      </c>
      <c r="D4" s="14" t="s">
        <v>71</v>
      </c>
      <c r="E4" s="14">
        <v>0</v>
      </c>
      <c r="F4" s="14">
        <v>1</v>
      </c>
      <c r="G4" s="14">
        <v>0</v>
      </c>
      <c r="H4" s="14">
        <v>0</v>
      </c>
      <c r="I4" s="14">
        <v>0</v>
      </c>
      <c r="J4" s="17">
        <v>24</v>
      </c>
      <c r="K4" s="14">
        <v>1</v>
      </c>
      <c r="L4" s="17">
        <v>176.07</v>
      </c>
      <c r="M4" s="14" t="s">
        <v>86</v>
      </c>
      <c r="P4" s="14" t="str">
        <f>Setup!$A$5</f>
        <v>Expert 01</v>
      </c>
      <c r="Q4" s="14">
        <f t="shared" ref="Q4:Q15" si="0">SUMIF($A$4:$A$43,$P4,E$4:E$43)</f>
        <v>0</v>
      </c>
      <c r="R4" s="14">
        <f t="shared" ref="R4:R15" si="1">SUMIF($A$4:$A$43,$P4,F$4:F$43)</f>
        <v>1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1</v>
      </c>
      <c r="V4" s="17">
        <f t="shared" ref="V4:V15" si="5">SUMIF($A$4:$A$43,$P4,J$4:J$43)</f>
        <v>48</v>
      </c>
      <c r="W4" s="14">
        <f t="shared" ref="W4:W15" si="6">SUMIF($A$4:$A$43,$P4,K$4:K$43)</f>
        <v>1</v>
      </c>
      <c r="X4" s="17">
        <f t="shared" ref="X4:X15" si="7">SUMIF($A$4:$A$43,$P4,L$4:L$43)</f>
        <v>176.07</v>
      </c>
    </row>
    <row r="5" spans="1:24" x14ac:dyDescent="0.25">
      <c r="A5" s="14" t="s">
        <v>41</v>
      </c>
      <c r="B5" s="14" t="s">
        <v>87</v>
      </c>
      <c r="C5" s="14" t="s">
        <v>88</v>
      </c>
      <c r="D5" s="14" t="s">
        <v>52</v>
      </c>
      <c r="E5" s="14">
        <v>1</v>
      </c>
      <c r="F5" s="14">
        <v>0</v>
      </c>
      <c r="G5" s="14">
        <v>0</v>
      </c>
      <c r="H5" s="14">
        <v>0</v>
      </c>
      <c r="I5" s="14">
        <v>0</v>
      </c>
      <c r="J5" s="17">
        <v>18</v>
      </c>
      <c r="K5" s="14">
        <v>1</v>
      </c>
      <c r="L5" s="17">
        <v>59.44</v>
      </c>
      <c r="M5" s="14" t="s">
        <v>86</v>
      </c>
      <c r="P5" s="14" t="str">
        <f>Setup!$A$6</f>
        <v>Expert 02</v>
      </c>
      <c r="Q5" s="14">
        <f t="shared" si="0"/>
        <v>1</v>
      </c>
      <c r="R5" s="14">
        <f t="shared" si="1"/>
        <v>1</v>
      </c>
      <c r="S5" s="14">
        <f t="shared" si="2"/>
        <v>0</v>
      </c>
      <c r="T5" s="14">
        <f t="shared" si="3"/>
        <v>0</v>
      </c>
      <c r="U5" s="14">
        <f t="shared" si="4"/>
        <v>0</v>
      </c>
      <c r="V5" s="17">
        <f t="shared" si="5"/>
        <v>18</v>
      </c>
      <c r="W5" s="14">
        <f t="shared" si="6"/>
        <v>3</v>
      </c>
      <c r="X5" s="17">
        <f t="shared" si="7"/>
        <v>188.18</v>
      </c>
    </row>
    <row r="6" spans="1:24" x14ac:dyDescent="0.25">
      <c r="A6" s="14" t="s">
        <v>49</v>
      </c>
      <c r="B6" s="14" t="s">
        <v>89</v>
      </c>
      <c r="C6" s="14" t="s">
        <v>90</v>
      </c>
      <c r="D6" s="14" t="s">
        <v>73</v>
      </c>
      <c r="E6" s="14">
        <v>0</v>
      </c>
      <c r="F6" s="14">
        <v>0</v>
      </c>
      <c r="G6" s="14">
        <v>0</v>
      </c>
      <c r="H6" s="14">
        <v>0</v>
      </c>
      <c r="I6" s="14">
        <v>1</v>
      </c>
      <c r="J6" s="17">
        <v>15</v>
      </c>
      <c r="K6" s="14">
        <v>0</v>
      </c>
      <c r="L6" s="17">
        <v>0</v>
      </c>
      <c r="M6" s="14" t="s">
        <v>86</v>
      </c>
      <c r="P6" s="14" t="str">
        <f>Setup!$A$7</f>
        <v>Expert 03</v>
      </c>
      <c r="Q6" s="14">
        <f t="shared" si="0"/>
        <v>1</v>
      </c>
      <c r="R6" s="14">
        <f t="shared" si="1"/>
        <v>0</v>
      </c>
      <c r="S6" s="14">
        <f t="shared" si="2"/>
        <v>0</v>
      </c>
      <c r="T6" s="14">
        <f t="shared" si="3"/>
        <v>1</v>
      </c>
      <c r="U6" s="14">
        <f t="shared" si="4"/>
        <v>1</v>
      </c>
      <c r="V6" s="17">
        <f t="shared" si="5"/>
        <v>33</v>
      </c>
      <c r="W6" s="14">
        <f t="shared" si="6"/>
        <v>1</v>
      </c>
      <c r="X6" s="17">
        <f t="shared" si="7"/>
        <v>128.37</v>
      </c>
    </row>
    <row r="7" spans="1:24" x14ac:dyDescent="0.25">
      <c r="A7" s="14" t="s">
        <v>55</v>
      </c>
      <c r="B7" s="14" t="s">
        <v>91</v>
      </c>
      <c r="C7" s="14" t="s">
        <v>92</v>
      </c>
      <c r="D7" s="14" t="s">
        <v>68</v>
      </c>
      <c r="E7" s="14">
        <v>1</v>
      </c>
      <c r="F7" s="14">
        <v>0</v>
      </c>
      <c r="G7" s="14">
        <v>0</v>
      </c>
      <c r="H7" s="14">
        <v>0</v>
      </c>
      <c r="I7" s="14">
        <v>0</v>
      </c>
      <c r="J7" s="17">
        <v>18</v>
      </c>
      <c r="K7" s="14">
        <v>1</v>
      </c>
      <c r="L7" s="17">
        <v>0</v>
      </c>
      <c r="M7" s="14" t="s">
        <v>86</v>
      </c>
      <c r="P7" s="14" t="str">
        <f>Setup!$A$8</f>
        <v>Expert 04</v>
      </c>
      <c r="Q7" s="14">
        <f t="shared" si="0"/>
        <v>1</v>
      </c>
      <c r="R7" s="14">
        <f t="shared" si="1"/>
        <v>0</v>
      </c>
      <c r="S7" s="14">
        <f t="shared" si="2"/>
        <v>0</v>
      </c>
      <c r="T7" s="14">
        <f t="shared" si="3"/>
        <v>0</v>
      </c>
      <c r="U7" s="14">
        <f t="shared" si="4"/>
        <v>0</v>
      </c>
      <c r="V7" s="17">
        <f t="shared" si="5"/>
        <v>16</v>
      </c>
      <c r="W7" s="14">
        <f t="shared" si="6"/>
        <v>0</v>
      </c>
      <c r="X7" s="17">
        <f t="shared" si="7"/>
        <v>0</v>
      </c>
    </row>
    <row r="8" spans="1:24" x14ac:dyDescent="0.25">
      <c r="A8" s="14" t="s">
        <v>43</v>
      </c>
      <c r="B8" s="14" t="s">
        <v>93</v>
      </c>
      <c r="C8" s="14" t="s">
        <v>94</v>
      </c>
      <c r="D8" s="14" t="s">
        <v>72</v>
      </c>
      <c r="E8" s="14">
        <v>0</v>
      </c>
      <c r="F8" s="14">
        <v>0</v>
      </c>
      <c r="G8" s="14">
        <v>0</v>
      </c>
      <c r="H8" s="14">
        <v>0</v>
      </c>
      <c r="I8" s="14">
        <v>1</v>
      </c>
      <c r="J8" s="17">
        <v>33</v>
      </c>
      <c r="K8" s="14">
        <v>0</v>
      </c>
      <c r="L8" s="17">
        <v>128.37</v>
      </c>
      <c r="M8" s="14" t="s">
        <v>86</v>
      </c>
      <c r="P8" s="14" t="str">
        <f>Setup!$A$9</f>
        <v>Expert 05</v>
      </c>
      <c r="Q8" s="14">
        <f t="shared" si="0"/>
        <v>2</v>
      </c>
      <c r="R8" s="14">
        <f t="shared" si="1"/>
        <v>1</v>
      </c>
      <c r="S8" s="14">
        <f t="shared" si="2"/>
        <v>1</v>
      </c>
      <c r="T8" s="14">
        <f t="shared" si="3"/>
        <v>0</v>
      </c>
      <c r="U8" s="14">
        <f t="shared" si="4"/>
        <v>0</v>
      </c>
      <c r="V8" s="17">
        <f t="shared" si="5"/>
        <v>73</v>
      </c>
      <c r="W8" s="14">
        <f t="shared" si="6"/>
        <v>2</v>
      </c>
      <c r="X8" s="17">
        <f t="shared" si="7"/>
        <v>117.31</v>
      </c>
    </row>
    <row r="9" spans="1:24" x14ac:dyDescent="0.25">
      <c r="A9" s="14" t="s">
        <v>41</v>
      </c>
      <c r="B9" s="14" t="s">
        <v>95</v>
      </c>
      <c r="C9" s="14" t="s">
        <v>96</v>
      </c>
      <c r="D9" s="14" t="s">
        <v>48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7">
        <v>0</v>
      </c>
      <c r="K9" s="14">
        <v>1</v>
      </c>
      <c r="L9" s="17">
        <v>15.65</v>
      </c>
      <c r="M9" s="14" t="s">
        <v>86</v>
      </c>
      <c r="P9" s="14" t="str">
        <f>Setup!$A$10</f>
        <v>Expert 06</v>
      </c>
      <c r="Q9" s="14">
        <f t="shared" si="0"/>
        <v>1</v>
      </c>
      <c r="R9" s="14">
        <f t="shared" si="1"/>
        <v>0</v>
      </c>
      <c r="S9" s="14">
        <f t="shared" si="2"/>
        <v>0</v>
      </c>
      <c r="T9" s="14">
        <f t="shared" si="3"/>
        <v>0</v>
      </c>
      <c r="U9" s="14">
        <f t="shared" si="4"/>
        <v>1</v>
      </c>
      <c r="V9" s="17">
        <f t="shared" si="5"/>
        <v>31</v>
      </c>
      <c r="W9" s="14">
        <f t="shared" si="6"/>
        <v>1</v>
      </c>
      <c r="X9" s="17">
        <f t="shared" si="7"/>
        <v>151.43</v>
      </c>
    </row>
    <row r="10" spans="1:24" x14ac:dyDescent="0.25">
      <c r="A10" s="14" t="s">
        <v>51</v>
      </c>
      <c r="B10" s="14" t="s">
        <v>97</v>
      </c>
      <c r="C10" s="14" t="s">
        <v>98</v>
      </c>
      <c r="D10" s="14" t="s">
        <v>76</v>
      </c>
      <c r="E10" s="14">
        <v>0</v>
      </c>
      <c r="F10" s="14">
        <v>0</v>
      </c>
      <c r="G10" s="14">
        <v>1</v>
      </c>
      <c r="H10" s="14">
        <v>0</v>
      </c>
      <c r="I10" s="14">
        <v>0</v>
      </c>
      <c r="J10" s="17">
        <v>0</v>
      </c>
      <c r="K10" s="14">
        <v>0</v>
      </c>
      <c r="L10" s="17">
        <v>0</v>
      </c>
      <c r="M10" s="14" t="s">
        <v>86</v>
      </c>
      <c r="P10" s="14" t="str">
        <f>Setup!$A$11</f>
        <v>Expert 07</v>
      </c>
      <c r="Q10" s="14">
        <f t="shared" si="0"/>
        <v>0</v>
      </c>
      <c r="R10" s="14">
        <f t="shared" si="1"/>
        <v>0</v>
      </c>
      <c r="S10" s="14">
        <f t="shared" si="2"/>
        <v>1</v>
      </c>
      <c r="T10" s="14">
        <f t="shared" si="3"/>
        <v>0</v>
      </c>
      <c r="U10" s="14">
        <f t="shared" si="4"/>
        <v>0</v>
      </c>
      <c r="V10" s="17">
        <f t="shared" si="5"/>
        <v>0</v>
      </c>
      <c r="W10" s="14">
        <f t="shared" si="6"/>
        <v>0</v>
      </c>
      <c r="X10" s="17">
        <f t="shared" si="7"/>
        <v>0</v>
      </c>
    </row>
    <row r="11" spans="1:24" x14ac:dyDescent="0.25">
      <c r="A11" s="14" t="s">
        <v>43</v>
      </c>
      <c r="B11" s="14" t="s">
        <v>99</v>
      </c>
      <c r="C11" s="14" t="s">
        <v>100</v>
      </c>
      <c r="D11" s="14" t="s">
        <v>48</v>
      </c>
      <c r="E11" s="14">
        <v>1</v>
      </c>
      <c r="F11" s="14">
        <v>0</v>
      </c>
      <c r="G11" s="14">
        <v>0</v>
      </c>
      <c r="H11" s="14">
        <v>1</v>
      </c>
      <c r="I11" s="14">
        <v>0</v>
      </c>
      <c r="J11" s="17">
        <v>0</v>
      </c>
      <c r="K11" s="14">
        <v>1</v>
      </c>
      <c r="L11" s="17">
        <v>0</v>
      </c>
      <c r="M11" s="14" t="s">
        <v>86</v>
      </c>
      <c r="P11" s="14" t="str">
        <f>Setup!$A$12</f>
        <v>Expert 08</v>
      </c>
      <c r="Q11" s="14">
        <f t="shared" si="0"/>
        <v>1</v>
      </c>
      <c r="R11" s="14">
        <f t="shared" si="1"/>
        <v>0</v>
      </c>
      <c r="S11" s="14">
        <f t="shared" si="2"/>
        <v>1</v>
      </c>
      <c r="T11" s="14">
        <f t="shared" si="3"/>
        <v>0</v>
      </c>
      <c r="U11" s="14">
        <f t="shared" si="4"/>
        <v>0</v>
      </c>
      <c r="V11" s="17">
        <f t="shared" si="5"/>
        <v>40</v>
      </c>
      <c r="W11" s="14">
        <f t="shared" si="6"/>
        <v>2</v>
      </c>
      <c r="X11" s="17">
        <f t="shared" si="7"/>
        <v>0</v>
      </c>
    </row>
    <row r="12" spans="1:24" x14ac:dyDescent="0.25">
      <c r="A12" s="14" t="s">
        <v>57</v>
      </c>
      <c r="B12" s="14" t="s">
        <v>101</v>
      </c>
      <c r="C12" s="14" t="s">
        <v>102</v>
      </c>
      <c r="D12" s="14" t="s">
        <v>42</v>
      </c>
      <c r="E12" s="14">
        <v>0</v>
      </c>
      <c r="F12" s="14">
        <v>0</v>
      </c>
      <c r="G12" s="14">
        <v>0</v>
      </c>
      <c r="H12" s="14">
        <v>0</v>
      </c>
      <c r="I12" s="14">
        <v>0</v>
      </c>
      <c r="J12" s="17">
        <v>0</v>
      </c>
      <c r="K12" s="14">
        <v>1</v>
      </c>
      <c r="L12" s="17">
        <v>0</v>
      </c>
      <c r="M12" s="14" t="s">
        <v>86</v>
      </c>
      <c r="P12" s="14" t="str">
        <f>Setup!$A$13</f>
        <v>Expert 09</v>
      </c>
      <c r="Q12" s="14">
        <f t="shared" si="0"/>
        <v>2</v>
      </c>
      <c r="R12" s="14">
        <f t="shared" si="1"/>
        <v>0</v>
      </c>
      <c r="S12" s="14">
        <f t="shared" si="2"/>
        <v>1</v>
      </c>
      <c r="T12" s="14">
        <f t="shared" si="3"/>
        <v>0</v>
      </c>
      <c r="U12" s="14">
        <f t="shared" si="4"/>
        <v>1</v>
      </c>
      <c r="V12" s="17">
        <f t="shared" si="5"/>
        <v>18</v>
      </c>
      <c r="W12" s="14">
        <f t="shared" si="6"/>
        <v>2</v>
      </c>
      <c r="X12" s="17">
        <f t="shared" si="7"/>
        <v>65.66</v>
      </c>
    </row>
    <row r="13" spans="1:24" x14ac:dyDescent="0.25">
      <c r="A13" s="14" t="s">
        <v>53</v>
      </c>
      <c r="B13" s="14" t="s">
        <v>103</v>
      </c>
      <c r="C13" s="14" t="s">
        <v>104</v>
      </c>
      <c r="D13" s="14" t="s">
        <v>56</v>
      </c>
      <c r="E13" s="14">
        <v>1</v>
      </c>
      <c r="F13" s="14">
        <v>0</v>
      </c>
      <c r="G13" s="14">
        <v>1</v>
      </c>
      <c r="H13" s="14">
        <v>0</v>
      </c>
      <c r="I13" s="14">
        <v>0</v>
      </c>
      <c r="J13" s="17">
        <v>24</v>
      </c>
      <c r="K13" s="14">
        <v>1</v>
      </c>
      <c r="L13" s="17">
        <v>0</v>
      </c>
      <c r="M13" s="14" t="s">
        <v>86</v>
      </c>
      <c r="P13" s="14" t="str">
        <f>Setup!$A$14</f>
        <v>Expert 10</v>
      </c>
      <c r="Q13" s="14">
        <f t="shared" si="0"/>
        <v>1</v>
      </c>
      <c r="R13" s="14">
        <f t="shared" si="1"/>
        <v>0</v>
      </c>
      <c r="S13" s="14">
        <f t="shared" si="2"/>
        <v>0</v>
      </c>
      <c r="T13" s="14">
        <f t="shared" si="3"/>
        <v>0</v>
      </c>
      <c r="U13" s="14">
        <f t="shared" si="4"/>
        <v>0</v>
      </c>
      <c r="V13" s="17">
        <f t="shared" si="5"/>
        <v>15</v>
      </c>
      <c r="W13" s="14">
        <f t="shared" si="6"/>
        <v>2</v>
      </c>
      <c r="X13" s="17">
        <f t="shared" si="7"/>
        <v>90.74</v>
      </c>
    </row>
    <row r="14" spans="1:24" x14ac:dyDescent="0.25">
      <c r="A14" s="14" t="s">
        <v>61</v>
      </c>
      <c r="B14" s="14" t="s">
        <v>105</v>
      </c>
      <c r="C14" s="14" t="s">
        <v>106</v>
      </c>
      <c r="D14" s="14" t="s">
        <v>74</v>
      </c>
      <c r="E14" s="14">
        <v>1</v>
      </c>
      <c r="F14" s="14">
        <v>0</v>
      </c>
      <c r="G14" s="14">
        <v>0</v>
      </c>
      <c r="H14" s="14">
        <v>0</v>
      </c>
      <c r="I14" s="14">
        <v>0</v>
      </c>
      <c r="J14" s="17">
        <v>0</v>
      </c>
      <c r="K14" s="14">
        <v>0</v>
      </c>
      <c r="L14" s="17">
        <v>0</v>
      </c>
      <c r="M14" s="14" t="s">
        <v>86</v>
      </c>
      <c r="P14" s="14" t="str">
        <f>Setup!$A$15</f>
        <v>Expert 11</v>
      </c>
      <c r="Q14" s="14">
        <f t="shared" si="0"/>
        <v>1</v>
      </c>
      <c r="R14" s="14">
        <f t="shared" si="1"/>
        <v>1</v>
      </c>
      <c r="S14" s="14">
        <f t="shared" si="2"/>
        <v>0</v>
      </c>
      <c r="T14" s="14">
        <f t="shared" si="3"/>
        <v>0</v>
      </c>
      <c r="U14" s="14">
        <f t="shared" si="4"/>
        <v>0</v>
      </c>
      <c r="V14" s="17">
        <f t="shared" si="5"/>
        <v>15</v>
      </c>
      <c r="W14" s="14">
        <f t="shared" si="6"/>
        <v>2</v>
      </c>
      <c r="X14" s="17">
        <f t="shared" si="7"/>
        <v>232.81</v>
      </c>
    </row>
    <row r="15" spans="1:24" x14ac:dyDescent="0.25">
      <c r="A15" s="14" t="s">
        <v>47</v>
      </c>
      <c r="B15" s="14" t="s">
        <v>107</v>
      </c>
      <c r="C15" s="14" t="s">
        <v>108</v>
      </c>
      <c r="D15" s="14" t="s">
        <v>75</v>
      </c>
      <c r="E15" s="14">
        <v>0</v>
      </c>
      <c r="F15" s="14">
        <v>1</v>
      </c>
      <c r="G15" s="14">
        <v>0</v>
      </c>
      <c r="H15" s="14">
        <v>0</v>
      </c>
      <c r="I15" s="14">
        <v>0</v>
      </c>
      <c r="J15" s="17">
        <v>24</v>
      </c>
      <c r="K15" s="14">
        <v>0</v>
      </c>
      <c r="L15" s="17">
        <v>62.79</v>
      </c>
      <c r="M15" s="14" t="s">
        <v>86</v>
      </c>
      <c r="P15" s="14" t="str">
        <f>Setup!$A$16</f>
        <v>Expert 12</v>
      </c>
      <c r="Q15" s="14">
        <f t="shared" si="0"/>
        <v>2</v>
      </c>
      <c r="R15" s="14">
        <f t="shared" si="1"/>
        <v>0</v>
      </c>
      <c r="S15" s="14">
        <f t="shared" si="2"/>
        <v>1</v>
      </c>
      <c r="T15" s="14">
        <f t="shared" si="3"/>
        <v>1</v>
      </c>
      <c r="U15" s="14">
        <f t="shared" si="4"/>
        <v>0</v>
      </c>
      <c r="V15" s="17">
        <f t="shared" si="5"/>
        <v>18</v>
      </c>
      <c r="W15" s="14">
        <f t="shared" si="6"/>
        <v>2</v>
      </c>
      <c r="X15" s="17">
        <f t="shared" si="7"/>
        <v>296.01</v>
      </c>
    </row>
    <row r="16" spans="1:24" x14ac:dyDescent="0.25">
      <c r="A16" s="14" t="s">
        <v>39</v>
      </c>
      <c r="B16" s="14" t="s">
        <v>109</v>
      </c>
      <c r="C16" s="14" t="s">
        <v>110</v>
      </c>
      <c r="D16" s="14" t="s">
        <v>73</v>
      </c>
      <c r="E16" s="14">
        <v>0</v>
      </c>
      <c r="F16" s="14">
        <v>0</v>
      </c>
      <c r="G16" s="14">
        <v>0</v>
      </c>
      <c r="H16" s="14">
        <v>0</v>
      </c>
      <c r="I16" s="14">
        <v>1</v>
      </c>
      <c r="J16" s="17">
        <v>24</v>
      </c>
      <c r="K16" s="14">
        <v>0</v>
      </c>
      <c r="L16" s="17">
        <v>0</v>
      </c>
      <c r="M16" s="14" t="s">
        <v>86</v>
      </c>
      <c r="P16" s="18" t="s">
        <v>111</v>
      </c>
      <c r="Q16" s="19">
        <f t="shared" ref="Q16:X16" si="8">SUM(Q4:Q15)</f>
        <v>13</v>
      </c>
      <c r="R16" s="19">
        <f t="shared" si="8"/>
        <v>4</v>
      </c>
      <c r="S16" s="19">
        <f t="shared" si="8"/>
        <v>5</v>
      </c>
      <c r="T16" s="19">
        <f t="shared" si="8"/>
        <v>2</v>
      </c>
      <c r="U16" s="19">
        <f t="shared" si="8"/>
        <v>4</v>
      </c>
      <c r="V16" s="20">
        <f t="shared" si="8"/>
        <v>325</v>
      </c>
      <c r="W16" s="19">
        <f t="shared" si="8"/>
        <v>18</v>
      </c>
      <c r="X16" s="20">
        <f t="shared" si="8"/>
        <v>1446.5800000000002</v>
      </c>
    </row>
    <row r="17" spans="1:13" x14ac:dyDescent="0.25">
      <c r="A17" s="14" t="s">
        <v>61</v>
      </c>
      <c r="B17" s="14" t="s">
        <v>112</v>
      </c>
      <c r="C17" s="14" t="s">
        <v>113</v>
      </c>
      <c r="D17" s="14" t="s">
        <v>64</v>
      </c>
      <c r="E17" s="14">
        <v>1</v>
      </c>
      <c r="F17" s="14">
        <v>0</v>
      </c>
      <c r="G17" s="14">
        <v>1</v>
      </c>
      <c r="H17" s="14">
        <v>1</v>
      </c>
      <c r="I17" s="14">
        <v>0</v>
      </c>
      <c r="J17" s="17">
        <v>0</v>
      </c>
      <c r="K17" s="14">
        <v>1</v>
      </c>
      <c r="L17" s="17">
        <v>148.08000000000001</v>
      </c>
      <c r="M17" s="14" t="s">
        <v>86</v>
      </c>
    </row>
    <row r="18" spans="1:13" x14ac:dyDescent="0.25">
      <c r="A18" s="14" t="s">
        <v>47</v>
      </c>
      <c r="B18" s="14" t="s">
        <v>114</v>
      </c>
      <c r="C18" s="14" t="s">
        <v>115</v>
      </c>
      <c r="D18" s="14" t="s">
        <v>63</v>
      </c>
      <c r="E18" s="14">
        <v>1</v>
      </c>
      <c r="F18" s="14">
        <v>0</v>
      </c>
      <c r="G18" s="14">
        <v>0</v>
      </c>
      <c r="H18" s="14">
        <v>0</v>
      </c>
      <c r="I18" s="14">
        <v>0</v>
      </c>
      <c r="J18" s="17">
        <v>16</v>
      </c>
      <c r="K18" s="14">
        <v>1</v>
      </c>
      <c r="L18" s="17">
        <v>0</v>
      </c>
      <c r="M18" s="14" t="s">
        <v>86</v>
      </c>
    </row>
    <row r="19" spans="1:13" x14ac:dyDescent="0.25">
      <c r="A19" s="14" t="s">
        <v>61</v>
      </c>
      <c r="B19" s="14" t="s">
        <v>116</v>
      </c>
      <c r="C19" s="14" t="s">
        <v>117</v>
      </c>
      <c r="D19" s="14" t="s">
        <v>52</v>
      </c>
      <c r="E19" s="14">
        <v>0</v>
      </c>
      <c r="F19" s="14">
        <v>0</v>
      </c>
      <c r="G19" s="14">
        <v>0</v>
      </c>
      <c r="H19" s="14">
        <v>0</v>
      </c>
      <c r="I19" s="14">
        <v>0</v>
      </c>
      <c r="J19" s="17">
        <v>18</v>
      </c>
      <c r="K19" s="14">
        <v>1</v>
      </c>
      <c r="L19" s="17">
        <v>147.93</v>
      </c>
      <c r="M19" s="14" t="s">
        <v>86</v>
      </c>
    </row>
    <row r="20" spans="1:13" x14ac:dyDescent="0.25">
      <c r="A20" s="14" t="s">
        <v>55</v>
      </c>
      <c r="B20" s="14" t="s">
        <v>118</v>
      </c>
      <c r="C20" s="14" t="s">
        <v>119</v>
      </c>
      <c r="D20" s="14" t="s">
        <v>73</v>
      </c>
      <c r="E20" s="14">
        <v>0</v>
      </c>
      <c r="F20" s="14">
        <v>0</v>
      </c>
      <c r="G20" s="14">
        <v>1</v>
      </c>
      <c r="H20" s="14">
        <v>0</v>
      </c>
      <c r="I20" s="14">
        <v>1</v>
      </c>
      <c r="J20" s="17">
        <v>0</v>
      </c>
      <c r="K20" s="14">
        <v>0</v>
      </c>
      <c r="L20" s="17">
        <v>0</v>
      </c>
      <c r="M20" s="14" t="s">
        <v>86</v>
      </c>
    </row>
    <row r="21" spans="1:13" x14ac:dyDescent="0.25">
      <c r="A21" s="14" t="s">
        <v>53</v>
      </c>
      <c r="B21" s="14" t="s">
        <v>120</v>
      </c>
      <c r="C21" s="14" t="s">
        <v>121</v>
      </c>
      <c r="D21" s="14" t="s">
        <v>46</v>
      </c>
      <c r="E21" s="14">
        <v>0</v>
      </c>
      <c r="F21" s="14">
        <v>0</v>
      </c>
      <c r="G21" s="14">
        <v>0</v>
      </c>
      <c r="H21" s="14">
        <v>0</v>
      </c>
      <c r="I21" s="14">
        <v>0</v>
      </c>
      <c r="J21" s="17">
        <v>16</v>
      </c>
      <c r="K21" s="14">
        <v>1</v>
      </c>
      <c r="L21" s="17">
        <v>0</v>
      </c>
      <c r="M21" s="14" t="s">
        <v>86</v>
      </c>
    </row>
    <row r="22" spans="1:13" x14ac:dyDescent="0.25">
      <c r="A22" s="14" t="s">
        <v>59</v>
      </c>
      <c r="B22" s="14" t="s">
        <v>122</v>
      </c>
      <c r="C22" s="14" t="s">
        <v>123</v>
      </c>
      <c r="D22" s="14" t="s">
        <v>63</v>
      </c>
      <c r="E22" s="14">
        <v>0</v>
      </c>
      <c r="F22" s="14">
        <v>1</v>
      </c>
      <c r="G22" s="14">
        <v>0</v>
      </c>
      <c r="H22" s="14">
        <v>0</v>
      </c>
      <c r="I22" s="14">
        <v>0</v>
      </c>
      <c r="J22" s="17">
        <v>15</v>
      </c>
      <c r="K22" s="14">
        <v>1</v>
      </c>
      <c r="L22" s="17">
        <v>128.05000000000001</v>
      </c>
      <c r="M22" s="14" t="s">
        <v>86</v>
      </c>
    </row>
    <row r="23" spans="1:13" x14ac:dyDescent="0.25">
      <c r="A23" s="14" t="s">
        <v>41</v>
      </c>
      <c r="B23" s="14" t="s">
        <v>124</v>
      </c>
      <c r="C23" s="14" t="s">
        <v>125</v>
      </c>
      <c r="D23" s="14" t="s">
        <v>58</v>
      </c>
      <c r="E23" s="14">
        <v>0</v>
      </c>
      <c r="F23" s="14">
        <v>1</v>
      </c>
      <c r="G23" s="14">
        <v>0</v>
      </c>
      <c r="H23" s="14">
        <v>0</v>
      </c>
      <c r="I23" s="14">
        <v>0</v>
      </c>
      <c r="J23" s="17">
        <v>0</v>
      </c>
      <c r="K23" s="14">
        <v>1</v>
      </c>
      <c r="L23" s="17">
        <v>113.09</v>
      </c>
      <c r="M23" s="14" t="s">
        <v>86</v>
      </c>
    </row>
    <row r="24" spans="1:13" x14ac:dyDescent="0.25">
      <c r="A24" s="14" t="s">
        <v>57</v>
      </c>
      <c r="B24" s="14" t="s">
        <v>126</v>
      </c>
      <c r="C24" s="14" t="s">
        <v>127</v>
      </c>
      <c r="D24" s="14" t="s">
        <v>58</v>
      </c>
      <c r="E24" s="14">
        <v>1</v>
      </c>
      <c r="F24" s="14">
        <v>0</v>
      </c>
      <c r="G24" s="14">
        <v>0</v>
      </c>
      <c r="H24" s="14">
        <v>0</v>
      </c>
      <c r="I24" s="14">
        <v>0</v>
      </c>
      <c r="J24" s="17">
        <v>15</v>
      </c>
      <c r="K24" s="14">
        <v>1</v>
      </c>
      <c r="L24" s="17">
        <v>90.74</v>
      </c>
      <c r="M24" s="14" t="s">
        <v>86</v>
      </c>
    </row>
    <row r="25" spans="1:13" x14ac:dyDescent="0.25">
      <c r="A25" s="14" t="s">
        <v>47</v>
      </c>
      <c r="B25" s="14" t="s">
        <v>128</v>
      </c>
      <c r="C25" s="14" t="s">
        <v>129</v>
      </c>
      <c r="D25" s="14" t="s">
        <v>76</v>
      </c>
      <c r="E25" s="14">
        <v>0</v>
      </c>
      <c r="F25" s="14">
        <v>0</v>
      </c>
      <c r="G25" s="14">
        <v>0</v>
      </c>
      <c r="H25" s="14">
        <v>0</v>
      </c>
      <c r="I25" s="14">
        <v>0</v>
      </c>
      <c r="J25" s="17">
        <v>33</v>
      </c>
      <c r="K25" s="14">
        <v>0</v>
      </c>
      <c r="L25" s="17">
        <v>54.52</v>
      </c>
      <c r="M25" s="14" t="s">
        <v>86</v>
      </c>
    </row>
    <row r="26" spans="1:13" x14ac:dyDescent="0.25">
      <c r="A26" s="14" t="s">
        <v>47</v>
      </c>
      <c r="B26" s="14" t="s">
        <v>130</v>
      </c>
      <c r="C26" s="14" t="s">
        <v>131</v>
      </c>
      <c r="D26" s="14" t="s">
        <v>66</v>
      </c>
      <c r="E26" s="14">
        <v>1</v>
      </c>
      <c r="F26" s="14">
        <v>0</v>
      </c>
      <c r="G26" s="14">
        <v>1</v>
      </c>
      <c r="H26" s="14">
        <v>0</v>
      </c>
      <c r="I26" s="14">
        <v>0</v>
      </c>
      <c r="J26" s="17">
        <v>0</v>
      </c>
      <c r="K26" s="14">
        <v>1</v>
      </c>
      <c r="L26" s="17">
        <v>0</v>
      </c>
      <c r="M26" s="14" t="s">
        <v>86</v>
      </c>
    </row>
    <row r="27" spans="1:13" x14ac:dyDescent="0.25">
      <c r="A27" s="14" t="s">
        <v>45</v>
      </c>
      <c r="B27" s="14" t="s">
        <v>132</v>
      </c>
      <c r="C27" s="14" t="s">
        <v>133</v>
      </c>
      <c r="D27" s="14" t="s">
        <v>74</v>
      </c>
      <c r="E27" s="14">
        <v>1</v>
      </c>
      <c r="F27" s="14">
        <v>0</v>
      </c>
      <c r="G27" s="14">
        <v>0</v>
      </c>
      <c r="H27" s="14">
        <v>0</v>
      </c>
      <c r="I27" s="14">
        <v>0</v>
      </c>
      <c r="J27" s="17">
        <v>16</v>
      </c>
      <c r="K27" s="14">
        <v>0</v>
      </c>
      <c r="L27" s="17">
        <v>0</v>
      </c>
      <c r="M27" s="14" t="s">
        <v>86</v>
      </c>
    </row>
    <row r="28" spans="1:13" x14ac:dyDescent="0.25">
      <c r="A28" s="14" t="s">
        <v>49</v>
      </c>
      <c r="B28" s="14" t="s">
        <v>134</v>
      </c>
      <c r="C28" s="14" t="s">
        <v>135</v>
      </c>
      <c r="D28" s="14" t="s">
        <v>48</v>
      </c>
      <c r="E28" s="14">
        <v>1</v>
      </c>
      <c r="F28" s="14">
        <v>0</v>
      </c>
      <c r="G28" s="14">
        <v>0</v>
      </c>
      <c r="H28" s="14">
        <v>0</v>
      </c>
      <c r="I28" s="14">
        <v>0</v>
      </c>
      <c r="J28" s="17">
        <v>16</v>
      </c>
      <c r="K28" s="14">
        <v>1</v>
      </c>
      <c r="L28" s="17">
        <v>151.43</v>
      </c>
      <c r="M28" s="14" t="s">
        <v>86</v>
      </c>
    </row>
    <row r="29" spans="1:13" x14ac:dyDescent="0.25">
      <c r="A29" s="14" t="s">
        <v>59</v>
      </c>
      <c r="B29" s="14" t="s">
        <v>136</v>
      </c>
      <c r="C29" s="14" t="s">
        <v>137</v>
      </c>
      <c r="D29" s="14" t="s">
        <v>40</v>
      </c>
      <c r="E29" s="14">
        <v>1</v>
      </c>
      <c r="F29" s="14">
        <v>0</v>
      </c>
      <c r="G29" s="14">
        <v>0</v>
      </c>
      <c r="H29" s="14">
        <v>0</v>
      </c>
      <c r="I29" s="14">
        <v>0</v>
      </c>
      <c r="J29" s="17">
        <v>0</v>
      </c>
      <c r="K29" s="14">
        <v>1</v>
      </c>
      <c r="L29" s="17">
        <v>104.76</v>
      </c>
      <c r="M29" s="14" t="s">
        <v>86</v>
      </c>
    </row>
    <row r="30" spans="1:13" x14ac:dyDescent="0.25">
      <c r="A30" s="14" t="s">
        <v>55</v>
      </c>
      <c r="B30" s="14" t="s">
        <v>138</v>
      </c>
      <c r="C30" s="14" t="s">
        <v>139</v>
      </c>
      <c r="D30" s="14" t="s">
        <v>64</v>
      </c>
      <c r="E30" s="14">
        <v>1</v>
      </c>
      <c r="F30" s="14">
        <v>0</v>
      </c>
      <c r="G30" s="14">
        <v>0</v>
      </c>
      <c r="H30" s="14">
        <v>0</v>
      </c>
      <c r="I30" s="14">
        <v>0</v>
      </c>
      <c r="J30" s="17">
        <v>0</v>
      </c>
      <c r="K30" s="14">
        <v>1</v>
      </c>
      <c r="L30" s="17">
        <v>65.66</v>
      </c>
      <c r="M30" s="14" t="s">
        <v>86</v>
      </c>
    </row>
    <row r="31" spans="1:13" x14ac:dyDescent="0.25">
      <c r="A31" s="14"/>
      <c r="B31" s="14"/>
      <c r="C31" s="14"/>
      <c r="D31" s="14"/>
      <c r="E31" s="14"/>
      <c r="F31" s="14"/>
      <c r="G31" s="14"/>
      <c r="H31" s="14"/>
      <c r="I31" s="14"/>
      <c r="J31" s="17"/>
      <c r="K31" s="14"/>
      <c r="L31" s="17"/>
      <c r="M31" s="14"/>
    </row>
    <row r="32" spans="1:13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7"/>
      <c r="K32" s="14"/>
      <c r="L32" s="17"/>
      <c r="M32" s="14"/>
    </row>
    <row r="33" spans="1:13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7"/>
      <c r="K33" s="14"/>
      <c r="L33" s="17"/>
      <c r="M33" s="14"/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7"/>
      <c r="K34" s="14"/>
      <c r="L34" s="17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7"/>
      <c r="K35" s="14"/>
      <c r="L35" s="17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7"/>
      <c r="K36" s="14"/>
      <c r="L36" s="17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7"/>
      <c r="K37" s="14"/>
      <c r="L37" s="17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7"/>
      <c r="K38" s="14"/>
      <c r="L38" s="17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7"/>
      <c r="K39" s="14"/>
      <c r="L39" s="17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7"/>
      <c r="K40" s="14"/>
      <c r="L40" s="17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7"/>
      <c r="K41" s="14"/>
      <c r="L41" s="17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7"/>
      <c r="K42" s="14"/>
      <c r="L42" s="17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7"/>
      <c r="K43" s="14"/>
      <c r="L43" s="17"/>
      <c r="M43" s="14"/>
    </row>
  </sheetData>
  <mergeCells count="2">
    <mergeCell ref="A2:M2"/>
    <mergeCell ref="A1:M1"/>
  </mergeCells>
  <dataValidations count="1">
    <dataValidation type="list" allowBlank="1" sqref="M4:M43" xr:uid="{00000000-0002-0000-05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500-000000000000}">
          <x14:formula1>
            <xm:f>Setup!$A$5:$A$16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0500-000001000000}">
          <x14:formula1>
            <xm:f>Setup!$C$5:$C$30</xm:f>
          </x14:formula1>
          <xm:sqref>D4:D43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4" t="s">
        <v>140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</row>
    <row r="2" spans="1:24" ht="21.95" customHeight="1" x14ac:dyDescent="0.25">
      <c r="A2" s="43" t="s">
        <v>19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</row>
    <row r="3" spans="1:24" x14ac:dyDescent="0.25">
      <c r="A3" s="12" t="s">
        <v>79</v>
      </c>
      <c r="B3" s="12" t="s">
        <v>80</v>
      </c>
      <c r="C3" s="12" t="s">
        <v>81</v>
      </c>
      <c r="D3" s="12" t="s">
        <v>82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83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51</v>
      </c>
      <c r="B4" s="14" t="s">
        <v>141</v>
      </c>
      <c r="C4" s="14" t="s">
        <v>142</v>
      </c>
      <c r="D4" s="14" t="s">
        <v>63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7">
        <v>0</v>
      </c>
      <c r="K4" s="14">
        <v>1</v>
      </c>
      <c r="L4" s="17">
        <v>0</v>
      </c>
      <c r="M4" s="14" t="s">
        <v>86</v>
      </c>
      <c r="P4" s="14" t="str">
        <f>Setup!$A$5</f>
        <v>Expert 01</v>
      </c>
      <c r="Q4" s="14">
        <f t="shared" ref="Q4:Q15" si="0">SUMIF($A$4:$A$43,$P4,E$4:E$43)</f>
        <v>1</v>
      </c>
      <c r="R4" s="14">
        <f t="shared" ref="R4:R15" si="1">SUMIF($A$4:$A$43,$P4,F$4:F$43)</f>
        <v>0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7">
        <f t="shared" ref="V4:V15" si="5">SUMIF($A$4:$A$43,$P4,J$4:J$43)</f>
        <v>33</v>
      </c>
      <c r="W4" s="14">
        <f t="shared" ref="W4:W15" si="6">SUMIF($A$4:$A$43,$P4,K$4:K$43)</f>
        <v>1</v>
      </c>
      <c r="X4" s="17">
        <f t="shared" ref="X4:X15" si="7">SUMIF($A$4:$A$43,$P4,L$4:L$43)</f>
        <v>139.08000000000001</v>
      </c>
    </row>
    <row r="5" spans="1:24" x14ac:dyDescent="0.25">
      <c r="A5" s="14" t="s">
        <v>49</v>
      </c>
      <c r="B5" s="14" t="s">
        <v>143</v>
      </c>
      <c r="C5" s="14" t="s">
        <v>144</v>
      </c>
      <c r="D5" s="14" t="s">
        <v>46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7">
        <v>0</v>
      </c>
      <c r="K5" s="14">
        <v>1</v>
      </c>
      <c r="L5" s="17">
        <v>8.24</v>
      </c>
      <c r="M5" s="14" t="s">
        <v>86</v>
      </c>
      <c r="P5" s="14" t="str">
        <f>Setup!$A$6</f>
        <v>Expert 02</v>
      </c>
      <c r="Q5" s="14">
        <f t="shared" si="0"/>
        <v>4</v>
      </c>
      <c r="R5" s="14">
        <f t="shared" si="1"/>
        <v>0</v>
      </c>
      <c r="S5" s="14">
        <f t="shared" si="2"/>
        <v>0</v>
      </c>
      <c r="T5" s="14">
        <f t="shared" si="3"/>
        <v>1</v>
      </c>
      <c r="U5" s="14">
        <f t="shared" si="4"/>
        <v>0</v>
      </c>
      <c r="V5" s="17">
        <f t="shared" si="5"/>
        <v>48</v>
      </c>
      <c r="W5" s="14">
        <f t="shared" si="6"/>
        <v>4</v>
      </c>
      <c r="X5" s="17">
        <f t="shared" si="7"/>
        <v>457.32000000000005</v>
      </c>
    </row>
    <row r="6" spans="1:24" x14ac:dyDescent="0.25">
      <c r="A6" s="14" t="s">
        <v>55</v>
      </c>
      <c r="B6" s="14" t="s">
        <v>145</v>
      </c>
      <c r="C6" s="14" t="s">
        <v>146</v>
      </c>
      <c r="D6" s="14" t="s">
        <v>64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7">
        <v>18</v>
      </c>
      <c r="K6" s="14">
        <v>1</v>
      </c>
      <c r="L6" s="17">
        <v>89.16</v>
      </c>
      <c r="M6" s="14" t="s">
        <v>86</v>
      </c>
      <c r="P6" s="14" t="str">
        <f>Setup!$A$7</f>
        <v>Expert 03</v>
      </c>
      <c r="Q6" s="14">
        <f t="shared" si="0"/>
        <v>0</v>
      </c>
      <c r="R6" s="14">
        <f t="shared" si="1"/>
        <v>1</v>
      </c>
      <c r="S6" s="14">
        <f t="shared" si="2"/>
        <v>1</v>
      </c>
      <c r="T6" s="14">
        <f t="shared" si="3"/>
        <v>0</v>
      </c>
      <c r="U6" s="14">
        <f t="shared" si="4"/>
        <v>1</v>
      </c>
      <c r="V6" s="17">
        <f t="shared" si="5"/>
        <v>49</v>
      </c>
      <c r="W6" s="14">
        <f t="shared" si="6"/>
        <v>2</v>
      </c>
      <c r="X6" s="17">
        <f t="shared" si="7"/>
        <v>240.57999999999998</v>
      </c>
    </row>
    <row r="7" spans="1:24" x14ac:dyDescent="0.25">
      <c r="A7" s="14" t="s">
        <v>61</v>
      </c>
      <c r="B7" s="14" t="s">
        <v>147</v>
      </c>
      <c r="C7" s="14" t="s">
        <v>148</v>
      </c>
      <c r="D7" s="14" t="s">
        <v>74</v>
      </c>
      <c r="E7" s="14">
        <v>1</v>
      </c>
      <c r="F7" s="14">
        <v>0</v>
      </c>
      <c r="G7" s="14">
        <v>0</v>
      </c>
      <c r="H7" s="14">
        <v>0</v>
      </c>
      <c r="I7" s="14">
        <v>0</v>
      </c>
      <c r="J7" s="17">
        <v>0</v>
      </c>
      <c r="K7" s="14">
        <v>0</v>
      </c>
      <c r="L7" s="17">
        <v>140.61000000000001</v>
      </c>
      <c r="M7" s="14" t="s">
        <v>86</v>
      </c>
      <c r="P7" s="14" t="str">
        <f>Setup!$A$8</f>
        <v>Expert 04</v>
      </c>
      <c r="Q7" s="14">
        <f t="shared" si="0"/>
        <v>3</v>
      </c>
      <c r="R7" s="14">
        <f t="shared" si="1"/>
        <v>0</v>
      </c>
      <c r="S7" s="14">
        <f t="shared" si="2"/>
        <v>1</v>
      </c>
      <c r="T7" s="14">
        <f t="shared" si="3"/>
        <v>0</v>
      </c>
      <c r="U7" s="14">
        <f t="shared" si="4"/>
        <v>0</v>
      </c>
      <c r="V7" s="17">
        <f t="shared" si="5"/>
        <v>33</v>
      </c>
      <c r="W7" s="14">
        <f t="shared" si="6"/>
        <v>1</v>
      </c>
      <c r="X7" s="17">
        <f t="shared" si="7"/>
        <v>267.95</v>
      </c>
    </row>
    <row r="8" spans="1:24" x14ac:dyDescent="0.25">
      <c r="A8" s="14" t="s">
        <v>45</v>
      </c>
      <c r="B8" s="14" t="s">
        <v>149</v>
      </c>
      <c r="C8" s="14" t="s">
        <v>150</v>
      </c>
      <c r="D8" s="14" t="s">
        <v>74</v>
      </c>
      <c r="E8" s="14">
        <v>1</v>
      </c>
      <c r="F8" s="14">
        <v>0</v>
      </c>
      <c r="G8" s="14">
        <v>1</v>
      </c>
      <c r="H8" s="14">
        <v>0</v>
      </c>
      <c r="I8" s="14">
        <v>0</v>
      </c>
      <c r="J8" s="17">
        <v>0</v>
      </c>
      <c r="K8" s="14">
        <v>0</v>
      </c>
      <c r="L8" s="17">
        <v>169.19</v>
      </c>
      <c r="M8" s="14" t="s">
        <v>86</v>
      </c>
      <c r="P8" s="14" t="str">
        <f>Setup!$A$9</f>
        <v>Expert 05</v>
      </c>
      <c r="Q8" s="14">
        <f t="shared" si="0"/>
        <v>0</v>
      </c>
      <c r="R8" s="14">
        <f t="shared" si="1"/>
        <v>0</v>
      </c>
      <c r="S8" s="14">
        <f t="shared" si="2"/>
        <v>0</v>
      </c>
      <c r="T8" s="14">
        <f t="shared" si="3"/>
        <v>0</v>
      </c>
      <c r="U8" s="14">
        <f t="shared" si="4"/>
        <v>0</v>
      </c>
      <c r="V8" s="17">
        <f t="shared" si="5"/>
        <v>0</v>
      </c>
      <c r="W8" s="14">
        <f t="shared" si="6"/>
        <v>0</v>
      </c>
      <c r="X8" s="17">
        <f t="shared" si="7"/>
        <v>0</v>
      </c>
    </row>
    <row r="9" spans="1:24" x14ac:dyDescent="0.25">
      <c r="A9" s="14" t="s">
        <v>45</v>
      </c>
      <c r="B9" s="14" t="s">
        <v>151</v>
      </c>
      <c r="C9" s="14" t="s">
        <v>152</v>
      </c>
      <c r="D9" s="14" t="s">
        <v>74</v>
      </c>
      <c r="E9" s="14">
        <v>1</v>
      </c>
      <c r="F9" s="14">
        <v>0</v>
      </c>
      <c r="G9" s="14">
        <v>0</v>
      </c>
      <c r="H9" s="14">
        <v>0</v>
      </c>
      <c r="I9" s="14">
        <v>0</v>
      </c>
      <c r="J9" s="17">
        <v>0</v>
      </c>
      <c r="K9" s="14">
        <v>0</v>
      </c>
      <c r="L9" s="17">
        <v>98.76</v>
      </c>
      <c r="M9" s="14" t="s">
        <v>86</v>
      </c>
      <c r="P9" s="14" t="str">
        <f>Setup!$A$10</f>
        <v>Expert 06</v>
      </c>
      <c r="Q9" s="14">
        <f t="shared" si="0"/>
        <v>1</v>
      </c>
      <c r="R9" s="14">
        <f t="shared" si="1"/>
        <v>0</v>
      </c>
      <c r="S9" s="14">
        <f t="shared" si="2"/>
        <v>0</v>
      </c>
      <c r="T9" s="14">
        <f t="shared" si="3"/>
        <v>0</v>
      </c>
      <c r="U9" s="14">
        <f t="shared" si="4"/>
        <v>0</v>
      </c>
      <c r="V9" s="17">
        <f t="shared" si="5"/>
        <v>0</v>
      </c>
      <c r="W9" s="14">
        <f t="shared" si="6"/>
        <v>1</v>
      </c>
      <c r="X9" s="17">
        <f t="shared" si="7"/>
        <v>112.86</v>
      </c>
    </row>
    <row r="10" spans="1:24" x14ac:dyDescent="0.25">
      <c r="A10" s="14" t="s">
        <v>51</v>
      </c>
      <c r="B10" s="14" t="s">
        <v>153</v>
      </c>
      <c r="C10" s="14" t="s">
        <v>154</v>
      </c>
      <c r="D10" s="14" t="s">
        <v>66</v>
      </c>
      <c r="E10" s="14">
        <v>1</v>
      </c>
      <c r="F10" s="14">
        <v>0</v>
      </c>
      <c r="G10" s="14">
        <v>0</v>
      </c>
      <c r="H10" s="14">
        <v>1</v>
      </c>
      <c r="I10" s="14">
        <v>0</v>
      </c>
      <c r="J10" s="17">
        <v>0</v>
      </c>
      <c r="K10" s="14">
        <v>1</v>
      </c>
      <c r="L10" s="17">
        <v>0</v>
      </c>
      <c r="M10" s="14" t="s">
        <v>86</v>
      </c>
      <c r="P10" s="14" t="str">
        <f>Setup!$A$11</f>
        <v>Expert 07</v>
      </c>
      <c r="Q10" s="14">
        <f t="shared" si="0"/>
        <v>2</v>
      </c>
      <c r="R10" s="14">
        <f t="shared" si="1"/>
        <v>0</v>
      </c>
      <c r="S10" s="14">
        <f t="shared" si="2"/>
        <v>0</v>
      </c>
      <c r="T10" s="14">
        <f t="shared" si="3"/>
        <v>1</v>
      </c>
      <c r="U10" s="14">
        <f t="shared" si="4"/>
        <v>0</v>
      </c>
      <c r="V10" s="17">
        <f t="shared" si="5"/>
        <v>40</v>
      </c>
      <c r="W10" s="14">
        <f t="shared" si="6"/>
        <v>4</v>
      </c>
      <c r="X10" s="17">
        <f t="shared" si="7"/>
        <v>114.85</v>
      </c>
    </row>
    <row r="11" spans="1:24" x14ac:dyDescent="0.25">
      <c r="A11" s="14" t="s">
        <v>43</v>
      </c>
      <c r="B11" s="14" t="s">
        <v>155</v>
      </c>
      <c r="C11" s="14" t="s">
        <v>156</v>
      </c>
      <c r="D11" s="14" t="s">
        <v>72</v>
      </c>
      <c r="E11" s="14">
        <v>0</v>
      </c>
      <c r="F11" s="14">
        <v>0</v>
      </c>
      <c r="G11" s="14">
        <v>0</v>
      </c>
      <c r="H11" s="14">
        <v>0</v>
      </c>
      <c r="I11" s="14">
        <v>1</v>
      </c>
      <c r="J11" s="17">
        <v>0</v>
      </c>
      <c r="K11" s="14">
        <v>0</v>
      </c>
      <c r="L11" s="17">
        <v>126.41</v>
      </c>
      <c r="M11" s="14" t="s">
        <v>86</v>
      </c>
      <c r="P11" s="14" t="str">
        <f>Setup!$A$12</f>
        <v>Expert 08</v>
      </c>
      <c r="Q11" s="14">
        <f t="shared" si="0"/>
        <v>0</v>
      </c>
      <c r="R11" s="14">
        <f t="shared" si="1"/>
        <v>0</v>
      </c>
      <c r="S11" s="14">
        <f t="shared" si="2"/>
        <v>0</v>
      </c>
      <c r="T11" s="14">
        <f t="shared" si="3"/>
        <v>0</v>
      </c>
      <c r="U11" s="14">
        <f t="shared" si="4"/>
        <v>0</v>
      </c>
      <c r="V11" s="17">
        <f t="shared" si="5"/>
        <v>0</v>
      </c>
      <c r="W11" s="14">
        <f t="shared" si="6"/>
        <v>0</v>
      </c>
      <c r="X11" s="17">
        <f t="shared" si="7"/>
        <v>0</v>
      </c>
    </row>
    <row r="12" spans="1:24" x14ac:dyDescent="0.25">
      <c r="A12" s="14" t="s">
        <v>41</v>
      </c>
      <c r="B12" s="14" t="s">
        <v>157</v>
      </c>
      <c r="C12" s="14" t="s">
        <v>158</v>
      </c>
      <c r="D12" s="14" t="s">
        <v>40</v>
      </c>
      <c r="E12" s="14">
        <v>1</v>
      </c>
      <c r="F12" s="14">
        <v>0</v>
      </c>
      <c r="G12" s="14">
        <v>0</v>
      </c>
      <c r="H12" s="14">
        <v>1</v>
      </c>
      <c r="I12" s="14">
        <v>0</v>
      </c>
      <c r="J12" s="17">
        <v>24</v>
      </c>
      <c r="K12" s="14">
        <v>1</v>
      </c>
      <c r="L12" s="17">
        <v>0</v>
      </c>
      <c r="M12" s="14" t="s">
        <v>86</v>
      </c>
      <c r="P12" s="14" t="str">
        <f>Setup!$A$13</f>
        <v>Expert 09</v>
      </c>
      <c r="Q12" s="14">
        <f t="shared" si="0"/>
        <v>0</v>
      </c>
      <c r="R12" s="14">
        <f t="shared" si="1"/>
        <v>0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7">
        <f t="shared" si="5"/>
        <v>18</v>
      </c>
      <c r="W12" s="14">
        <f t="shared" si="6"/>
        <v>1</v>
      </c>
      <c r="X12" s="17">
        <f t="shared" si="7"/>
        <v>89.16</v>
      </c>
    </row>
    <row r="13" spans="1:24" x14ac:dyDescent="0.25">
      <c r="A13" s="14" t="s">
        <v>49</v>
      </c>
      <c r="B13" s="14" t="s">
        <v>159</v>
      </c>
      <c r="C13" s="14" t="s">
        <v>160</v>
      </c>
      <c r="D13" s="14" t="s">
        <v>74</v>
      </c>
      <c r="E13" s="14">
        <v>1</v>
      </c>
      <c r="F13" s="14">
        <v>0</v>
      </c>
      <c r="G13" s="14">
        <v>0</v>
      </c>
      <c r="H13" s="14">
        <v>0</v>
      </c>
      <c r="I13" s="14">
        <v>0</v>
      </c>
      <c r="J13" s="17">
        <v>0</v>
      </c>
      <c r="K13" s="14">
        <v>0</v>
      </c>
      <c r="L13" s="17">
        <v>104.62</v>
      </c>
      <c r="M13" s="14" t="s">
        <v>86</v>
      </c>
      <c r="P13" s="14" t="str">
        <f>Setup!$A$14</f>
        <v>Expert 10</v>
      </c>
      <c r="Q13" s="14">
        <f t="shared" si="0"/>
        <v>2</v>
      </c>
      <c r="R13" s="14">
        <f t="shared" si="1"/>
        <v>0</v>
      </c>
      <c r="S13" s="14">
        <f t="shared" si="2"/>
        <v>0</v>
      </c>
      <c r="T13" s="14">
        <f t="shared" si="3"/>
        <v>0</v>
      </c>
      <c r="U13" s="14">
        <f t="shared" si="4"/>
        <v>0</v>
      </c>
      <c r="V13" s="17">
        <f t="shared" si="5"/>
        <v>49</v>
      </c>
      <c r="W13" s="14">
        <f t="shared" si="6"/>
        <v>2</v>
      </c>
      <c r="X13" s="17">
        <f t="shared" si="7"/>
        <v>170.82999999999998</v>
      </c>
    </row>
    <row r="14" spans="1:24" x14ac:dyDescent="0.25">
      <c r="A14" s="14" t="s">
        <v>51</v>
      </c>
      <c r="B14" s="14" t="s">
        <v>161</v>
      </c>
      <c r="C14" s="14" t="s">
        <v>162</v>
      </c>
      <c r="D14" s="14" t="s">
        <v>44</v>
      </c>
      <c r="E14" s="14">
        <v>1</v>
      </c>
      <c r="F14" s="14">
        <v>0</v>
      </c>
      <c r="G14" s="14">
        <v>0</v>
      </c>
      <c r="H14" s="14">
        <v>0</v>
      </c>
      <c r="I14" s="14">
        <v>0</v>
      </c>
      <c r="J14" s="17">
        <v>16</v>
      </c>
      <c r="K14" s="14">
        <v>1</v>
      </c>
      <c r="L14" s="17">
        <v>114.85</v>
      </c>
      <c r="M14" s="14" t="s">
        <v>86</v>
      </c>
      <c r="P14" s="14" t="str">
        <f>Setup!$A$15</f>
        <v>Expert 11</v>
      </c>
      <c r="Q14" s="14">
        <f t="shared" si="0"/>
        <v>1</v>
      </c>
      <c r="R14" s="14">
        <f t="shared" si="1"/>
        <v>0</v>
      </c>
      <c r="S14" s="14">
        <f t="shared" si="2"/>
        <v>0</v>
      </c>
      <c r="T14" s="14">
        <f t="shared" si="3"/>
        <v>0</v>
      </c>
      <c r="U14" s="14">
        <f t="shared" si="4"/>
        <v>0</v>
      </c>
      <c r="V14" s="17">
        <f t="shared" si="5"/>
        <v>0</v>
      </c>
      <c r="W14" s="14">
        <f t="shared" si="6"/>
        <v>2</v>
      </c>
      <c r="X14" s="17">
        <f t="shared" si="7"/>
        <v>109.21</v>
      </c>
    </row>
    <row r="15" spans="1:24" x14ac:dyDescent="0.25">
      <c r="A15" s="14" t="s">
        <v>59</v>
      </c>
      <c r="B15" s="14" t="s">
        <v>163</v>
      </c>
      <c r="C15" s="14" t="s">
        <v>164</v>
      </c>
      <c r="D15" s="14" t="s">
        <v>46</v>
      </c>
      <c r="E15" s="14">
        <v>0</v>
      </c>
      <c r="F15" s="14">
        <v>0</v>
      </c>
      <c r="G15" s="14">
        <v>0</v>
      </c>
      <c r="H15" s="14">
        <v>0</v>
      </c>
      <c r="I15" s="14">
        <v>0</v>
      </c>
      <c r="J15" s="17">
        <v>0</v>
      </c>
      <c r="K15" s="14">
        <v>1</v>
      </c>
      <c r="L15" s="17">
        <v>84.35</v>
      </c>
      <c r="M15" s="14" t="s">
        <v>86</v>
      </c>
      <c r="P15" s="14" t="str">
        <f>Setup!$A$16</f>
        <v>Expert 12</v>
      </c>
      <c r="Q15" s="14">
        <f t="shared" si="0"/>
        <v>2</v>
      </c>
      <c r="R15" s="14">
        <f t="shared" si="1"/>
        <v>0</v>
      </c>
      <c r="S15" s="14">
        <f t="shared" si="2"/>
        <v>0</v>
      </c>
      <c r="T15" s="14">
        <f t="shared" si="3"/>
        <v>0</v>
      </c>
      <c r="U15" s="14">
        <f t="shared" si="4"/>
        <v>0</v>
      </c>
      <c r="V15" s="17">
        <f t="shared" si="5"/>
        <v>18</v>
      </c>
      <c r="W15" s="14">
        <f t="shared" si="6"/>
        <v>1</v>
      </c>
      <c r="X15" s="17">
        <f t="shared" si="7"/>
        <v>146.73000000000002</v>
      </c>
    </row>
    <row r="16" spans="1:24" x14ac:dyDescent="0.25">
      <c r="A16" s="14" t="s">
        <v>43</v>
      </c>
      <c r="B16" s="14" t="s">
        <v>165</v>
      </c>
      <c r="C16" s="14" t="s">
        <v>166</v>
      </c>
      <c r="D16" s="14" t="s">
        <v>60</v>
      </c>
      <c r="E16" s="14">
        <v>0</v>
      </c>
      <c r="F16" s="14">
        <v>0</v>
      </c>
      <c r="G16" s="14">
        <v>0</v>
      </c>
      <c r="H16" s="14">
        <v>0</v>
      </c>
      <c r="I16" s="14">
        <v>0</v>
      </c>
      <c r="J16" s="17">
        <v>16</v>
      </c>
      <c r="K16" s="14">
        <v>1</v>
      </c>
      <c r="L16" s="17">
        <v>114.17</v>
      </c>
      <c r="M16" s="14" t="s">
        <v>86</v>
      </c>
      <c r="P16" s="18" t="s">
        <v>111</v>
      </c>
      <c r="Q16" s="19">
        <f t="shared" ref="Q16:X16" si="8">SUM(Q4:Q15)</f>
        <v>16</v>
      </c>
      <c r="R16" s="19">
        <f t="shared" si="8"/>
        <v>1</v>
      </c>
      <c r="S16" s="19">
        <f t="shared" si="8"/>
        <v>2</v>
      </c>
      <c r="T16" s="19">
        <f t="shared" si="8"/>
        <v>2</v>
      </c>
      <c r="U16" s="19">
        <f t="shared" si="8"/>
        <v>1</v>
      </c>
      <c r="V16" s="20">
        <f t="shared" si="8"/>
        <v>288</v>
      </c>
      <c r="W16" s="19">
        <f t="shared" si="8"/>
        <v>19</v>
      </c>
      <c r="X16" s="20">
        <f t="shared" si="8"/>
        <v>1848.57</v>
      </c>
    </row>
    <row r="17" spans="1:13" x14ac:dyDescent="0.25">
      <c r="A17" s="14" t="s">
        <v>51</v>
      </c>
      <c r="B17" s="14" t="s">
        <v>167</v>
      </c>
      <c r="C17" s="14" t="s">
        <v>168</v>
      </c>
      <c r="D17" s="14" t="s">
        <v>62</v>
      </c>
      <c r="E17" s="14">
        <v>0</v>
      </c>
      <c r="F17" s="14">
        <v>0</v>
      </c>
      <c r="G17" s="14">
        <v>0</v>
      </c>
      <c r="H17" s="14">
        <v>0</v>
      </c>
      <c r="I17" s="14">
        <v>0</v>
      </c>
      <c r="J17" s="17">
        <v>24</v>
      </c>
      <c r="K17" s="14">
        <v>1</v>
      </c>
      <c r="L17" s="17">
        <v>0</v>
      </c>
      <c r="M17" s="14" t="s">
        <v>86</v>
      </c>
    </row>
    <row r="18" spans="1:13" x14ac:dyDescent="0.25">
      <c r="A18" s="14" t="s">
        <v>39</v>
      </c>
      <c r="B18" s="14" t="s">
        <v>169</v>
      </c>
      <c r="C18" s="14" t="s">
        <v>170</v>
      </c>
      <c r="D18" s="14" t="s">
        <v>70</v>
      </c>
      <c r="E18" s="14">
        <v>1</v>
      </c>
      <c r="F18" s="14">
        <v>0</v>
      </c>
      <c r="G18" s="14">
        <v>0</v>
      </c>
      <c r="H18" s="14">
        <v>0</v>
      </c>
      <c r="I18" s="14">
        <v>0</v>
      </c>
      <c r="J18" s="17">
        <v>0</v>
      </c>
      <c r="K18" s="14">
        <v>1</v>
      </c>
      <c r="L18" s="17">
        <v>60.79</v>
      </c>
      <c r="M18" s="14" t="s">
        <v>86</v>
      </c>
    </row>
    <row r="19" spans="1:13" x14ac:dyDescent="0.25">
      <c r="A19" s="14" t="s">
        <v>59</v>
      </c>
      <c r="B19" s="14" t="s">
        <v>171</v>
      </c>
      <c r="C19" s="14" t="s">
        <v>172</v>
      </c>
      <c r="D19" s="14" t="s">
        <v>44</v>
      </c>
      <c r="E19" s="14">
        <v>1</v>
      </c>
      <c r="F19" s="14">
        <v>0</v>
      </c>
      <c r="G19" s="14">
        <v>0</v>
      </c>
      <c r="H19" s="14">
        <v>0</v>
      </c>
      <c r="I19" s="14">
        <v>0</v>
      </c>
      <c r="J19" s="17">
        <v>0</v>
      </c>
      <c r="K19" s="14">
        <v>1</v>
      </c>
      <c r="L19" s="17">
        <v>24.86</v>
      </c>
      <c r="M19" s="14" t="s">
        <v>86</v>
      </c>
    </row>
    <row r="20" spans="1:13" x14ac:dyDescent="0.25">
      <c r="A20" s="14" t="s">
        <v>45</v>
      </c>
      <c r="B20" s="14" t="s">
        <v>173</v>
      </c>
      <c r="C20" s="14" t="s">
        <v>174</v>
      </c>
      <c r="D20" s="14" t="s">
        <v>60</v>
      </c>
      <c r="E20" s="14">
        <v>1</v>
      </c>
      <c r="F20" s="14">
        <v>0</v>
      </c>
      <c r="G20" s="14">
        <v>0</v>
      </c>
      <c r="H20" s="14">
        <v>0</v>
      </c>
      <c r="I20" s="14">
        <v>0</v>
      </c>
      <c r="J20" s="17">
        <v>33</v>
      </c>
      <c r="K20" s="14">
        <v>1</v>
      </c>
      <c r="L20" s="17">
        <v>0</v>
      </c>
      <c r="M20" s="14" t="s">
        <v>86</v>
      </c>
    </row>
    <row r="21" spans="1:13" x14ac:dyDescent="0.25">
      <c r="A21" s="14" t="s">
        <v>43</v>
      </c>
      <c r="B21" s="14" t="s">
        <v>175</v>
      </c>
      <c r="C21" s="14" t="s">
        <v>176</v>
      </c>
      <c r="D21" s="14" t="s">
        <v>46</v>
      </c>
      <c r="E21" s="14">
        <v>0</v>
      </c>
      <c r="F21" s="14">
        <v>1</v>
      </c>
      <c r="G21" s="14">
        <v>1</v>
      </c>
      <c r="H21" s="14">
        <v>0</v>
      </c>
      <c r="I21" s="14">
        <v>0</v>
      </c>
      <c r="J21" s="17">
        <v>33</v>
      </c>
      <c r="K21" s="14">
        <v>1</v>
      </c>
      <c r="L21" s="17">
        <v>0</v>
      </c>
      <c r="M21" s="14" t="s">
        <v>86</v>
      </c>
    </row>
    <row r="22" spans="1:13" x14ac:dyDescent="0.25">
      <c r="A22" s="14" t="s">
        <v>41</v>
      </c>
      <c r="B22" s="14" t="s">
        <v>177</v>
      </c>
      <c r="C22" s="14" t="s">
        <v>178</v>
      </c>
      <c r="D22" s="14" t="s">
        <v>75</v>
      </c>
      <c r="E22" s="14">
        <v>0</v>
      </c>
      <c r="F22" s="14">
        <v>0</v>
      </c>
      <c r="G22" s="14">
        <v>0</v>
      </c>
      <c r="H22" s="14">
        <v>0</v>
      </c>
      <c r="I22" s="14">
        <v>0</v>
      </c>
      <c r="J22" s="17">
        <v>24</v>
      </c>
      <c r="K22" s="14">
        <v>0</v>
      </c>
      <c r="L22" s="17">
        <v>142.96</v>
      </c>
      <c r="M22" s="14" t="s">
        <v>86</v>
      </c>
    </row>
    <row r="23" spans="1:13" x14ac:dyDescent="0.25">
      <c r="A23" s="14" t="s">
        <v>57</v>
      </c>
      <c r="B23" s="14" t="s">
        <v>179</v>
      </c>
      <c r="C23" s="14" t="s">
        <v>180</v>
      </c>
      <c r="D23" s="14" t="s">
        <v>50</v>
      </c>
      <c r="E23" s="14">
        <v>1</v>
      </c>
      <c r="F23" s="14">
        <v>0</v>
      </c>
      <c r="G23" s="14">
        <v>0</v>
      </c>
      <c r="H23" s="14">
        <v>0</v>
      </c>
      <c r="I23" s="14">
        <v>0</v>
      </c>
      <c r="J23" s="17">
        <v>16</v>
      </c>
      <c r="K23" s="14">
        <v>1</v>
      </c>
      <c r="L23" s="17">
        <v>104.2</v>
      </c>
      <c r="M23" s="14" t="s">
        <v>86</v>
      </c>
    </row>
    <row r="24" spans="1:13" x14ac:dyDescent="0.25">
      <c r="A24" s="14" t="s">
        <v>61</v>
      </c>
      <c r="B24" s="14" t="s">
        <v>181</v>
      </c>
      <c r="C24" s="14" t="s">
        <v>182</v>
      </c>
      <c r="D24" s="14" t="s">
        <v>65</v>
      </c>
      <c r="E24" s="14">
        <v>1</v>
      </c>
      <c r="F24" s="14">
        <v>0</v>
      </c>
      <c r="G24" s="14">
        <v>0</v>
      </c>
      <c r="H24" s="14">
        <v>0</v>
      </c>
      <c r="I24" s="14">
        <v>0</v>
      </c>
      <c r="J24" s="17">
        <v>18</v>
      </c>
      <c r="K24" s="14">
        <v>1</v>
      </c>
      <c r="L24" s="17">
        <v>6.12</v>
      </c>
      <c r="M24" s="14" t="s">
        <v>86</v>
      </c>
    </row>
    <row r="25" spans="1:13" x14ac:dyDescent="0.25">
      <c r="A25" s="14" t="s">
        <v>41</v>
      </c>
      <c r="B25" s="14" t="s">
        <v>183</v>
      </c>
      <c r="C25" s="14" t="s">
        <v>184</v>
      </c>
      <c r="D25" s="14" t="s">
        <v>66</v>
      </c>
      <c r="E25" s="14">
        <v>1</v>
      </c>
      <c r="F25" s="14">
        <v>0</v>
      </c>
      <c r="G25" s="14">
        <v>0</v>
      </c>
      <c r="H25" s="14">
        <v>0</v>
      </c>
      <c r="I25" s="14">
        <v>0</v>
      </c>
      <c r="J25" s="17">
        <v>0</v>
      </c>
      <c r="K25" s="14">
        <v>1</v>
      </c>
      <c r="L25" s="17">
        <v>0</v>
      </c>
      <c r="M25" s="14" t="s">
        <v>86</v>
      </c>
    </row>
    <row r="26" spans="1:13" x14ac:dyDescent="0.25">
      <c r="A26" s="14" t="s">
        <v>41</v>
      </c>
      <c r="B26" s="14" t="s">
        <v>185</v>
      </c>
      <c r="C26" s="14" t="s">
        <v>186</v>
      </c>
      <c r="D26" s="14" t="s">
        <v>74</v>
      </c>
      <c r="E26" s="14">
        <v>1</v>
      </c>
      <c r="F26" s="14">
        <v>0</v>
      </c>
      <c r="G26" s="14">
        <v>0</v>
      </c>
      <c r="H26" s="14">
        <v>0</v>
      </c>
      <c r="I26" s="14">
        <v>0</v>
      </c>
      <c r="J26" s="17">
        <v>0</v>
      </c>
      <c r="K26" s="14">
        <v>0</v>
      </c>
      <c r="L26" s="17">
        <v>151.4</v>
      </c>
      <c r="M26" s="14" t="s">
        <v>86</v>
      </c>
    </row>
    <row r="27" spans="1:13" x14ac:dyDescent="0.25">
      <c r="A27" s="14" t="s">
        <v>41</v>
      </c>
      <c r="B27" s="14" t="s">
        <v>187</v>
      </c>
      <c r="C27" s="14" t="s">
        <v>188</v>
      </c>
      <c r="D27" s="14" t="s">
        <v>70</v>
      </c>
      <c r="E27" s="14">
        <v>0</v>
      </c>
      <c r="F27" s="14">
        <v>0</v>
      </c>
      <c r="G27" s="14">
        <v>0</v>
      </c>
      <c r="H27" s="14">
        <v>0</v>
      </c>
      <c r="I27" s="14">
        <v>0</v>
      </c>
      <c r="J27" s="17">
        <v>0</v>
      </c>
      <c r="K27" s="14">
        <v>1</v>
      </c>
      <c r="L27" s="17">
        <v>147.46</v>
      </c>
      <c r="M27" s="14" t="s">
        <v>86</v>
      </c>
    </row>
    <row r="28" spans="1:13" x14ac:dyDescent="0.25">
      <c r="A28" s="14" t="s">
        <v>41</v>
      </c>
      <c r="B28" s="14" t="s">
        <v>189</v>
      </c>
      <c r="C28" s="14" t="s">
        <v>190</v>
      </c>
      <c r="D28" s="14" t="s">
        <v>75</v>
      </c>
      <c r="E28" s="14">
        <v>0</v>
      </c>
      <c r="F28" s="14">
        <v>0</v>
      </c>
      <c r="G28" s="14">
        <v>0</v>
      </c>
      <c r="H28" s="14">
        <v>0</v>
      </c>
      <c r="I28" s="14">
        <v>0</v>
      </c>
      <c r="J28" s="17">
        <v>0</v>
      </c>
      <c r="K28" s="14">
        <v>0</v>
      </c>
      <c r="L28" s="17">
        <v>0</v>
      </c>
      <c r="M28" s="14" t="s">
        <v>86</v>
      </c>
    </row>
    <row r="29" spans="1:13" x14ac:dyDescent="0.25">
      <c r="A29" s="14" t="s">
        <v>41</v>
      </c>
      <c r="B29" s="14" t="s">
        <v>191</v>
      </c>
      <c r="C29" s="14" t="s">
        <v>192</v>
      </c>
      <c r="D29" s="14" t="s">
        <v>63</v>
      </c>
      <c r="E29" s="14">
        <v>1</v>
      </c>
      <c r="F29" s="14">
        <v>0</v>
      </c>
      <c r="G29" s="14">
        <v>0</v>
      </c>
      <c r="H29" s="14">
        <v>0</v>
      </c>
      <c r="I29" s="14">
        <v>0</v>
      </c>
      <c r="J29" s="17">
        <v>0</v>
      </c>
      <c r="K29" s="14">
        <v>1</v>
      </c>
      <c r="L29" s="17">
        <v>15.5</v>
      </c>
      <c r="M29" s="14" t="s">
        <v>86</v>
      </c>
    </row>
    <row r="30" spans="1:13" x14ac:dyDescent="0.25">
      <c r="A30" s="14" t="s">
        <v>57</v>
      </c>
      <c r="B30" s="14" t="s">
        <v>193</v>
      </c>
      <c r="C30" s="14" t="s">
        <v>194</v>
      </c>
      <c r="D30" s="14" t="s">
        <v>42</v>
      </c>
      <c r="E30" s="14">
        <v>1</v>
      </c>
      <c r="F30" s="14">
        <v>0</v>
      </c>
      <c r="G30" s="14">
        <v>0</v>
      </c>
      <c r="H30" s="14">
        <v>0</v>
      </c>
      <c r="I30" s="14">
        <v>0</v>
      </c>
      <c r="J30" s="17">
        <v>33</v>
      </c>
      <c r="K30" s="14">
        <v>1</v>
      </c>
      <c r="L30" s="17">
        <v>66.63</v>
      </c>
      <c r="M30" s="14" t="s">
        <v>86</v>
      </c>
    </row>
    <row r="31" spans="1:13" x14ac:dyDescent="0.25">
      <c r="A31" s="14" t="s">
        <v>39</v>
      </c>
      <c r="B31" s="14" t="s">
        <v>195</v>
      </c>
      <c r="C31" s="14" t="s">
        <v>196</v>
      </c>
      <c r="D31" s="14" t="s">
        <v>75</v>
      </c>
      <c r="E31" s="14">
        <v>0</v>
      </c>
      <c r="F31" s="14">
        <v>0</v>
      </c>
      <c r="G31" s="14">
        <v>0</v>
      </c>
      <c r="H31" s="14">
        <v>0</v>
      </c>
      <c r="I31" s="14">
        <v>0</v>
      </c>
      <c r="J31" s="17">
        <v>33</v>
      </c>
      <c r="K31" s="14">
        <v>0</v>
      </c>
      <c r="L31" s="17">
        <v>78.290000000000006</v>
      </c>
      <c r="M31" s="14" t="s">
        <v>86</v>
      </c>
    </row>
    <row r="32" spans="1:13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7"/>
      <c r="K32" s="14"/>
      <c r="L32" s="17"/>
      <c r="M32" s="14"/>
    </row>
    <row r="33" spans="1:13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7"/>
      <c r="K33" s="14"/>
      <c r="L33" s="17"/>
      <c r="M33" s="14"/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7"/>
      <c r="K34" s="14"/>
      <c r="L34" s="17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7"/>
      <c r="K35" s="14"/>
      <c r="L35" s="17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7"/>
      <c r="K36" s="14"/>
      <c r="L36" s="17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7"/>
      <c r="K37" s="14"/>
      <c r="L37" s="17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7"/>
      <c r="K38" s="14"/>
      <c r="L38" s="17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7"/>
      <c r="K39" s="14"/>
      <c r="L39" s="17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7"/>
      <c r="K40" s="14"/>
      <c r="L40" s="17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7"/>
      <c r="K41" s="14"/>
      <c r="L41" s="17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7"/>
      <c r="K42" s="14"/>
      <c r="L42" s="17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7"/>
      <c r="K43" s="14"/>
      <c r="L43" s="17"/>
      <c r="M43" s="14"/>
    </row>
  </sheetData>
  <mergeCells count="2">
    <mergeCell ref="A2:M2"/>
    <mergeCell ref="A1:M1"/>
  </mergeCells>
  <dataValidations count="1">
    <dataValidation type="list" allowBlank="1" sqref="M4:M43" xr:uid="{00000000-0002-0000-06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600-000000000000}">
          <x14:formula1>
            <xm:f>Setup!$A$5:$A$16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0600-000001000000}">
          <x14:formula1>
            <xm:f>Setup!$C$5:$C$30</xm:f>
          </x14:formula1>
          <xm:sqref>D4:D43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4" t="s">
        <v>197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</row>
    <row r="2" spans="1:24" ht="21.95" customHeight="1" x14ac:dyDescent="0.25">
      <c r="A2" s="43" t="s">
        <v>19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</row>
    <row r="3" spans="1:24" x14ac:dyDescent="0.25">
      <c r="A3" s="12" t="s">
        <v>79</v>
      </c>
      <c r="B3" s="12" t="s">
        <v>80</v>
      </c>
      <c r="C3" s="12" t="s">
        <v>81</v>
      </c>
      <c r="D3" s="12" t="s">
        <v>82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83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39</v>
      </c>
      <c r="B4" s="14" t="s">
        <v>198</v>
      </c>
      <c r="C4" s="14" t="s">
        <v>199</v>
      </c>
      <c r="D4" s="14" t="s">
        <v>44</v>
      </c>
      <c r="E4" s="14">
        <v>1</v>
      </c>
      <c r="F4" s="14">
        <v>0</v>
      </c>
      <c r="G4" s="14">
        <v>0</v>
      </c>
      <c r="H4" s="14">
        <v>0</v>
      </c>
      <c r="I4" s="14">
        <v>0</v>
      </c>
      <c r="J4" s="17">
        <v>0</v>
      </c>
      <c r="K4" s="14">
        <v>1</v>
      </c>
      <c r="L4" s="17">
        <v>75.650000000000006</v>
      </c>
      <c r="M4" s="14" t="s">
        <v>86</v>
      </c>
      <c r="P4" s="14" t="str">
        <f>Setup!$A$5</f>
        <v>Expert 01</v>
      </c>
      <c r="Q4" s="14">
        <f t="shared" ref="Q4:Q15" si="0">SUMIF($A$4:$A$43,$P4,E$4:E$43)</f>
        <v>3</v>
      </c>
      <c r="R4" s="14">
        <f t="shared" ref="R4:R15" si="1">SUMIF($A$4:$A$43,$P4,F$4:F$43)</f>
        <v>0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7">
        <f t="shared" ref="V4:V15" si="5">SUMIF($A$4:$A$43,$P4,J$4:J$43)</f>
        <v>15</v>
      </c>
      <c r="W4" s="14">
        <f t="shared" ref="W4:W15" si="6">SUMIF($A$4:$A$43,$P4,K$4:K$43)</f>
        <v>3</v>
      </c>
      <c r="X4" s="17">
        <f t="shared" ref="X4:X15" si="7">SUMIF($A$4:$A$43,$P4,L$4:L$43)</f>
        <v>180.35000000000002</v>
      </c>
    </row>
    <row r="5" spans="1:24" x14ac:dyDescent="0.25">
      <c r="A5" s="14" t="s">
        <v>39</v>
      </c>
      <c r="B5" s="14" t="s">
        <v>200</v>
      </c>
      <c r="C5" s="14" t="s">
        <v>201</v>
      </c>
      <c r="D5" s="14" t="s">
        <v>58</v>
      </c>
      <c r="E5" s="14">
        <v>1</v>
      </c>
      <c r="F5" s="14">
        <v>0</v>
      </c>
      <c r="G5" s="14">
        <v>0</v>
      </c>
      <c r="H5" s="14">
        <v>0</v>
      </c>
      <c r="I5" s="14">
        <v>0</v>
      </c>
      <c r="J5" s="17">
        <v>0</v>
      </c>
      <c r="K5" s="14">
        <v>1</v>
      </c>
      <c r="L5" s="17">
        <v>84.4</v>
      </c>
      <c r="M5" s="14" t="s">
        <v>86</v>
      </c>
      <c r="P5" s="14" t="str">
        <f>Setup!$A$6</f>
        <v>Expert 02</v>
      </c>
      <c r="Q5" s="14">
        <f t="shared" si="0"/>
        <v>3</v>
      </c>
      <c r="R5" s="14">
        <f t="shared" si="1"/>
        <v>1</v>
      </c>
      <c r="S5" s="14">
        <f t="shared" si="2"/>
        <v>0</v>
      </c>
      <c r="T5" s="14">
        <f t="shared" si="3"/>
        <v>0</v>
      </c>
      <c r="U5" s="14">
        <f t="shared" si="4"/>
        <v>0</v>
      </c>
      <c r="V5" s="17">
        <f t="shared" si="5"/>
        <v>58</v>
      </c>
      <c r="W5" s="14">
        <f t="shared" si="6"/>
        <v>3</v>
      </c>
      <c r="X5" s="17">
        <f t="shared" si="7"/>
        <v>372.57</v>
      </c>
    </row>
    <row r="6" spans="1:24" x14ac:dyDescent="0.25">
      <c r="A6" s="14" t="s">
        <v>57</v>
      </c>
      <c r="B6" s="14" t="s">
        <v>202</v>
      </c>
      <c r="C6" s="14" t="s">
        <v>203</v>
      </c>
      <c r="D6" s="14" t="s">
        <v>69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7">
        <v>15</v>
      </c>
      <c r="K6" s="14">
        <v>1</v>
      </c>
      <c r="L6" s="17">
        <v>123.41</v>
      </c>
      <c r="M6" s="14" t="s">
        <v>86</v>
      </c>
      <c r="P6" s="14" t="str">
        <f>Setup!$A$7</f>
        <v>Expert 03</v>
      </c>
      <c r="Q6" s="14">
        <f t="shared" si="0"/>
        <v>1</v>
      </c>
      <c r="R6" s="14">
        <f t="shared" si="1"/>
        <v>0</v>
      </c>
      <c r="S6" s="14">
        <f t="shared" si="2"/>
        <v>0</v>
      </c>
      <c r="T6" s="14">
        <f t="shared" si="3"/>
        <v>0</v>
      </c>
      <c r="U6" s="14">
        <f t="shared" si="4"/>
        <v>0</v>
      </c>
      <c r="V6" s="17">
        <f t="shared" si="5"/>
        <v>0</v>
      </c>
      <c r="W6" s="14">
        <f t="shared" si="6"/>
        <v>1</v>
      </c>
      <c r="X6" s="17">
        <f t="shared" si="7"/>
        <v>35.82</v>
      </c>
    </row>
    <row r="7" spans="1:24" x14ac:dyDescent="0.25">
      <c r="A7" s="14" t="s">
        <v>55</v>
      </c>
      <c r="B7" s="14" t="s">
        <v>204</v>
      </c>
      <c r="C7" s="14" t="s">
        <v>205</v>
      </c>
      <c r="D7" s="14" t="s">
        <v>52</v>
      </c>
      <c r="E7" s="14">
        <v>0</v>
      </c>
      <c r="F7" s="14">
        <v>0</v>
      </c>
      <c r="G7" s="14">
        <v>0</v>
      </c>
      <c r="H7" s="14">
        <v>0</v>
      </c>
      <c r="I7" s="14">
        <v>0</v>
      </c>
      <c r="J7" s="17">
        <v>0</v>
      </c>
      <c r="K7" s="14">
        <v>1</v>
      </c>
      <c r="L7" s="17">
        <v>26.12</v>
      </c>
      <c r="M7" s="14" t="s">
        <v>86</v>
      </c>
      <c r="P7" s="14" t="str">
        <f>Setup!$A$8</f>
        <v>Expert 04</v>
      </c>
      <c r="Q7" s="14">
        <f t="shared" si="0"/>
        <v>1</v>
      </c>
      <c r="R7" s="14">
        <f t="shared" si="1"/>
        <v>1</v>
      </c>
      <c r="S7" s="14">
        <f t="shared" si="2"/>
        <v>0</v>
      </c>
      <c r="T7" s="14">
        <f t="shared" si="3"/>
        <v>0</v>
      </c>
      <c r="U7" s="14">
        <f t="shared" si="4"/>
        <v>1</v>
      </c>
      <c r="V7" s="17">
        <f t="shared" si="5"/>
        <v>40</v>
      </c>
      <c r="W7" s="14">
        <f t="shared" si="6"/>
        <v>1</v>
      </c>
      <c r="X7" s="17">
        <f t="shared" si="7"/>
        <v>138.61000000000001</v>
      </c>
    </row>
    <row r="8" spans="1:24" x14ac:dyDescent="0.25">
      <c r="A8" s="14" t="s">
        <v>47</v>
      </c>
      <c r="B8" s="14" t="s">
        <v>206</v>
      </c>
      <c r="C8" s="14" t="s">
        <v>207</v>
      </c>
      <c r="D8" s="14" t="s">
        <v>50</v>
      </c>
      <c r="E8" s="14">
        <v>1</v>
      </c>
      <c r="F8" s="14">
        <v>0</v>
      </c>
      <c r="G8" s="14">
        <v>0</v>
      </c>
      <c r="H8" s="14">
        <v>0</v>
      </c>
      <c r="I8" s="14">
        <v>0</v>
      </c>
      <c r="J8" s="17">
        <v>0</v>
      </c>
      <c r="K8" s="14">
        <v>1</v>
      </c>
      <c r="L8" s="17">
        <v>0</v>
      </c>
      <c r="M8" s="14" t="s">
        <v>86</v>
      </c>
      <c r="P8" s="14" t="str">
        <f>Setup!$A$9</f>
        <v>Expert 05</v>
      </c>
      <c r="Q8" s="14">
        <f t="shared" si="0"/>
        <v>1</v>
      </c>
      <c r="R8" s="14">
        <f t="shared" si="1"/>
        <v>0</v>
      </c>
      <c r="S8" s="14">
        <f t="shared" si="2"/>
        <v>0</v>
      </c>
      <c r="T8" s="14">
        <f t="shared" si="3"/>
        <v>0</v>
      </c>
      <c r="U8" s="14">
        <f t="shared" si="4"/>
        <v>1</v>
      </c>
      <c r="V8" s="17">
        <f t="shared" si="5"/>
        <v>66</v>
      </c>
      <c r="W8" s="14">
        <f t="shared" si="6"/>
        <v>2</v>
      </c>
      <c r="X8" s="17">
        <f t="shared" si="7"/>
        <v>0</v>
      </c>
    </row>
    <row r="9" spans="1:24" x14ac:dyDescent="0.25">
      <c r="A9" s="14" t="s">
        <v>59</v>
      </c>
      <c r="B9" s="14" t="s">
        <v>208</v>
      </c>
      <c r="C9" s="14" t="s">
        <v>209</v>
      </c>
      <c r="D9" s="14" t="s">
        <v>52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7">
        <v>0</v>
      </c>
      <c r="K9" s="14">
        <v>1</v>
      </c>
      <c r="L9" s="17">
        <v>139.56</v>
      </c>
      <c r="M9" s="14" t="s">
        <v>86</v>
      </c>
      <c r="P9" s="14" t="str">
        <f>Setup!$A$10</f>
        <v>Expert 06</v>
      </c>
      <c r="Q9" s="14">
        <f t="shared" si="0"/>
        <v>0</v>
      </c>
      <c r="R9" s="14">
        <f t="shared" si="1"/>
        <v>0</v>
      </c>
      <c r="S9" s="14">
        <f t="shared" si="2"/>
        <v>0</v>
      </c>
      <c r="T9" s="14">
        <f t="shared" si="3"/>
        <v>0</v>
      </c>
      <c r="U9" s="14">
        <f t="shared" si="4"/>
        <v>0</v>
      </c>
      <c r="V9" s="17">
        <f t="shared" si="5"/>
        <v>0</v>
      </c>
      <c r="W9" s="14">
        <f t="shared" si="6"/>
        <v>0</v>
      </c>
      <c r="X9" s="17">
        <f t="shared" si="7"/>
        <v>0</v>
      </c>
    </row>
    <row r="10" spans="1:24" x14ac:dyDescent="0.25">
      <c r="A10" s="14" t="s">
        <v>55</v>
      </c>
      <c r="B10" s="14" t="s">
        <v>210</v>
      </c>
      <c r="C10" s="14" t="s">
        <v>211</v>
      </c>
      <c r="D10" s="14" t="s">
        <v>73</v>
      </c>
      <c r="E10" s="14">
        <v>0</v>
      </c>
      <c r="F10" s="14">
        <v>0</v>
      </c>
      <c r="G10" s="14">
        <v>0</v>
      </c>
      <c r="H10" s="14">
        <v>0</v>
      </c>
      <c r="I10" s="14">
        <v>1</v>
      </c>
      <c r="J10" s="17">
        <v>0</v>
      </c>
      <c r="K10" s="14">
        <v>0</v>
      </c>
      <c r="L10" s="17">
        <v>0</v>
      </c>
      <c r="M10" s="14" t="s">
        <v>212</v>
      </c>
      <c r="P10" s="14" t="str">
        <f>Setup!$A$11</f>
        <v>Expert 07</v>
      </c>
      <c r="Q10" s="14">
        <f t="shared" si="0"/>
        <v>0</v>
      </c>
      <c r="R10" s="14">
        <f t="shared" si="1"/>
        <v>0</v>
      </c>
      <c r="S10" s="14">
        <f t="shared" si="2"/>
        <v>0</v>
      </c>
      <c r="T10" s="14">
        <f t="shared" si="3"/>
        <v>0</v>
      </c>
      <c r="U10" s="14">
        <f t="shared" si="4"/>
        <v>1</v>
      </c>
      <c r="V10" s="17">
        <f t="shared" si="5"/>
        <v>16</v>
      </c>
      <c r="W10" s="14">
        <f t="shared" si="6"/>
        <v>0</v>
      </c>
      <c r="X10" s="17">
        <f t="shared" si="7"/>
        <v>0</v>
      </c>
    </row>
    <row r="11" spans="1:24" x14ac:dyDescent="0.25">
      <c r="A11" s="14" t="s">
        <v>55</v>
      </c>
      <c r="B11" s="14" t="s">
        <v>213</v>
      </c>
      <c r="C11" s="14" t="s">
        <v>214</v>
      </c>
      <c r="D11" s="14" t="s">
        <v>54</v>
      </c>
      <c r="E11" s="14">
        <v>1</v>
      </c>
      <c r="F11" s="14">
        <v>0</v>
      </c>
      <c r="G11" s="14">
        <v>0</v>
      </c>
      <c r="H11" s="14">
        <v>0</v>
      </c>
      <c r="I11" s="14">
        <v>0</v>
      </c>
      <c r="J11" s="17">
        <v>15</v>
      </c>
      <c r="K11" s="14">
        <v>1</v>
      </c>
      <c r="L11" s="17">
        <v>88.85</v>
      </c>
      <c r="M11" s="14" t="s">
        <v>212</v>
      </c>
      <c r="P11" s="14" t="str">
        <f>Setup!$A$12</f>
        <v>Expert 08</v>
      </c>
      <c r="Q11" s="14">
        <f t="shared" si="0"/>
        <v>0</v>
      </c>
      <c r="R11" s="14">
        <f t="shared" si="1"/>
        <v>0</v>
      </c>
      <c r="S11" s="14">
        <f t="shared" si="2"/>
        <v>0</v>
      </c>
      <c r="T11" s="14">
        <f t="shared" si="3"/>
        <v>0</v>
      </c>
      <c r="U11" s="14">
        <f t="shared" si="4"/>
        <v>0</v>
      </c>
      <c r="V11" s="17">
        <f t="shared" si="5"/>
        <v>0</v>
      </c>
      <c r="W11" s="14">
        <f t="shared" si="6"/>
        <v>0</v>
      </c>
      <c r="X11" s="17">
        <f t="shared" si="7"/>
        <v>0</v>
      </c>
    </row>
    <row r="12" spans="1:24" x14ac:dyDescent="0.25">
      <c r="A12" s="14" t="s">
        <v>41</v>
      </c>
      <c r="B12" s="14" t="s">
        <v>215</v>
      </c>
      <c r="C12" s="14" t="s">
        <v>216</v>
      </c>
      <c r="D12" s="14" t="s">
        <v>74</v>
      </c>
      <c r="E12" s="14">
        <v>1</v>
      </c>
      <c r="F12" s="14">
        <v>0</v>
      </c>
      <c r="G12" s="14">
        <v>0</v>
      </c>
      <c r="H12" s="14">
        <v>0</v>
      </c>
      <c r="I12" s="14">
        <v>0</v>
      </c>
      <c r="J12" s="17">
        <v>16</v>
      </c>
      <c r="K12" s="14">
        <v>0</v>
      </c>
      <c r="L12" s="17">
        <v>166.57</v>
      </c>
      <c r="M12" s="14" t="s">
        <v>86</v>
      </c>
      <c r="P12" s="14" t="str">
        <f>Setup!$A$13</f>
        <v>Expert 09</v>
      </c>
      <c r="Q12" s="14">
        <f t="shared" si="0"/>
        <v>1</v>
      </c>
      <c r="R12" s="14">
        <f t="shared" si="1"/>
        <v>1</v>
      </c>
      <c r="S12" s="14">
        <f t="shared" si="2"/>
        <v>0</v>
      </c>
      <c r="T12" s="14">
        <f t="shared" si="3"/>
        <v>1</v>
      </c>
      <c r="U12" s="14">
        <f t="shared" si="4"/>
        <v>1</v>
      </c>
      <c r="V12" s="17">
        <f t="shared" si="5"/>
        <v>54</v>
      </c>
      <c r="W12" s="14">
        <f t="shared" si="6"/>
        <v>4</v>
      </c>
      <c r="X12" s="17">
        <f t="shared" si="7"/>
        <v>287.49</v>
      </c>
    </row>
    <row r="13" spans="1:24" x14ac:dyDescent="0.25">
      <c r="A13" s="14" t="s">
        <v>61</v>
      </c>
      <c r="B13" s="14" t="s">
        <v>217</v>
      </c>
      <c r="C13" s="14" t="s">
        <v>218</v>
      </c>
      <c r="D13" s="14" t="s">
        <v>66</v>
      </c>
      <c r="E13" s="14">
        <v>1</v>
      </c>
      <c r="F13" s="14">
        <v>0</v>
      </c>
      <c r="G13" s="14">
        <v>0</v>
      </c>
      <c r="H13" s="14">
        <v>0</v>
      </c>
      <c r="I13" s="14">
        <v>0</v>
      </c>
      <c r="J13" s="17">
        <v>16</v>
      </c>
      <c r="K13" s="14">
        <v>1</v>
      </c>
      <c r="L13" s="17">
        <v>123.58</v>
      </c>
      <c r="M13" s="14" t="s">
        <v>86</v>
      </c>
      <c r="P13" s="14" t="str">
        <f>Setup!$A$14</f>
        <v>Expert 10</v>
      </c>
      <c r="Q13" s="14">
        <f t="shared" si="0"/>
        <v>1</v>
      </c>
      <c r="R13" s="14">
        <f t="shared" si="1"/>
        <v>0</v>
      </c>
      <c r="S13" s="14">
        <f t="shared" si="2"/>
        <v>0</v>
      </c>
      <c r="T13" s="14">
        <f t="shared" si="3"/>
        <v>0</v>
      </c>
      <c r="U13" s="14">
        <f t="shared" si="4"/>
        <v>1</v>
      </c>
      <c r="V13" s="17">
        <f t="shared" si="5"/>
        <v>15</v>
      </c>
      <c r="W13" s="14">
        <f t="shared" si="6"/>
        <v>2</v>
      </c>
      <c r="X13" s="17">
        <f t="shared" si="7"/>
        <v>265.85000000000002</v>
      </c>
    </row>
    <row r="14" spans="1:24" x14ac:dyDescent="0.25">
      <c r="A14" s="14" t="s">
        <v>59</v>
      </c>
      <c r="B14" s="14" t="s">
        <v>219</v>
      </c>
      <c r="C14" s="14" t="s">
        <v>220</v>
      </c>
      <c r="D14" s="14" t="s">
        <v>66</v>
      </c>
      <c r="E14" s="14">
        <v>1</v>
      </c>
      <c r="F14" s="14">
        <v>0</v>
      </c>
      <c r="G14" s="14">
        <v>0</v>
      </c>
      <c r="H14" s="14">
        <v>0</v>
      </c>
      <c r="I14" s="14">
        <v>0</v>
      </c>
      <c r="J14" s="17">
        <v>0</v>
      </c>
      <c r="K14" s="14">
        <v>1</v>
      </c>
      <c r="L14" s="17">
        <v>0</v>
      </c>
      <c r="M14" s="14" t="s">
        <v>86</v>
      </c>
      <c r="P14" s="14" t="str">
        <f>Setup!$A$15</f>
        <v>Expert 11</v>
      </c>
      <c r="Q14" s="14">
        <f t="shared" si="0"/>
        <v>2</v>
      </c>
      <c r="R14" s="14">
        <f t="shared" si="1"/>
        <v>0</v>
      </c>
      <c r="S14" s="14">
        <f t="shared" si="2"/>
        <v>1</v>
      </c>
      <c r="T14" s="14">
        <f t="shared" si="3"/>
        <v>0</v>
      </c>
      <c r="U14" s="14">
        <f t="shared" si="4"/>
        <v>0</v>
      </c>
      <c r="V14" s="17">
        <f t="shared" si="5"/>
        <v>0</v>
      </c>
      <c r="W14" s="14">
        <f t="shared" si="6"/>
        <v>5</v>
      </c>
      <c r="X14" s="17">
        <f t="shared" si="7"/>
        <v>200.67000000000002</v>
      </c>
    </row>
    <row r="15" spans="1:24" x14ac:dyDescent="0.25">
      <c r="A15" s="14" t="s">
        <v>57</v>
      </c>
      <c r="B15" s="14" t="s">
        <v>221</v>
      </c>
      <c r="C15" s="14" t="s">
        <v>222</v>
      </c>
      <c r="D15" s="14" t="s">
        <v>73</v>
      </c>
      <c r="E15" s="14">
        <v>0</v>
      </c>
      <c r="F15" s="14">
        <v>0</v>
      </c>
      <c r="G15" s="14">
        <v>0</v>
      </c>
      <c r="H15" s="14">
        <v>0</v>
      </c>
      <c r="I15" s="14">
        <v>1</v>
      </c>
      <c r="J15" s="17">
        <v>0</v>
      </c>
      <c r="K15" s="14">
        <v>0</v>
      </c>
      <c r="L15" s="17">
        <v>0</v>
      </c>
      <c r="M15" s="14" t="s">
        <v>212</v>
      </c>
      <c r="P15" s="14" t="str">
        <f>Setup!$A$16</f>
        <v>Expert 12</v>
      </c>
      <c r="Q15" s="14">
        <f t="shared" si="0"/>
        <v>2</v>
      </c>
      <c r="R15" s="14">
        <f t="shared" si="1"/>
        <v>0</v>
      </c>
      <c r="S15" s="14">
        <f t="shared" si="2"/>
        <v>0</v>
      </c>
      <c r="T15" s="14">
        <f t="shared" si="3"/>
        <v>0</v>
      </c>
      <c r="U15" s="14">
        <f t="shared" si="4"/>
        <v>0</v>
      </c>
      <c r="V15" s="17">
        <f t="shared" si="5"/>
        <v>16</v>
      </c>
      <c r="W15" s="14">
        <f t="shared" si="6"/>
        <v>2</v>
      </c>
      <c r="X15" s="17">
        <f t="shared" si="7"/>
        <v>209.95</v>
      </c>
    </row>
    <row r="16" spans="1:24" x14ac:dyDescent="0.25">
      <c r="A16" s="14" t="s">
        <v>57</v>
      </c>
      <c r="B16" s="14" t="s">
        <v>223</v>
      </c>
      <c r="C16" s="14" t="s">
        <v>224</v>
      </c>
      <c r="D16" s="14" t="s">
        <v>42</v>
      </c>
      <c r="E16" s="14">
        <v>1</v>
      </c>
      <c r="F16" s="14">
        <v>0</v>
      </c>
      <c r="G16" s="14">
        <v>0</v>
      </c>
      <c r="H16" s="14">
        <v>0</v>
      </c>
      <c r="I16" s="14">
        <v>0</v>
      </c>
      <c r="J16" s="17">
        <v>0</v>
      </c>
      <c r="K16" s="14">
        <v>1</v>
      </c>
      <c r="L16" s="17">
        <v>142.44</v>
      </c>
      <c r="M16" s="14" t="s">
        <v>86</v>
      </c>
      <c r="P16" s="18" t="s">
        <v>111</v>
      </c>
      <c r="Q16" s="19">
        <f t="shared" ref="Q16:X16" si="8">SUM(Q4:Q15)</f>
        <v>15</v>
      </c>
      <c r="R16" s="19">
        <f t="shared" si="8"/>
        <v>3</v>
      </c>
      <c r="S16" s="19">
        <f t="shared" si="8"/>
        <v>1</v>
      </c>
      <c r="T16" s="19">
        <f t="shared" si="8"/>
        <v>1</v>
      </c>
      <c r="U16" s="19">
        <f t="shared" si="8"/>
        <v>5</v>
      </c>
      <c r="V16" s="20">
        <f t="shared" si="8"/>
        <v>280</v>
      </c>
      <c r="W16" s="19">
        <f t="shared" si="8"/>
        <v>23</v>
      </c>
      <c r="X16" s="20">
        <f t="shared" si="8"/>
        <v>1691.3100000000002</v>
      </c>
    </row>
    <row r="17" spans="1:13" x14ac:dyDescent="0.25">
      <c r="A17" s="14" t="s">
        <v>41</v>
      </c>
      <c r="B17" s="14" t="s">
        <v>225</v>
      </c>
      <c r="C17" s="14" t="s">
        <v>226</v>
      </c>
      <c r="D17" s="14" t="s">
        <v>63</v>
      </c>
      <c r="E17" s="14">
        <v>1</v>
      </c>
      <c r="F17" s="14">
        <v>0</v>
      </c>
      <c r="G17" s="14">
        <v>0</v>
      </c>
      <c r="H17" s="14">
        <v>0</v>
      </c>
      <c r="I17" s="14">
        <v>0</v>
      </c>
      <c r="J17" s="17">
        <v>24</v>
      </c>
      <c r="K17" s="14">
        <v>1</v>
      </c>
      <c r="L17" s="17">
        <v>109.63</v>
      </c>
      <c r="M17" s="14" t="s">
        <v>86</v>
      </c>
    </row>
    <row r="18" spans="1:13" x14ac:dyDescent="0.25">
      <c r="A18" s="14" t="s">
        <v>59</v>
      </c>
      <c r="B18" s="14" t="s">
        <v>227</v>
      </c>
      <c r="C18" s="14" t="s">
        <v>228</v>
      </c>
      <c r="D18" s="14" t="s">
        <v>63</v>
      </c>
      <c r="E18" s="14">
        <v>0</v>
      </c>
      <c r="F18" s="14">
        <v>0</v>
      </c>
      <c r="G18" s="14">
        <v>0</v>
      </c>
      <c r="H18" s="14">
        <v>0</v>
      </c>
      <c r="I18" s="14">
        <v>0</v>
      </c>
      <c r="J18" s="17">
        <v>0</v>
      </c>
      <c r="K18" s="14">
        <v>1</v>
      </c>
      <c r="L18" s="17">
        <v>0.8</v>
      </c>
      <c r="M18" s="14" t="s">
        <v>86</v>
      </c>
    </row>
    <row r="19" spans="1:13" x14ac:dyDescent="0.25">
      <c r="A19" s="14" t="s">
        <v>45</v>
      </c>
      <c r="B19" s="14" t="s">
        <v>229</v>
      </c>
      <c r="C19" s="14" t="s">
        <v>230</v>
      </c>
      <c r="D19" s="14" t="s">
        <v>62</v>
      </c>
      <c r="E19" s="14">
        <v>1</v>
      </c>
      <c r="F19" s="14">
        <v>0</v>
      </c>
      <c r="G19" s="14">
        <v>0</v>
      </c>
      <c r="H19" s="14">
        <v>0</v>
      </c>
      <c r="I19" s="14">
        <v>0</v>
      </c>
      <c r="J19" s="17">
        <v>24</v>
      </c>
      <c r="K19" s="14">
        <v>1</v>
      </c>
      <c r="L19" s="17">
        <v>138.61000000000001</v>
      </c>
      <c r="M19" s="14" t="s">
        <v>86</v>
      </c>
    </row>
    <row r="20" spans="1:13" x14ac:dyDescent="0.25">
      <c r="A20" s="14" t="s">
        <v>45</v>
      </c>
      <c r="B20" s="14" t="s">
        <v>231</v>
      </c>
      <c r="C20" s="14" t="s">
        <v>232</v>
      </c>
      <c r="D20" s="14" t="s">
        <v>75</v>
      </c>
      <c r="E20" s="14">
        <v>0</v>
      </c>
      <c r="F20" s="14">
        <v>1</v>
      </c>
      <c r="G20" s="14">
        <v>0</v>
      </c>
      <c r="H20" s="14">
        <v>0</v>
      </c>
      <c r="I20" s="14">
        <v>0</v>
      </c>
      <c r="J20" s="17">
        <v>0</v>
      </c>
      <c r="K20" s="14">
        <v>0</v>
      </c>
      <c r="L20" s="17">
        <v>0</v>
      </c>
      <c r="M20" s="14" t="s">
        <v>86</v>
      </c>
    </row>
    <row r="21" spans="1:13" x14ac:dyDescent="0.25">
      <c r="A21" s="14" t="s">
        <v>61</v>
      </c>
      <c r="B21" s="14" t="s">
        <v>233</v>
      </c>
      <c r="C21" s="14" t="s">
        <v>234</v>
      </c>
      <c r="D21" s="14" t="s">
        <v>56</v>
      </c>
      <c r="E21" s="14">
        <v>1</v>
      </c>
      <c r="F21" s="14">
        <v>0</v>
      </c>
      <c r="G21" s="14">
        <v>0</v>
      </c>
      <c r="H21" s="14">
        <v>0</v>
      </c>
      <c r="I21" s="14">
        <v>0</v>
      </c>
      <c r="J21" s="17">
        <v>0</v>
      </c>
      <c r="K21" s="14">
        <v>1</v>
      </c>
      <c r="L21" s="17">
        <v>86.37</v>
      </c>
      <c r="M21" s="14" t="s">
        <v>86</v>
      </c>
    </row>
    <row r="22" spans="1:13" x14ac:dyDescent="0.25">
      <c r="A22" s="14" t="s">
        <v>55</v>
      </c>
      <c r="B22" s="14" t="s">
        <v>235</v>
      </c>
      <c r="C22" s="14" t="s">
        <v>236</v>
      </c>
      <c r="D22" s="14" t="s">
        <v>70</v>
      </c>
      <c r="E22" s="14">
        <v>0</v>
      </c>
      <c r="F22" s="14">
        <v>1</v>
      </c>
      <c r="G22" s="14">
        <v>0</v>
      </c>
      <c r="H22" s="14">
        <v>1</v>
      </c>
      <c r="I22" s="14">
        <v>0</v>
      </c>
      <c r="J22" s="17">
        <v>15</v>
      </c>
      <c r="K22" s="14">
        <v>1</v>
      </c>
      <c r="L22" s="17">
        <v>0</v>
      </c>
      <c r="M22" s="14" t="s">
        <v>86</v>
      </c>
    </row>
    <row r="23" spans="1:13" x14ac:dyDescent="0.25">
      <c r="A23" s="14" t="s">
        <v>39</v>
      </c>
      <c r="B23" s="14" t="s">
        <v>237</v>
      </c>
      <c r="C23" s="14" t="s">
        <v>238</v>
      </c>
      <c r="D23" s="14" t="s">
        <v>63</v>
      </c>
      <c r="E23" s="14">
        <v>1</v>
      </c>
      <c r="F23" s="14">
        <v>0</v>
      </c>
      <c r="G23" s="14">
        <v>0</v>
      </c>
      <c r="H23" s="14">
        <v>0</v>
      </c>
      <c r="I23" s="14">
        <v>0</v>
      </c>
      <c r="J23" s="17">
        <v>15</v>
      </c>
      <c r="K23" s="14">
        <v>1</v>
      </c>
      <c r="L23" s="17">
        <v>20.3</v>
      </c>
      <c r="M23" s="14" t="s">
        <v>86</v>
      </c>
    </row>
    <row r="24" spans="1:13" x14ac:dyDescent="0.25">
      <c r="A24" s="14" t="s">
        <v>43</v>
      </c>
      <c r="B24" s="14" t="s">
        <v>239</v>
      </c>
      <c r="C24" s="14" t="s">
        <v>240</v>
      </c>
      <c r="D24" s="14" t="s">
        <v>62</v>
      </c>
      <c r="E24" s="14">
        <v>1</v>
      </c>
      <c r="F24" s="14">
        <v>0</v>
      </c>
      <c r="G24" s="14">
        <v>0</v>
      </c>
      <c r="H24" s="14">
        <v>0</v>
      </c>
      <c r="I24" s="14">
        <v>0</v>
      </c>
      <c r="J24" s="17">
        <v>0</v>
      </c>
      <c r="K24" s="14">
        <v>1</v>
      </c>
      <c r="L24" s="17">
        <v>35.82</v>
      </c>
      <c r="M24" s="14" t="s">
        <v>86</v>
      </c>
    </row>
    <row r="25" spans="1:13" x14ac:dyDescent="0.25">
      <c r="A25" s="14" t="s">
        <v>41</v>
      </c>
      <c r="B25" s="14" t="s">
        <v>241</v>
      </c>
      <c r="C25" s="14" t="s">
        <v>242</v>
      </c>
      <c r="D25" s="14" t="s">
        <v>70</v>
      </c>
      <c r="E25" s="14">
        <v>1</v>
      </c>
      <c r="F25" s="14">
        <v>0</v>
      </c>
      <c r="G25" s="14">
        <v>0</v>
      </c>
      <c r="H25" s="14">
        <v>0</v>
      </c>
      <c r="I25" s="14">
        <v>0</v>
      </c>
      <c r="J25" s="17">
        <v>0</v>
      </c>
      <c r="K25" s="14">
        <v>1</v>
      </c>
      <c r="L25" s="17">
        <v>96.37</v>
      </c>
      <c r="M25" s="14" t="s">
        <v>86</v>
      </c>
    </row>
    <row r="26" spans="1:13" x14ac:dyDescent="0.25">
      <c r="A26" s="14" t="s">
        <v>55</v>
      </c>
      <c r="B26" s="14" t="s">
        <v>243</v>
      </c>
      <c r="C26" s="14" t="s">
        <v>244</v>
      </c>
      <c r="D26" s="14" t="s">
        <v>63</v>
      </c>
      <c r="E26" s="14">
        <v>0</v>
      </c>
      <c r="F26" s="14">
        <v>0</v>
      </c>
      <c r="G26" s="14">
        <v>0</v>
      </c>
      <c r="H26" s="14">
        <v>0</v>
      </c>
      <c r="I26" s="14">
        <v>0</v>
      </c>
      <c r="J26" s="17">
        <v>24</v>
      </c>
      <c r="K26" s="14">
        <v>1</v>
      </c>
      <c r="L26" s="17">
        <v>172.52</v>
      </c>
      <c r="M26" s="14" t="s">
        <v>86</v>
      </c>
    </row>
    <row r="27" spans="1:13" x14ac:dyDescent="0.25">
      <c r="A27" s="14" t="s">
        <v>59</v>
      </c>
      <c r="B27" s="14" t="s">
        <v>245</v>
      </c>
      <c r="C27" s="14" t="s">
        <v>246</v>
      </c>
      <c r="D27" s="14" t="s">
        <v>62</v>
      </c>
      <c r="E27" s="14">
        <v>1</v>
      </c>
      <c r="F27" s="14">
        <v>0</v>
      </c>
      <c r="G27" s="14">
        <v>0</v>
      </c>
      <c r="H27" s="14">
        <v>0</v>
      </c>
      <c r="I27" s="14">
        <v>0</v>
      </c>
      <c r="J27" s="17">
        <v>0</v>
      </c>
      <c r="K27" s="14">
        <v>1</v>
      </c>
      <c r="L27" s="17">
        <v>0</v>
      </c>
      <c r="M27" s="14" t="s">
        <v>86</v>
      </c>
    </row>
    <row r="28" spans="1:13" x14ac:dyDescent="0.25">
      <c r="A28" s="14" t="s">
        <v>47</v>
      </c>
      <c r="B28" s="14" t="s">
        <v>247</v>
      </c>
      <c r="C28" s="14" t="s">
        <v>248</v>
      </c>
      <c r="D28" s="14" t="s">
        <v>54</v>
      </c>
      <c r="E28" s="14">
        <v>0</v>
      </c>
      <c r="F28" s="14">
        <v>0</v>
      </c>
      <c r="G28" s="14">
        <v>0</v>
      </c>
      <c r="H28" s="14">
        <v>0</v>
      </c>
      <c r="I28" s="14">
        <v>0</v>
      </c>
      <c r="J28" s="17">
        <v>33</v>
      </c>
      <c r="K28" s="14">
        <v>1</v>
      </c>
      <c r="L28" s="17">
        <v>0</v>
      </c>
      <c r="M28" s="14" t="s">
        <v>86</v>
      </c>
    </row>
    <row r="29" spans="1:13" x14ac:dyDescent="0.25">
      <c r="A29" s="14" t="s">
        <v>51</v>
      </c>
      <c r="B29" s="14" t="s">
        <v>249</v>
      </c>
      <c r="C29" s="14" t="s">
        <v>250</v>
      </c>
      <c r="D29" s="14" t="s">
        <v>72</v>
      </c>
      <c r="E29" s="14">
        <v>0</v>
      </c>
      <c r="F29" s="14">
        <v>0</v>
      </c>
      <c r="G29" s="14">
        <v>0</v>
      </c>
      <c r="H29" s="14">
        <v>0</v>
      </c>
      <c r="I29" s="14">
        <v>1</v>
      </c>
      <c r="J29" s="17">
        <v>16</v>
      </c>
      <c r="K29" s="14">
        <v>0</v>
      </c>
      <c r="L29" s="17">
        <v>0</v>
      </c>
      <c r="M29" s="14" t="s">
        <v>86</v>
      </c>
    </row>
    <row r="30" spans="1:13" x14ac:dyDescent="0.25">
      <c r="A30" s="14" t="s">
        <v>59</v>
      </c>
      <c r="B30" s="14" t="s">
        <v>251</v>
      </c>
      <c r="C30" s="14" t="s">
        <v>252</v>
      </c>
      <c r="D30" s="14" t="s">
        <v>48</v>
      </c>
      <c r="E30" s="14">
        <v>0</v>
      </c>
      <c r="F30" s="14">
        <v>0</v>
      </c>
      <c r="G30" s="14">
        <v>1</v>
      </c>
      <c r="H30" s="14">
        <v>0</v>
      </c>
      <c r="I30" s="14">
        <v>0</v>
      </c>
      <c r="J30" s="17">
        <v>0</v>
      </c>
      <c r="K30" s="14">
        <v>1</v>
      </c>
      <c r="L30" s="17">
        <v>60.31</v>
      </c>
      <c r="M30" s="14" t="s">
        <v>86</v>
      </c>
    </row>
    <row r="31" spans="1:13" x14ac:dyDescent="0.25">
      <c r="A31" s="14" t="s">
        <v>47</v>
      </c>
      <c r="B31" s="14" t="s">
        <v>253</v>
      </c>
      <c r="C31" s="14" t="s">
        <v>254</v>
      </c>
      <c r="D31" s="14" t="s">
        <v>73</v>
      </c>
      <c r="E31" s="14">
        <v>0</v>
      </c>
      <c r="F31" s="14">
        <v>0</v>
      </c>
      <c r="G31" s="14">
        <v>0</v>
      </c>
      <c r="H31" s="14">
        <v>0</v>
      </c>
      <c r="I31" s="14">
        <v>1</v>
      </c>
      <c r="J31" s="17">
        <v>33</v>
      </c>
      <c r="K31" s="14">
        <v>0</v>
      </c>
      <c r="L31" s="17">
        <v>0</v>
      </c>
      <c r="M31" s="14" t="s">
        <v>86</v>
      </c>
    </row>
    <row r="32" spans="1:13" x14ac:dyDescent="0.25">
      <c r="A32" s="14" t="s">
        <v>45</v>
      </c>
      <c r="B32" s="14" t="s">
        <v>255</v>
      </c>
      <c r="C32" s="14" t="s">
        <v>256</v>
      </c>
      <c r="D32" s="14" t="s">
        <v>72</v>
      </c>
      <c r="E32" s="14">
        <v>0</v>
      </c>
      <c r="F32" s="14">
        <v>0</v>
      </c>
      <c r="G32" s="14">
        <v>0</v>
      </c>
      <c r="H32" s="14">
        <v>0</v>
      </c>
      <c r="I32" s="14">
        <v>1</v>
      </c>
      <c r="J32" s="17">
        <v>16</v>
      </c>
      <c r="K32" s="14">
        <v>0</v>
      </c>
      <c r="L32" s="17">
        <v>0</v>
      </c>
      <c r="M32" s="14" t="s">
        <v>212</v>
      </c>
    </row>
    <row r="33" spans="1:13" x14ac:dyDescent="0.25">
      <c r="A33" s="14" t="s">
        <v>41</v>
      </c>
      <c r="B33" s="14" t="s">
        <v>257</v>
      </c>
      <c r="C33" s="14" t="s">
        <v>258</v>
      </c>
      <c r="D33" s="14" t="s">
        <v>64</v>
      </c>
      <c r="E33" s="14">
        <v>0</v>
      </c>
      <c r="F33" s="14">
        <v>1</v>
      </c>
      <c r="G33" s="14">
        <v>0</v>
      </c>
      <c r="H33" s="14">
        <v>0</v>
      </c>
      <c r="I33" s="14">
        <v>0</v>
      </c>
      <c r="J33" s="17">
        <v>18</v>
      </c>
      <c r="K33" s="14">
        <v>1</v>
      </c>
      <c r="L33" s="17">
        <v>0</v>
      </c>
      <c r="M33" s="14" t="s">
        <v>86</v>
      </c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7"/>
      <c r="K34" s="14"/>
      <c r="L34" s="17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7"/>
      <c r="K35" s="14"/>
      <c r="L35" s="17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7"/>
      <c r="K36" s="14"/>
      <c r="L36" s="17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7"/>
      <c r="K37" s="14"/>
      <c r="L37" s="17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7"/>
      <c r="K38" s="14"/>
      <c r="L38" s="17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7"/>
      <c r="K39" s="14"/>
      <c r="L39" s="17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7"/>
      <c r="K40" s="14"/>
      <c r="L40" s="17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7"/>
      <c r="K41" s="14"/>
      <c r="L41" s="17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7"/>
      <c r="K42" s="14"/>
      <c r="L42" s="17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7"/>
      <c r="K43" s="14"/>
      <c r="L43" s="17"/>
      <c r="M43" s="14"/>
    </row>
  </sheetData>
  <mergeCells count="2">
    <mergeCell ref="A2:M2"/>
    <mergeCell ref="A1:M1"/>
  </mergeCells>
  <dataValidations count="1">
    <dataValidation type="list" allowBlank="1" sqref="M4:M43" xr:uid="{00000000-0002-0000-07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700-000000000000}">
          <x14:formula1>
            <xm:f>Setup!$A$5:$A$16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0700-000001000000}">
          <x14:formula1>
            <xm:f>Setup!$C$5:$C$30</xm:f>
          </x14:formula1>
          <xm:sqref>D4:D43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4" t="s">
        <v>259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</row>
    <row r="2" spans="1:24" ht="21.95" customHeight="1" x14ac:dyDescent="0.25">
      <c r="A2" s="43" t="s">
        <v>19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</row>
    <row r="3" spans="1:24" x14ac:dyDescent="0.25">
      <c r="A3" s="12" t="s">
        <v>79</v>
      </c>
      <c r="B3" s="12" t="s">
        <v>80</v>
      </c>
      <c r="C3" s="12" t="s">
        <v>81</v>
      </c>
      <c r="D3" s="12" t="s">
        <v>82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83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57</v>
      </c>
      <c r="B4" s="14" t="s">
        <v>260</v>
      </c>
      <c r="C4" s="14" t="s">
        <v>261</v>
      </c>
      <c r="D4" s="14" t="s">
        <v>74</v>
      </c>
      <c r="E4" s="14">
        <v>0</v>
      </c>
      <c r="F4" s="14">
        <v>1</v>
      </c>
      <c r="G4" s="14">
        <v>0</v>
      </c>
      <c r="H4" s="14">
        <v>0</v>
      </c>
      <c r="I4" s="14">
        <v>0</v>
      </c>
      <c r="J4" s="17">
        <v>0</v>
      </c>
      <c r="K4" s="14">
        <v>0</v>
      </c>
      <c r="L4" s="17">
        <v>0</v>
      </c>
      <c r="M4" s="14" t="s">
        <v>86</v>
      </c>
      <c r="P4" s="14" t="str">
        <f>Setup!$A$5</f>
        <v>Expert 01</v>
      </c>
      <c r="Q4" s="14">
        <f t="shared" ref="Q4:Q15" si="0">SUMIF($A$4:$A$43,$P4,E$4:E$43)</f>
        <v>1</v>
      </c>
      <c r="R4" s="14">
        <f t="shared" ref="R4:R15" si="1">SUMIF($A$4:$A$43,$P4,F$4:F$43)</f>
        <v>2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7">
        <f t="shared" ref="V4:V15" si="5">SUMIF($A$4:$A$43,$P4,J$4:J$43)</f>
        <v>42</v>
      </c>
      <c r="W4" s="14">
        <f t="shared" ref="W4:W15" si="6">SUMIF($A$4:$A$43,$P4,K$4:K$43)</f>
        <v>3</v>
      </c>
      <c r="X4" s="17">
        <f t="shared" ref="X4:X15" si="7">SUMIF($A$4:$A$43,$P4,L$4:L$43)</f>
        <v>264.33000000000004</v>
      </c>
    </row>
    <row r="5" spans="1:24" x14ac:dyDescent="0.25">
      <c r="A5" s="14" t="s">
        <v>53</v>
      </c>
      <c r="B5" s="14" t="s">
        <v>262</v>
      </c>
      <c r="C5" s="14" t="s">
        <v>263</v>
      </c>
      <c r="D5" s="14" t="s">
        <v>48</v>
      </c>
      <c r="E5" s="14">
        <v>1</v>
      </c>
      <c r="F5" s="14">
        <v>0</v>
      </c>
      <c r="G5" s="14">
        <v>0</v>
      </c>
      <c r="H5" s="14">
        <v>0</v>
      </c>
      <c r="I5" s="14">
        <v>0</v>
      </c>
      <c r="J5" s="17">
        <v>0</v>
      </c>
      <c r="K5" s="14">
        <v>1</v>
      </c>
      <c r="L5" s="17">
        <v>46.6</v>
      </c>
      <c r="M5" s="14" t="s">
        <v>212</v>
      </c>
      <c r="P5" s="14" t="str">
        <f>Setup!$A$6</f>
        <v>Expert 02</v>
      </c>
      <c r="Q5" s="14">
        <f t="shared" si="0"/>
        <v>1</v>
      </c>
      <c r="R5" s="14">
        <f t="shared" si="1"/>
        <v>0</v>
      </c>
      <c r="S5" s="14">
        <f t="shared" si="2"/>
        <v>0</v>
      </c>
      <c r="T5" s="14">
        <f t="shared" si="3"/>
        <v>0</v>
      </c>
      <c r="U5" s="14">
        <f t="shared" si="4"/>
        <v>0</v>
      </c>
      <c r="V5" s="17">
        <f t="shared" si="5"/>
        <v>18</v>
      </c>
      <c r="W5" s="14">
        <f t="shared" si="6"/>
        <v>1</v>
      </c>
      <c r="X5" s="17">
        <f t="shared" si="7"/>
        <v>24.06</v>
      </c>
    </row>
    <row r="6" spans="1:24" x14ac:dyDescent="0.25">
      <c r="A6" s="14" t="s">
        <v>53</v>
      </c>
      <c r="B6" s="14" t="s">
        <v>264</v>
      </c>
      <c r="C6" s="14" t="s">
        <v>265</v>
      </c>
      <c r="D6" s="14" t="s">
        <v>73</v>
      </c>
      <c r="E6" s="14">
        <v>0</v>
      </c>
      <c r="F6" s="14">
        <v>0</v>
      </c>
      <c r="G6" s="14">
        <v>0</v>
      </c>
      <c r="H6" s="14">
        <v>0</v>
      </c>
      <c r="I6" s="14">
        <v>1</v>
      </c>
      <c r="J6" s="17">
        <v>24</v>
      </c>
      <c r="K6" s="14">
        <v>0</v>
      </c>
      <c r="L6" s="17">
        <v>0</v>
      </c>
      <c r="M6" s="14" t="s">
        <v>86</v>
      </c>
      <c r="P6" s="14" t="str">
        <f>Setup!$A$7</f>
        <v>Expert 03</v>
      </c>
      <c r="Q6" s="14">
        <f t="shared" si="0"/>
        <v>1</v>
      </c>
      <c r="R6" s="14">
        <f t="shared" si="1"/>
        <v>0</v>
      </c>
      <c r="S6" s="14">
        <f t="shared" si="2"/>
        <v>0</v>
      </c>
      <c r="T6" s="14">
        <f t="shared" si="3"/>
        <v>0</v>
      </c>
      <c r="U6" s="14">
        <f t="shared" si="4"/>
        <v>0</v>
      </c>
      <c r="V6" s="17">
        <f t="shared" si="5"/>
        <v>0</v>
      </c>
      <c r="W6" s="14">
        <f t="shared" si="6"/>
        <v>1</v>
      </c>
      <c r="X6" s="17">
        <f t="shared" si="7"/>
        <v>41.85</v>
      </c>
    </row>
    <row r="7" spans="1:24" x14ac:dyDescent="0.25">
      <c r="A7" s="14" t="s">
        <v>61</v>
      </c>
      <c r="B7" s="14" t="s">
        <v>266</v>
      </c>
      <c r="C7" s="14" t="s">
        <v>267</v>
      </c>
      <c r="D7" s="14" t="s">
        <v>52</v>
      </c>
      <c r="E7" s="14">
        <v>1</v>
      </c>
      <c r="F7" s="14">
        <v>0</v>
      </c>
      <c r="G7" s="14">
        <v>0</v>
      </c>
      <c r="H7" s="14">
        <v>0</v>
      </c>
      <c r="I7" s="14">
        <v>0</v>
      </c>
      <c r="J7" s="17">
        <v>0</v>
      </c>
      <c r="K7" s="14">
        <v>1</v>
      </c>
      <c r="L7" s="17">
        <v>104.91</v>
      </c>
      <c r="M7" s="14" t="s">
        <v>86</v>
      </c>
      <c r="P7" s="14" t="str">
        <f>Setup!$A$8</f>
        <v>Expert 04</v>
      </c>
      <c r="Q7" s="14">
        <f t="shared" si="0"/>
        <v>2</v>
      </c>
      <c r="R7" s="14">
        <f t="shared" si="1"/>
        <v>0</v>
      </c>
      <c r="S7" s="14">
        <f t="shared" si="2"/>
        <v>1</v>
      </c>
      <c r="T7" s="14">
        <f t="shared" si="3"/>
        <v>0</v>
      </c>
      <c r="U7" s="14">
        <f t="shared" si="4"/>
        <v>0</v>
      </c>
      <c r="V7" s="17">
        <f t="shared" si="5"/>
        <v>33</v>
      </c>
      <c r="W7" s="14">
        <f t="shared" si="6"/>
        <v>2</v>
      </c>
      <c r="X7" s="17">
        <f t="shared" si="7"/>
        <v>61.16</v>
      </c>
    </row>
    <row r="8" spans="1:24" x14ac:dyDescent="0.25">
      <c r="A8" s="14" t="s">
        <v>59</v>
      </c>
      <c r="B8" s="14" t="s">
        <v>268</v>
      </c>
      <c r="C8" s="14" t="s">
        <v>269</v>
      </c>
      <c r="D8" s="14" t="s">
        <v>44</v>
      </c>
      <c r="E8" s="14">
        <v>0</v>
      </c>
      <c r="F8" s="14">
        <v>1</v>
      </c>
      <c r="G8" s="14">
        <v>0</v>
      </c>
      <c r="H8" s="14">
        <v>0</v>
      </c>
      <c r="I8" s="14">
        <v>0</v>
      </c>
      <c r="J8" s="17">
        <v>15</v>
      </c>
      <c r="K8" s="14">
        <v>1</v>
      </c>
      <c r="L8" s="17">
        <v>89.84</v>
      </c>
      <c r="M8" s="14" t="s">
        <v>86</v>
      </c>
      <c r="P8" s="14" t="str">
        <f>Setup!$A$9</f>
        <v>Expert 05</v>
      </c>
      <c r="Q8" s="14">
        <f t="shared" si="0"/>
        <v>1</v>
      </c>
      <c r="R8" s="14">
        <f t="shared" si="1"/>
        <v>1</v>
      </c>
      <c r="S8" s="14">
        <f t="shared" si="2"/>
        <v>0</v>
      </c>
      <c r="T8" s="14">
        <f t="shared" si="3"/>
        <v>0</v>
      </c>
      <c r="U8" s="14">
        <f t="shared" si="4"/>
        <v>0</v>
      </c>
      <c r="V8" s="17">
        <f t="shared" si="5"/>
        <v>0</v>
      </c>
      <c r="W8" s="14">
        <f t="shared" si="6"/>
        <v>2</v>
      </c>
      <c r="X8" s="17">
        <f t="shared" si="7"/>
        <v>0</v>
      </c>
    </row>
    <row r="9" spans="1:24" x14ac:dyDescent="0.25">
      <c r="A9" s="14" t="s">
        <v>47</v>
      </c>
      <c r="B9" s="14" t="s">
        <v>270</v>
      </c>
      <c r="C9" s="14" t="s">
        <v>271</v>
      </c>
      <c r="D9" s="14" t="s">
        <v>70</v>
      </c>
      <c r="E9" s="14">
        <v>1</v>
      </c>
      <c r="F9" s="14">
        <v>0</v>
      </c>
      <c r="G9" s="14">
        <v>0</v>
      </c>
      <c r="H9" s="14">
        <v>0</v>
      </c>
      <c r="I9" s="14">
        <v>0</v>
      </c>
      <c r="J9" s="17">
        <v>0</v>
      </c>
      <c r="K9" s="14">
        <v>1</v>
      </c>
      <c r="L9" s="17">
        <v>0</v>
      </c>
      <c r="M9" s="14" t="s">
        <v>86</v>
      </c>
      <c r="P9" s="14" t="str">
        <f>Setup!$A$10</f>
        <v>Expert 06</v>
      </c>
      <c r="Q9" s="14">
        <f t="shared" si="0"/>
        <v>1</v>
      </c>
      <c r="R9" s="14">
        <f t="shared" si="1"/>
        <v>0</v>
      </c>
      <c r="S9" s="14">
        <f t="shared" si="2"/>
        <v>0</v>
      </c>
      <c r="T9" s="14">
        <f t="shared" si="3"/>
        <v>0</v>
      </c>
      <c r="U9" s="14">
        <f t="shared" si="4"/>
        <v>0</v>
      </c>
      <c r="V9" s="17">
        <f t="shared" si="5"/>
        <v>16</v>
      </c>
      <c r="W9" s="14">
        <f t="shared" si="6"/>
        <v>1</v>
      </c>
      <c r="X9" s="17">
        <f t="shared" si="7"/>
        <v>53.06</v>
      </c>
    </row>
    <row r="10" spans="1:24" x14ac:dyDescent="0.25">
      <c r="A10" s="14" t="s">
        <v>39</v>
      </c>
      <c r="B10" s="14" t="s">
        <v>272</v>
      </c>
      <c r="C10" s="14" t="s">
        <v>273</v>
      </c>
      <c r="D10" s="14" t="s">
        <v>66</v>
      </c>
      <c r="E10" s="14">
        <v>0</v>
      </c>
      <c r="F10" s="14">
        <v>1</v>
      </c>
      <c r="G10" s="14">
        <v>0</v>
      </c>
      <c r="H10" s="14">
        <v>0</v>
      </c>
      <c r="I10" s="14">
        <v>0</v>
      </c>
      <c r="J10" s="17">
        <v>18</v>
      </c>
      <c r="K10" s="14">
        <v>1</v>
      </c>
      <c r="L10" s="17">
        <v>146.52000000000001</v>
      </c>
      <c r="M10" s="14" t="s">
        <v>86</v>
      </c>
      <c r="P10" s="14" t="str">
        <f>Setup!$A$11</f>
        <v>Expert 07</v>
      </c>
      <c r="Q10" s="14">
        <f t="shared" si="0"/>
        <v>1</v>
      </c>
      <c r="R10" s="14">
        <f t="shared" si="1"/>
        <v>0</v>
      </c>
      <c r="S10" s="14">
        <f t="shared" si="2"/>
        <v>0</v>
      </c>
      <c r="T10" s="14">
        <f t="shared" si="3"/>
        <v>0</v>
      </c>
      <c r="U10" s="14">
        <f t="shared" si="4"/>
        <v>0</v>
      </c>
      <c r="V10" s="17">
        <f t="shared" si="5"/>
        <v>0</v>
      </c>
      <c r="W10" s="14">
        <f t="shared" si="6"/>
        <v>1</v>
      </c>
      <c r="X10" s="17">
        <f t="shared" si="7"/>
        <v>89.46</v>
      </c>
    </row>
    <row r="11" spans="1:24" x14ac:dyDescent="0.25">
      <c r="A11" s="14" t="s">
        <v>41</v>
      </c>
      <c r="B11" s="14" t="s">
        <v>274</v>
      </c>
      <c r="C11" s="14" t="s">
        <v>275</v>
      </c>
      <c r="D11" s="14" t="s">
        <v>44</v>
      </c>
      <c r="E11" s="14">
        <v>1</v>
      </c>
      <c r="F11" s="14">
        <v>0</v>
      </c>
      <c r="G11" s="14">
        <v>0</v>
      </c>
      <c r="H11" s="14">
        <v>0</v>
      </c>
      <c r="I11" s="14">
        <v>0</v>
      </c>
      <c r="J11" s="17">
        <v>18</v>
      </c>
      <c r="K11" s="14">
        <v>1</v>
      </c>
      <c r="L11" s="17">
        <v>24.06</v>
      </c>
      <c r="M11" s="14" t="s">
        <v>86</v>
      </c>
      <c r="P11" s="14" t="str">
        <f>Setup!$A$12</f>
        <v>Expert 08</v>
      </c>
      <c r="Q11" s="14">
        <f t="shared" si="0"/>
        <v>1</v>
      </c>
      <c r="R11" s="14">
        <f t="shared" si="1"/>
        <v>0</v>
      </c>
      <c r="S11" s="14">
        <f t="shared" si="2"/>
        <v>1</v>
      </c>
      <c r="T11" s="14">
        <f t="shared" si="3"/>
        <v>0</v>
      </c>
      <c r="U11" s="14">
        <f t="shared" si="4"/>
        <v>2</v>
      </c>
      <c r="V11" s="17">
        <f t="shared" si="5"/>
        <v>24</v>
      </c>
      <c r="W11" s="14">
        <f t="shared" si="6"/>
        <v>1</v>
      </c>
      <c r="X11" s="17">
        <f t="shared" si="7"/>
        <v>210.18</v>
      </c>
    </row>
    <row r="12" spans="1:24" x14ac:dyDescent="0.25">
      <c r="A12" s="14" t="s">
        <v>57</v>
      </c>
      <c r="B12" s="14" t="s">
        <v>276</v>
      </c>
      <c r="C12" s="14" t="s">
        <v>277</v>
      </c>
      <c r="D12" s="14" t="s">
        <v>42</v>
      </c>
      <c r="E12" s="14">
        <v>1</v>
      </c>
      <c r="F12" s="14">
        <v>0</v>
      </c>
      <c r="G12" s="14">
        <v>0</v>
      </c>
      <c r="H12" s="14">
        <v>1</v>
      </c>
      <c r="I12" s="14">
        <v>0</v>
      </c>
      <c r="J12" s="17">
        <v>16</v>
      </c>
      <c r="K12" s="14">
        <v>1</v>
      </c>
      <c r="L12" s="17">
        <v>157.27000000000001</v>
      </c>
      <c r="M12" s="14" t="s">
        <v>86</v>
      </c>
      <c r="P12" s="14" t="str">
        <f>Setup!$A$13</f>
        <v>Expert 09</v>
      </c>
      <c r="Q12" s="14">
        <f t="shared" si="0"/>
        <v>0</v>
      </c>
      <c r="R12" s="14">
        <f t="shared" si="1"/>
        <v>0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7">
        <f t="shared" si="5"/>
        <v>24</v>
      </c>
      <c r="W12" s="14">
        <f t="shared" si="6"/>
        <v>2</v>
      </c>
      <c r="X12" s="17">
        <f t="shared" si="7"/>
        <v>0</v>
      </c>
    </row>
    <row r="13" spans="1:24" x14ac:dyDescent="0.25">
      <c r="A13" s="14" t="s">
        <v>47</v>
      </c>
      <c r="B13" s="14" t="s">
        <v>278</v>
      </c>
      <c r="C13" s="14" t="s">
        <v>279</v>
      </c>
      <c r="D13" s="14" t="s">
        <v>58</v>
      </c>
      <c r="E13" s="14">
        <v>0</v>
      </c>
      <c r="F13" s="14">
        <v>1</v>
      </c>
      <c r="G13" s="14">
        <v>0</v>
      </c>
      <c r="H13" s="14">
        <v>0</v>
      </c>
      <c r="I13" s="14">
        <v>0</v>
      </c>
      <c r="J13" s="17">
        <v>0</v>
      </c>
      <c r="K13" s="14">
        <v>1</v>
      </c>
      <c r="L13" s="17">
        <v>0</v>
      </c>
      <c r="M13" s="14" t="s">
        <v>86</v>
      </c>
      <c r="P13" s="14" t="str">
        <f>Setup!$A$14</f>
        <v>Expert 10</v>
      </c>
      <c r="Q13" s="14">
        <f t="shared" si="0"/>
        <v>1</v>
      </c>
      <c r="R13" s="14">
        <f t="shared" si="1"/>
        <v>1</v>
      </c>
      <c r="S13" s="14">
        <f t="shared" si="2"/>
        <v>0</v>
      </c>
      <c r="T13" s="14">
        <f t="shared" si="3"/>
        <v>1</v>
      </c>
      <c r="U13" s="14">
        <f t="shared" si="4"/>
        <v>0</v>
      </c>
      <c r="V13" s="17">
        <f t="shared" si="5"/>
        <v>31</v>
      </c>
      <c r="W13" s="14">
        <f t="shared" si="6"/>
        <v>2</v>
      </c>
      <c r="X13" s="17">
        <f t="shared" si="7"/>
        <v>157.27000000000001</v>
      </c>
    </row>
    <row r="14" spans="1:24" x14ac:dyDescent="0.25">
      <c r="A14" s="14" t="s">
        <v>49</v>
      </c>
      <c r="B14" s="14" t="s">
        <v>280</v>
      </c>
      <c r="C14" s="14" t="s">
        <v>281</v>
      </c>
      <c r="D14" s="14" t="s">
        <v>40</v>
      </c>
      <c r="E14" s="14">
        <v>1</v>
      </c>
      <c r="F14" s="14">
        <v>0</v>
      </c>
      <c r="G14" s="14">
        <v>0</v>
      </c>
      <c r="H14" s="14">
        <v>0</v>
      </c>
      <c r="I14" s="14">
        <v>0</v>
      </c>
      <c r="J14" s="17">
        <v>16</v>
      </c>
      <c r="K14" s="14">
        <v>1</v>
      </c>
      <c r="L14" s="17">
        <v>53.06</v>
      </c>
      <c r="M14" s="14" t="s">
        <v>86</v>
      </c>
      <c r="P14" s="14" t="str">
        <f>Setup!$A$15</f>
        <v>Expert 11</v>
      </c>
      <c r="Q14" s="14">
        <f t="shared" si="0"/>
        <v>1</v>
      </c>
      <c r="R14" s="14">
        <f t="shared" si="1"/>
        <v>2</v>
      </c>
      <c r="S14" s="14">
        <f t="shared" si="2"/>
        <v>0</v>
      </c>
      <c r="T14" s="14">
        <f t="shared" si="3"/>
        <v>0</v>
      </c>
      <c r="U14" s="14">
        <f t="shared" si="4"/>
        <v>0</v>
      </c>
      <c r="V14" s="17">
        <f t="shared" si="5"/>
        <v>15</v>
      </c>
      <c r="W14" s="14">
        <f t="shared" si="6"/>
        <v>2</v>
      </c>
      <c r="X14" s="17">
        <f t="shared" si="7"/>
        <v>89.84</v>
      </c>
    </row>
    <row r="15" spans="1:24" x14ac:dyDescent="0.25">
      <c r="A15" s="14" t="s">
        <v>51</v>
      </c>
      <c r="B15" s="14" t="s">
        <v>282</v>
      </c>
      <c r="C15" s="14" t="s">
        <v>283</v>
      </c>
      <c r="D15" s="14" t="s">
        <v>66</v>
      </c>
      <c r="E15" s="14">
        <v>1</v>
      </c>
      <c r="F15" s="14">
        <v>0</v>
      </c>
      <c r="G15" s="14">
        <v>0</v>
      </c>
      <c r="H15" s="14">
        <v>0</v>
      </c>
      <c r="I15" s="14">
        <v>0</v>
      </c>
      <c r="J15" s="17">
        <v>0</v>
      </c>
      <c r="K15" s="14">
        <v>1</v>
      </c>
      <c r="L15" s="17">
        <v>89.46</v>
      </c>
      <c r="M15" s="14" t="s">
        <v>86</v>
      </c>
      <c r="P15" s="14" t="str">
        <f>Setup!$A$16</f>
        <v>Expert 12</v>
      </c>
      <c r="Q15" s="14">
        <f t="shared" si="0"/>
        <v>2</v>
      </c>
      <c r="R15" s="14">
        <f t="shared" si="1"/>
        <v>0</v>
      </c>
      <c r="S15" s="14">
        <f t="shared" si="2"/>
        <v>0</v>
      </c>
      <c r="T15" s="14">
        <f t="shared" si="3"/>
        <v>0</v>
      </c>
      <c r="U15" s="14">
        <f t="shared" si="4"/>
        <v>0</v>
      </c>
      <c r="V15" s="17">
        <f t="shared" si="5"/>
        <v>0</v>
      </c>
      <c r="W15" s="14">
        <f t="shared" si="6"/>
        <v>2</v>
      </c>
      <c r="X15" s="17">
        <f t="shared" si="7"/>
        <v>104.91</v>
      </c>
    </row>
    <row r="16" spans="1:24" x14ac:dyDescent="0.25">
      <c r="A16" s="14" t="s">
        <v>43</v>
      </c>
      <c r="B16" s="14" t="s">
        <v>284</v>
      </c>
      <c r="C16" s="14" t="s">
        <v>285</v>
      </c>
      <c r="D16" s="14" t="s">
        <v>52</v>
      </c>
      <c r="E16" s="14">
        <v>1</v>
      </c>
      <c r="F16" s="14">
        <v>0</v>
      </c>
      <c r="G16" s="14">
        <v>0</v>
      </c>
      <c r="H16" s="14">
        <v>0</v>
      </c>
      <c r="I16" s="14">
        <v>0</v>
      </c>
      <c r="J16" s="17">
        <v>0</v>
      </c>
      <c r="K16" s="14">
        <v>1</v>
      </c>
      <c r="L16" s="17">
        <v>41.85</v>
      </c>
      <c r="M16" s="14" t="s">
        <v>86</v>
      </c>
      <c r="P16" s="18" t="s">
        <v>111</v>
      </c>
      <c r="Q16" s="19">
        <f t="shared" ref="Q16:X16" si="8">SUM(Q4:Q15)</f>
        <v>13</v>
      </c>
      <c r="R16" s="19">
        <f t="shared" si="8"/>
        <v>6</v>
      </c>
      <c r="S16" s="19">
        <f t="shared" si="8"/>
        <v>2</v>
      </c>
      <c r="T16" s="19">
        <f t="shared" si="8"/>
        <v>1</v>
      </c>
      <c r="U16" s="19">
        <f t="shared" si="8"/>
        <v>2</v>
      </c>
      <c r="V16" s="20">
        <f t="shared" si="8"/>
        <v>203</v>
      </c>
      <c r="W16" s="19">
        <f t="shared" si="8"/>
        <v>20</v>
      </c>
      <c r="X16" s="20">
        <f t="shared" si="8"/>
        <v>1096.1200000000001</v>
      </c>
    </row>
    <row r="17" spans="1:13" x14ac:dyDescent="0.25">
      <c r="A17" s="14" t="s">
        <v>59</v>
      </c>
      <c r="B17" s="14" t="s">
        <v>286</v>
      </c>
      <c r="C17" s="14" t="s">
        <v>287</v>
      </c>
      <c r="D17" s="14" t="s">
        <v>42</v>
      </c>
      <c r="E17" s="14">
        <v>0</v>
      </c>
      <c r="F17" s="14">
        <v>1</v>
      </c>
      <c r="G17" s="14">
        <v>0</v>
      </c>
      <c r="H17" s="14">
        <v>0</v>
      </c>
      <c r="I17" s="14">
        <v>0</v>
      </c>
      <c r="J17" s="17">
        <v>0</v>
      </c>
      <c r="K17" s="14">
        <v>1</v>
      </c>
      <c r="L17" s="17">
        <v>0</v>
      </c>
      <c r="M17" s="14" t="s">
        <v>86</v>
      </c>
    </row>
    <row r="18" spans="1:13" x14ac:dyDescent="0.25">
      <c r="A18" s="14" t="s">
        <v>57</v>
      </c>
      <c r="B18" s="14" t="s">
        <v>288</v>
      </c>
      <c r="C18" s="14" t="s">
        <v>289</v>
      </c>
      <c r="D18" s="14" t="s">
        <v>48</v>
      </c>
      <c r="E18" s="14">
        <v>0</v>
      </c>
      <c r="F18" s="14">
        <v>0</v>
      </c>
      <c r="G18" s="14">
        <v>0</v>
      </c>
      <c r="H18" s="14">
        <v>0</v>
      </c>
      <c r="I18" s="14">
        <v>0</v>
      </c>
      <c r="J18" s="17">
        <v>15</v>
      </c>
      <c r="K18" s="14">
        <v>1</v>
      </c>
      <c r="L18" s="17">
        <v>0</v>
      </c>
      <c r="M18" s="14" t="s">
        <v>86</v>
      </c>
    </row>
    <row r="19" spans="1:13" x14ac:dyDescent="0.25">
      <c r="A19" s="14" t="s">
        <v>39</v>
      </c>
      <c r="B19" s="14" t="s">
        <v>290</v>
      </c>
      <c r="C19" s="14" t="s">
        <v>291</v>
      </c>
      <c r="D19" s="14" t="s">
        <v>67</v>
      </c>
      <c r="E19" s="14">
        <v>0</v>
      </c>
      <c r="F19" s="14">
        <v>1</v>
      </c>
      <c r="G19" s="14">
        <v>0</v>
      </c>
      <c r="H19" s="14">
        <v>0</v>
      </c>
      <c r="I19" s="14">
        <v>0</v>
      </c>
      <c r="J19" s="17">
        <v>24</v>
      </c>
      <c r="K19" s="14">
        <v>1</v>
      </c>
      <c r="L19" s="17">
        <v>117.81</v>
      </c>
      <c r="M19" s="14" t="s">
        <v>86</v>
      </c>
    </row>
    <row r="20" spans="1:13" x14ac:dyDescent="0.25">
      <c r="A20" s="14" t="s">
        <v>53</v>
      </c>
      <c r="B20" s="14" t="s">
        <v>292</v>
      </c>
      <c r="C20" s="14" t="s">
        <v>293</v>
      </c>
      <c r="D20" s="14" t="s">
        <v>75</v>
      </c>
      <c r="E20" s="14">
        <v>0</v>
      </c>
      <c r="F20" s="14">
        <v>0</v>
      </c>
      <c r="G20" s="14">
        <v>1</v>
      </c>
      <c r="H20" s="14">
        <v>0</v>
      </c>
      <c r="I20" s="14">
        <v>0</v>
      </c>
      <c r="J20" s="17">
        <v>0</v>
      </c>
      <c r="K20" s="14">
        <v>0</v>
      </c>
      <c r="L20" s="17">
        <v>0</v>
      </c>
      <c r="M20" s="14" t="s">
        <v>86</v>
      </c>
    </row>
    <row r="21" spans="1:13" x14ac:dyDescent="0.25">
      <c r="A21" s="14" t="s">
        <v>39</v>
      </c>
      <c r="B21" s="14" t="s">
        <v>294</v>
      </c>
      <c r="C21" s="14" t="s">
        <v>295</v>
      </c>
      <c r="D21" s="14" t="s">
        <v>64</v>
      </c>
      <c r="E21" s="14">
        <v>1</v>
      </c>
      <c r="F21" s="14">
        <v>0</v>
      </c>
      <c r="G21" s="14">
        <v>0</v>
      </c>
      <c r="H21" s="14">
        <v>0</v>
      </c>
      <c r="I21" s="14">
        <v>0</v>
      </c>
      <c r="J21" s="17">
        <v>0</v>
      </c>
      <c r="K21" s="14">
        <v>1</v>
      </c>
      <c r="L21" s="17">
        <v>0</v>
      </c>
      <c r="M21" s="14" t="s">
        <v>86</v>
      </c>
    </row>
    <row r="22" spans="1:13" x14ac:dyDescent="0.25">
      <c r="A22" s="14" t="s">
        <v>61</v>
      </c>
      <c r="B22" s="14" t="s">
        <v>296</v>
      </c>
      <c r="C22" s="14" t="s">
        <v>297</v>
      </c>
      <c r="D22" s="14" t="s">
        <v>71</v>
      </c>
      <c r="E22" s="14">
        <v>1</v>
      </c>
      <c r="F22" s="14">
        <v>0</v>
      </c>
      <c r="G22" s="14">
        <v>0</v>
      </c>
      <c r="H22" s="14">
        <v>0</v>
      </c>
      <c r="I22" s="14">
        <v>0</v>
      </c>
      <c r="J22" s="17">
        <v>0</v>
      </c>
      <c r="K22" s="14">
        <v>1</v>
      </c>
      <c r="L22" s="17">
        <v>0</v>
      </c>
      <c r="M22" s="14" t="s">
        <v>86</v>
      </c>
    </row>
    <row r="23" spans="1:13" x14ac:dyDescent="0.25">
      <c r="A23" s="14" t="s">
        <v>55</v>
      </c>
      <c r="B23" s="14" t="s">
        <v>298</v>
      </c>
      <c r="C23" s="14" t="s">
        <v>299</v>
      </c>
      <c r="D23" s="14" t="s">
        <v>66</v>
      </c>
      <c r="E23" s="14">
        <v>0</v>
      </c>
      <c r="F23" s="14">
        <v>0</v>
      </c>
      <c r="G23" s="14">
        <v>0</v>
      </c>
      <c r="H23" s="14">
        <v>0</v>
      </c>
      <c r="I23" s="14">
        <v>0</v>
      </c>
      <c r="J23" s="17">
        <v>0</v>
      </c>
      <c r="K23" s="14">
        <v>1</v>
      </c>
      <c r="L23" s="17">
        <v>0</v>
      </c>
      <c r="M23" s="14" t="s">
        <v>86</v>
      </c>
    </row>
    <row r="24" spans="1:13" x14ac:dyDescent="0.25">
      <c r="A24" s="14" t="s">
        <v>55</v>
      </c>
      <c r="B24" s="14" t="s">
        <v>300</v>
      </c>
      <c r="C24" s="14" t="s">
        <v>301</v>
      </c>
      <c r="D24" s="14" t="s">
        <v>69</v>
      </c>
      <c r="E24" s="14">
        <v>0</v>
      </c>
      <c r="F24" s="14">
        <v>0</v>
      </c>
      <c r="G24" s="14">
        <v>0</v>
      </c>
      <c r="H24" s="14">
        <v>0</v>
      </c>
      <c r="I24" s="14">
        <v>0</v>
      </c>
      <c r="J24" s="17">
        <v>24</v>
      </c>
      <c r="K24" s="14">
        <v>1</v>
      </c>
      <c r="L24" s="17">
        <v>0</v>
      </c>
      <c r="M24" s="14" t="s">
        <v>212</v>
      </c>
    </row>
    <row r="25" spans="1:13" x14ac:dyDescent="0.25">
      <c r="A25" s="14" t="s">
        <v>45</v>
      </c>
      <c r="B25" s="14" t="s">
        <v>302</v>
      </c>
      <c r="C25" s="14" t="s">
        <v>303</v>
      </c>
      <c r="D25" s="14" t="s">
        <v>71</v>
      </c>
      <c r="E25" s="14">
        <v>1</v>
      </c>
      <c r="F25" s="14">
        <v>0</v>
      </c>
      <c r="G25" s="14">
        <v>0</v>
      </c>
      <c r="H25" s="14">
        <v>0</v>
      </c>
      <c r="I25" s="14">
        <v>0</v>
      </c>
      <c r="J25" s="17">
        <v>18</v>
      </c>
      <c r="K25" s="14">
        <v>1</v>
      </c>
      <c r="L25" s="17">
        <v>61.16</v>
      </c>
      <c r="M25" s="14" t="s">
        <v>86</v>
      </c>
    </row>
    <row r="26" spans="1:13" x14ac:dyDescent="0.25">
      <c r="A26" s="14" t="s">
        <v>53</v>
      </c>
      <c r="B26" s="14" t="s">
        <v>304</v>
      </c>
      <c r="C26" s="14" t="s">
        <v>305</v>
      </c>
      <c r="D26" s="14" t="s">
        <v>72</v>
      </c>
      <c r="E26" s="14">
        <v>0</v>
      </c>
      <c r="F26" s="14">
        <v>0</v>
      </c>
      <c r="G26" s="14">
        <v>0</v>
      </c>
      <c r="H26" s="14">
        <v>0</v>
      </c>
      <c r="I26" s="14">
        <v>1</v>
      </c>
      <c r="J26" s="17">
        <v>0</v>
      </c>
      <c r="K26" s="14">
        <v>0</v>
      </c>
      <c r="L26" s="17">
        <v>163.58000000000001</v>
      </c>
      <c r="M26" s="14" t="s">
        <v>86</v>
      </c>
    </row>
    <row r="27" spans="1:13" x14ac:dyDescent="0.25">
      <c r="A27" s="14" t="s">
        <v>59</v>
      </c>
      <c r="B27" s="14" t="s">
        <v>306</v>
      </c>
      <c r="C27" s="14" t="s">
        <v>307</v>
      </c>
      <c r="D27" s="14" t="s">
        <v>74</v>
      </c>
      <c r="E27" s="14">
        <v>1</v>
      </c>
      <c r="F27" s="14">
        <v>0</v>
      </c>
      <c r="G27" s="14">
        <v>0</v>
      </c>
      <c r="H27" s="14">
        <v>0</v>
      </c>
      <c r="I27" s="14">
        <v>0</v>
      </c>
      <c r="J27" s="17">
        <v>0</v>
      </c>
      <c r="K27" s="14">
        <v>0</v>
      </c>
      <c r="L27" s="17">
        <v>0</v>
      </c>
      <c r="M27" s="14" t="s">
        <v>86</v>
      </c>
    </row>
    <row r="28" spans="1:13" x14ac:dyDescent="0.25">
      <c r="A28" s="14" t="s">
        <v>45</v>
      </c>
      <c r="B28" s="14" t="s">
        <v>308</v>
      </c>
      <c r="C28" s="14" t="s">
        <v>309</v>
      </c>
      <c r="D28" s="14" t="s">
        <v>71</v>
      </c>
      <c r="E28" s="14">
        <v>1</v>
      </c>
      <c r="F28" s="14">
        <v>0</v>
      </c>
      <c r="G28" s="14">
        <v>1</v>
      </c>
      <c r="H28" s="14">
        <v>0</v>
      </c>
      <c r="I28" s="14">
        <v>0</v>
      </c>
      <c r="J28" s="17">
        <v>15</v>
      </c>
      <c r="K28" s="14">
        <v>1</v>
      </c>
      <c r="L28" s="17">
        <v>0</v>
      </c>
      <c r="M28" s="14" t="s">
        <v>86</v>
      </c>
    </row>
    <row r="29" spans="1:13" x14ac:dyDescent="0.25">
      <c r="A29" s="14"/>
      <c r="B29" s="14"/>
      <c r="C29" s="14"/>
      <c r="D29" s="14"/>
      <c r="E29" s="14"/>
      <c r="F29" s="14"/>
      <c r="G29" s="14"/>
      <c r="H29" s="14"/>
      <c r="I29" s="14"/>
      <c r="J29" s="17"/>
      <c r="K29" s="14"/>
      <c r="L29" s="17"/>
      <c r="M29" s="14"/>
    </row>
    <row r="30" spans="1:13" x14ac:dyDescent="0.25">
      <c r="A30" s="14"/>
      <c r="B30" s="14"/>
      <c r="C30" s="14"/>
      <c r="D30" s="14"/>
      <c r="E30" s="14"/>
      <c r="F30" s="14"/>
      <c r="G30" s="14"/>
      <c r="H30" s="14"/>
      <c r="I30" s="14"/>
      <c r="J30" s="17"/>
      <c r="K30" s="14"/>
      <c r="L30" s="17"/>
      <c r="M30" s="14"/>
    </row>
    <row r="31" spans="1:13" x14ac:dyDescent="0.25">
      <c r="A31" s="14"/>
      <c r="B31" s="14"/>
      <c r="C31" s="14"/>
      <c r="D31" s="14"/>
      <c r="E31" s="14"/>
      <c r="F31" s="14"/>
      <c r="G31" s="14"/>
      <c r="H31" s="14"/>
      <c r="I31" s="14"/>
      <c r="J31" s="17"/>
      <c r="K31" s="14"/>
      <c r="L31" s="17"/>
      <c r="M31" s="14"/>
    </row>
    <row r="32" spans="1:13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7"/>
      <c r="K32" s="14"/>
      <c r="L32" s="17"/>
      <c r="M32" s="14"/>
    </row>
    <row r="33" spans="1:13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7"/>
      <c r="K33" s="14"/>
      <c r="L33" s="17"/>
      <c r="M33" s="14"/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7"/>
      <c r="K34" s="14"/>
      <c r="L34" s="17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7"/>
      <c r="K35" s="14"/>
      <c r="L35" s="17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7"/>
      <c r="K36" s="14"/>
      <c r="L36" s="17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7"/>
      <c r="K37" s="14"/>
      <c r="L37" s="17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7"/>
      <c r="K38" s="14"/>
      <c r="L38" s="17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7"/>
      <c r="K39" s="14"/>
      <c r="L39" s="17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7"/>
      <c r="K40" s="14"/>
      <c r="L40" s="17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7"/>
      <c r="K41" s="14"/>
      <c r="L41" s="17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7"/>
      <c r="K42" s="14"/>
      <c r="L42" s="17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7"/>
      <c r="K43" s="14"/>
      <c r="L43" s="17"/>
      <c r="M43" s="14"/>
    </row>
  </sheetData>
  <mergeCells count="2">
    <mergeCell ref="A2:M2"/>
    <mergeCell ref="A1:M1"/>
  </mergeCells>
  <dataValidations count="1">
    <dataValidation type="list" allowBlank="1" sqref="M4:M43" xr:uid="{00000000-0002-0000-08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800-000000000000}">
          <x14:formula1>
            <xm:f>Setup!$A$5:$A$16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0800-000001000000}">
          <x14:formula1>
            <xm:f>Setup!$C$5:$C$30</xm:f>
          </x14:formula1>
          <xm:sqref>D4:D43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4" t="s">
        <v>310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</row>
    <row r="2" spans="1:24" ht="21.95" customHeight="1" x14ac:dyDescent="0.25">
      <c r="A2" s="43" t="s">
        <v>19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</row>
    <row r="3" spans="1:24" x14ac:dyDescent="0.25">
      <c r="A3" s="12" t="s">
        <v>79</v>
      </c>
      <c r="B3" s="12" t="s">
        <v>80</v>
      </c>
      <c r="C3" s="12" t="s">
        <v>81</v>
      </c>
      <c r="D3" s="12" t="s">
        <v>82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83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41</v>
      </c>
      <c r="B4" s="14" t="s">
        <v>311</v>
      </c>
      <c r="C4" s="14" t="s">
        <v>312</v>
      </c>
      <c r="D4" s="14" t="s">
        <v>68</v>
      </c>
      <c r="E4" s="14">
        <v>1</v>
      </c>
      <c r="F4" s="14">
        <v>0</v>
      </c>
      <c r="G4" s="14">
        <v>0</v>
      </c>
      <c r="H4" s="14">
        <v>0</v>
      </c>
      <c r="I4" s="14">
        <v>0</v>
      </c>
      <c r="J4" s="17">
        <v>0</v>
      </c>
      <c r="K4" s="14">
        <v>1</v>
      </c>
      <c r="L4" s="17">
        <v>0</v>
      </c>
      <c r="M4" s="14" t="s">
        <v>86</v>
      </c>
      <c r="P4" s="14" t="str">
        <f>Setup!$A$5</f>
        <v>Expert 01</v>
      </c>
      <c r="Q4" s="14">
        <f t="shared" ref="Q4:Q15" si="0">SUMIF($A$4:$A$43,$P4,E$4:E$43)</f>
        <v>1</v>
      </c>
      <c r="R4" s="14">
        <f t="shared" ref="R4:R15" si="1">SUMIF($A$4:$A$43,$P4,F$4:F$43)</f>
        <v>0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7">
        <f t="shared" ref="V4:V15" si="5">SUMIF($A$4:$A$43,$P4,J$4:J$43)</f>
        <v>15</v>
      </c>
      <c r="W4" s="14">
        <f t="shared" ref="W4:W15" si="6">SUMIF($A$4:$A$43,$P4,K$4:K$43)</f>
        <v>1</v>
      </c>
      <c r="X4" s="17">
        <f t="shared" ref="X4:X15" si="7">SUMIF($A$4:$A$43,$P4,L$4:L$43)</f>
        <v>172.82</v>
      </c>
    </row>
    <row r="5" spans="1:24" x14ac:dyDescent="0.25">
      <c r="A5" s="14" t="s">
        <v>49</v>
      </c>
      <c r="B5" s="14" t="s">
        <v>313</v>
      </c>
      <c r="C5" s="14" t="s">
        <v>314</v>
      </c>
      <c r="D5" s="14" t="s">
        <v>75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7">
        <v>33</v>
      </c>
      <c r="K5" s="14">
        <v>0</v>
      </c>
      <c r="L5" s="17">
        <v>16.309999999999999</v>
      </c>
      <c r="M5" s="14" t="s">
        <v>86</v>
      </c>
      <c r="P5" s="14" t="str">
        <f>Setup!$A$6</f>
        <v>Expert 02</v>
      </c>
      <c r="Q5" s="14">
        <f t="shared" si="0"/>
        <v>4</v>
      </c>
      <c r="R5" s="14">
        <f t="shared" si="1"/>
        <v>0</v>
      </c>
      <c r="S5" s="14">
        <f t="shared" si="2"/>
        <v>0</v>
      </c>
      <c r="T5" s="14">
        <f t="shared" si="3"/>
        <v>0</v>
      </c>
      <c r="U5" s="14">
        <f t="shared" si="4"/>
        <v>0</v>
      </c>
      <c r="V5" s="17">
        <f t="shared" si="5"/>
        <v>15</v>
      </c>
      <c r="W5" s="14">
        <f t="shared" si="6"/>
        <v>4</v>
      </c>
      <c r="X5" s="17">
        <f t="shared" si="7"/>
        <v>129.30000000000001</v>
      </c>
    </row>
    <row r="6" spans="1:24" x14ac:dyDescent="0.25">
      <c r="A6" s="14" t="s">
        <v>55</v>
      </c>
      <c r="B6" s="14" t="s">
        <v>315</v>
      </c>
      <c r="C6" s="14" t="s">
        <v>316</v>
      </c>
      <c r="D6" s="14" t="s">
        <v>68</v>
      </c>
      <c r="E6" s="14">
        <v>1</v>
      </c>
      <c r="F6" s="14">
        <v>0</v>
      </c>
      <c r="G6" s="14">
        <v>0</v>
      </c>
      <c r="H6" s="14">
        <v>0</v>
      </c>
      <c r="I6" s="14">
        <v>0</v>
      </c>
      <c r="J6" s="17">
        <v>33</v>
      </c>
      <c r="K6" s="14">
        <v>1</v>
      </c>
      <c r="L6" s="17">
        <v>0</v>
      </c>
      <c r="M6" s="14" t="s">
        <v>86</v>
      </c>
      <c r="P6" s="14" t="str">
        <f>Setup!$A$7</f>
        <v>Expert 03</v>
      </c>
      <c r="Q6" s="14">
        <f t="shared" si="0"/>
        <v>0</v>
      </c>
      <c r="R6" s="14">
        <f t="shared" si="1"/>
        <v>1</v>
      </c>
      <c r="S6" s="14">
        <f t="shared" si="2"/>
        <v>1</v>
      </c>
      <c r="T6" s="14">
        <f t="shared" si="3"/>
        <v>0</v>
      </c>
      <c r="U6" s="14">
        <f t="shared" si="4"/>
        <v>0</v>
      </c>
      <c r="V6" s="17">
        <f t="shared" si="5"/>
        <v>0</v>
      </c>
      <c r="W6" s="14">
        <f t="shared" si="6"/>
        <v>2</v>
      </c>
      <c r="X6" s="17">
        <f t="shared" si="7"/>
        <v>144.96</v>
      </c>
    </row>
    <row r="7" spans="1:24" x14ac:dyDescent="0.25">
      <c r="A7" s="14" t="s">
        <v>47</v>
      </c>
      <c r="B7" s="14" t="s">
        <v>317</v>
      </c>
      <c r="C7" s="14" t="s">
        <v>318</v>
      </c>
      <c r="D7" s="14" t="s">
        <v>67</v>
      </c>
      <c r="E7" s="14">
        <v>1</v>
      </c>
      <c r="F7" s="14">
        <v>0</v>
      </c>
      <c r="G7" s="14">
        <v>0</v>
      </c>
      <c r="H7" s="14">
        <v>0</v>
      </c>
      <c r="I7" s="14">
        <v>0</v>
      </c>
      <c r="J7" s="17">
        <v>18</v>
      </c>
      <c r="K7" s="14">
        <v>1</v>
      </c>
      <c r="L7" s="17">
        <v>55.19</v>
      </c>
      <c r="M7" s="14" t="s">
        <v>86</v>
      </c>
      <c r="P7" s="14" t="str">
        <f>Setup!$A$8</f>
        <v>Expert 04</v>
      </c>
      <c r="Q7" s="14">
        <f t="shared" si="0"/>
        <v>0</v>
      </c>
      <c r="R7" s="14">
        <f t="shared" si="1"/>
        <v>0</v>
      </c>
      <c r="S7" s="14">
        <f t="shared" si="2"/>
        <v>0</v>
      </c>
      <c r="T7" s="14">
        <f t="shared" si="3"/>
        <v>0</v>
      </c>
      <c r="U7" s="14">
        <f t="shared" si="4"/>
        <v>0</v>
      </c>
      <c r="V7" s="17">
        <f t="shared" si="5"/>
        <v>0</v>
      </c>
      <c r="W7" s="14">
        <f t="shared" si="6"/>
        <v>1</v>
      </c>
      <c r="X7" s="17">
        <f t="shared" si="7"/>
        <v>0</v>
      </c>
    </row>
    <row r="8" spans="1:24" x14ac:dyDescent="0.25">
      <c r="A8" s="14" t="s">
        <v>47</v>
      </c>
      <c r="B8" s="14" t="s">
        <v>319</v>
      </c>
      <c r="C8" s="14" t="s">
        <v>320</v>
      </c>
      <c r="D8" s="14" t="s">
        <v>40</v>
      </c>
      <c r="E8" s="14">
        <v>1</v>
      </c>
      <c r="F8" s="14">
        <v>0</v>
      </c>
      <c r="G8" s="14">
        <v>0</v>
      </c>
      <c r="H8" s="14">
        <v>0</v>
      </c>
      <c r="I8" s="14">
        <v>0</v>
      </c>
      <c r="J8" s="17">
        <v>0</v>
      </c>
      <c r="K8" s="14">
        <v>1</v>
      </c>
      <c r="L8" s="17">
        <v>151.08000000000001</v>
      </c>
      <c r="M8" s="14" t="s">
        <v>86</v>
      </c>
      <c r="P8" s="14" t="str">
        <f>Setup!$A$9</f>
        <v>Expert 05</v>
      </c>
      <c r="Q8" s="14">
        <f t="shared" si="0"/>
        <v>4</v>
      </c>
      <c r="R8" s="14">
        <f t="shared" si="1"/>
        <v>0</v>
      </c>
      <c r="S8" s="14">
        <f t="shared" si="2"/>
        <v>0</v>
      </c>
      <c r="T8" s="14">
        <f t="shared" si="3"/>
        <v>0</v>
      </c>
      <c r="U8" s="14">
        <f t="shared" si="4"/>
        <v>0</v>
      </c>
      <c r="V8" s="17">
        <f t="shared" si="5"/>
        <v>18</v>
      </c>
      <c r="W8" s="14">
        <f t="shared" si="6"/>
        <v>4</v>
      </c>
      <c r="X8" s="17">
        <f t="shared" si="7"/>
        <v>206.27</v>
      </c>
    </row>
    <row r="9" spans="1:24" x14ac:dyDescent="0.25">
      <c r="A9" s="14" t="s">
        <v>43</v>
      </c>
      <c r="B9" s="14" t="s">
        <v>321</v>
      </c>
      <c r="C9" s="14" t="s">
        <v>322</v>
      </c>
      <c r="D9" s="14" t="s">
        <v>67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7">
        <v>0</v>
      </c>
      <c r="K9" s="14">
        <v>1</v>
      </c>
      <c r="L9" s="17">
        <v>133.86000000000001</v>
      </c>
      <c r="M9" s="14" t="s">
        <v>86</v>
      </c>
      <c r="P9" s="14" t="str">
        <f>Setup!$A$10</f>
        <v>Expert 06</v>
      </c>
      <c r="Q9" s="14">
        <f t="shared" si="0"/>
        <v>2</v>
      </c>
      <c r="R9" s="14">
        <f t="shared" si="1"/>
        <v>0</v>
      </c>
      <c r="S9" s="14">
        <f t="shared" si="2"/>
        <v>0</v>
      </c>
      <c r="T9" s="14">
        <f t="shared" si="3"/>
        <v>0</v>
      </c>
      <c r="U9" s="14">
        <f t="shared" si="4"/>
        <v>1</v>
      </c>
      <c r="V9" s="17">
        <f t="shared" si="5"/>
        <v>33</v>
      </c>
      <c r="W9" s="14">
        <f t="shared" si="6"/>
        <v>3</v>
      </c>
      <c r="X9" s="17">
        <f t="shared" si="7"/>
        <v>244.61</v>
      </c>
    </row>
    <row r="10" spans="1:24" x14ac:dyDescent="0.25">
      <c r="A10" s="14" t="s">
        <v>53</v>
      </c>
      <c r="B10" s="14" t="s">
        <v>323</v>
      </c>
      <c r="C10" s="14" t="s">
        <v>324</v>
      </c>
      <c r="D10" s="14" t="s">
        <v>68</v>
      </c>
      <c r="E10" s="14">
        <v>1</v>
      </c>
      <c r="F10" s="14">
        <v>0</v>
      </c>
      <c r="G10" s="14">
        <v>0</v>
      </c>
      <c r="H10" s="14">
        <v>0</v>
      </c>
      <c r="I10" s="14">
        <v>0</v>
      </c>
      <c r="J10" s="17">
        <v>0</v>
      </c>
      <c r="K10" s="14">
        <v>1</v>
      </c>
      <c r="L10" s="17">
        <v>0</v>
      </c>
      <c r="M10" s="14" t="s">
        <v>86</v>
      </c>
      <c r="P10" s="14" t="str">
        <f>Setup!$A$11</f>
        <v>Expert 07</v>
      </c>
      <c r="Q10" s="14">
        <f t="shared" si="0"/>
        <v>0</v>
      </c>
      <c r="R10" s="14">
        <f t="shared" si="1"/>
        <v>0</v>
      </c>
      <c r="S10" s="14">
        <f t="shared" si="2"/>
        <v>0</v>
      </c>
      <c r="T10" s="14">
        <f t="shared" si="3"/>
        <v>0</v>
      </c>
      <c r="U10" s="14">
        <f t="shared" si="4"/>
        <v>1</v>
      </c>
      <c r="V10" s="17">
        <f t="shared" si="5"/>
        <v>16</v>
      </c>
      <c r="W10" s="14">
        <f t="shared" si="6"/>
        <v>0</v>
      </c>
      <c r="X10" s="17">
        <f t="shared" si="7"/>
        <v>0</v>
      </c>
    </row>
    <row r="11" spans="1:24" x14ac:dyDescent="0.25">
      <c r="A11" s="14" t="s">
        <v>49</v>
      </c>
      <c r="B11" s="14" t="s">
        <v>325</v>
      </c>
      <c r="C11" s="14" t="s">
        <v>326</v>
      </c>
      <c r="D11" s="14" t="s">
        <v>52</v>
      </c>
      <c r="E11" s="14">
        <v>1</v>
      </c>
      <c r="F11" s="14">
        <v>0</v>
      </c>
      <c r="G11" s="14">
        <v>0</v>
      </c>
      <c r="H11" s="14">
        <v>0</v>
      </c>
      <c r="I11" s="14">
        <v>0</v>
      </c>
      <c r="J11" s="17">
        <v>0</v>
      </c>
      <c r="K11" s="14">
        <v>1</v>
      </c>
      <c r="L11" s="17">
        <v>90.28</v>
      </c>
      <c r="M11" s="14" t="s">
        <v>212</v>
      </c>
      <c r="P11" s="14" t="str">
        <f>Setup!$A$12</f>
        <v>Expert 08</v>
      </c>
      <c r="Q11" s="14">
        <f t="shared" si="0"/>
        <v>2</v>
      </c>
      <c r="R11" s="14">
        <f t="shared" si="1"/>
        <v>0</v>
      </c>
      <c r="S11" s="14">
        <f t="shared" si="2"/>
        <v>0</v>
      </c>
      <c r="T11" s="14">
        <f t="shared" si="3"/>
        <v>0</v>
      </c>
      <c r="U11" s="14">
        <f t="shared" si="4"/>
        <v>0</v>
      </c>
      <c r="V11" s="17">
        <f t="shared" si="5"/>
        <v>33</v>
      </c>
      <c r="W11" s="14">
        <f t="shared" si="6"/>
        <v>2</v>
      </c>
      <c r="X11" s="17">
        <f t="shared" si="7"/>
        <v>0</v>
      </c>
    </row>
    <row r="12" spans="1:24" x14ac:dyDescent="0.25">
      <c r="A12" s="14" t="s">
        <v>41</v>
      </c>
      <c r="B12" s="14" t="s">
        <v>327</v>
      </c>
      <c r="C12" s="14" t="s">
        <v>328</v>
      </c>
      <c r="D12" s="14" t="s">
        <v>54</v>
      </c>
      <c r="E12" s="14">
        <v>1</v>
      </c>
      <c r="F12" s="14">
        <v>0</v>
      </c>
      <c r="G12" s="14">
        <v>0</v>
      </c>
      <c r="H12" s="14">
        <v>0</v>
      </c>
      <c r="I12" s="14">
        <v>0</v>
      </c>
      <c r="J12" s="17">
        <v>15</v>
      </c>
      <c r="K12" s="14">
        <v>1</v>
      </c>
      <c r="L12" s="17">
        <v>0</v>
      </c>
      <c r="M12" s="14" t="s">
        <v>212</v>
      </c>
      <c r="P12" s="14" t="str">
        <f>Setup!$A$13</f>
        <v>Expert 09</v>
      </c>
      <c r="Q12" s="14">
        <f t="shared" si="0"/>
        <v>1</v>
      </c>
      <c r="R12" s="14">
        <f t="shared" si="1"/>
        <v>0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7">
        <f t="shared" si="5"/>
        <v>33</v>
      </c>
      <c r="W12" s="14">
        <f t="shared" si="6"/>
        <v>1</v>
      </c>
      <c r="X12" s="17">
        <f t="shared" si="7"/>
        <v>0</v>
      </c>
    </row>
    <row r="13" spans="1:24" x14ac:dyDescent="0.25">
      <c r="A13" s="14" t="s">
        <v>45</v>
      </c>
      <c r="B13" s="14" t="s">
        <v>329</v>
      </c>
      <c r="C13" s="14" t="s">
        <v>330</v>
      </c>
      <c r="D13" s="14" t="s">
        <v>52</v>
      </c>
      <c r="E13" s="14">
        <v>0</v>
      </c>
      <c r="F13" s="14">
        <v>0</v>
      </c>
      <c r="G13" s="14">
        <v>0</v>
      </c>
      <c r="H13" s="14">
        <v>0</v>
      </c>
      <c r="I13" s="14">
        <v>0</v>
      </c>
      <c r="J13" s="17">
        <v>0</v>
      </c>
      <c r="K13" s="14">
        <v>1</v>
      </c>
      <c r="L13" s="17">
        <v>0</v>
      </c>
      <c r="M13" s="14" t="s">
        <v>212</v>
      </c>
      <c r="P13" s="14" t="str">
        <f>Setup!$A$14</f>
        <v>Expert 10</v>
      </c>
      <c r="Q13" s="14">
        <f t="shared" si="0"/>
        <v>0</v>
      </c>
      <c r="R13" s="14">
        <f t="shared" si="1"/>
        <v>1</v>
      </c>
      <c r="S13" s="14">
        <f t="shared" si="2"/>
        <v>0</v>
      </c>
      <c r="T13" s="14">
        <f t="shared" si="3"/>
        <v>0</v>
      </c>
      <c r="U13" s="14">
        <f t="shared" si="4"/>
        <v>0</v>
      </c>
      <c r="V13" s="17">
        <f t="shared" si="5"/>
        <v>15</v>
      </c>
      <c r="W13" s="14">
        <f t="shared" si="6"/>
        <v>1</v>
      </c>
      <c r="X13" s="17">
        <f t="shared" si="7"/>
        <v>127.05</v>
      </c>
    </row>
    <row r="14" spans="1:24" x14ac:dyDescent="0.25">
      <c r="A14" s="14" t="s">
        <v>47</v>
      </c>
      <c r="B14" s="14" t="s">
        <v>331</v>
      </c>
      <c r="C14" s="14" t="s">
        <v>332</v>
      </c>
      <c r="D14" s="14" t="s">
        <v>60</v>
      </c>
      <c r="E14" s="14">
        <v>1</v>
      </c>
      <c r="F14" s="14">
        <v>0</v>
      </c>
      <c r="G14" s="14">
        <v>0</v>
      </c>
      <c r="H14" s="14">
        <v>0</v>
      </c>
      <c r="I14" s="14">
        <v>0</v>
      </c>
      <c r="J14" s="17">
        <v>0</v>
      </c>
      <c r="K14" s="14">
        <v>1</v>
      </c>
      <c r="L14" s="17">
        <v>0</v>
      </c>
      <c r="M14" s="14" t="s">
        <v>86</v>
      </c>
      <c r="P14" s="14" t="str">
        <f>Setup!$A$15</f>
        <v>Expert 11</v>
      </c>
      <c r="Q14" s="14">
        <f t="shared" si="0"/>
        <v>1</v>
      </c>
      <c r="R14" s="14">
        <f t="shared" si="1"/>
        <v>0</v>
      </c>
      <c r="S14" s="14">
        <f t="shared" si="2"/>
        <v>0</v>
      </c>
      <c r="T14" s="14">
        <f t="shared" si="3"/>
        <v>0</v>
      </c>
      <c r="U14" s="14">
        <f t="shared" si="4"/>
        <v>0</v>
      </c>
      <c r="V14" s="17">
        <f t="shared" si="5"/>
        <v>0</v>
      </c>
      <c r="W14" s="14">
        <f t="shared" si="6"/>
        <v>1</v>
      </c>
      <c r="X14" s="17">
        <f t="shared" si="7"/>
        <v>103.89</v>
      </c>
    </row>
    <row r="15" spans="1:24" x14ac:dyDescent="0.25">
      <c r="A15" s="14" t="s">
        <v>61</v>
      </c>
      <c r="B15" s="14" t="s">
        <v>333</v>
      </c>
      <c r="C15" s="14" t="s">
        <v>334</v>
      </c>
      <c r="D15" s="14" t="s">
        <v>72</v>
      </c>
      <c r="E15" s="14">
        <v>0</v>
      </c>
      <c r="F15" s="14">
        <v>0</v>
      </c>
      <c r="G15" s="14">
        <v>0</v>
      </c>
      <c r="H15" s="14">
        <v>0</v>
      </c>
      <c r="I15" s="14">
        <v>1</v>
      </c>
      <c r="J15" s="17">
        <v>0</v>
      </c>
      <c r="K15" s="14">
        <v>0</v>
      </c>
      <c r="L15" s="17">
        <v>0</v>
      </c>
      <c r="M15" s="14" t="s">
        <v>86</v>
      </c>
      <c r="P15" s="14" t="str">
        <f>Setup!$A$16</f>
        <v>Expert 12</v>
      </c>
      <c r="Q15" s="14">
        <f t="shared" si="0"/>
        <v>1</v>
      </c>
      <c r="R15" s="14">
        <f t="shared" si="1"/>
        <v>0</v>
      </c>
      <c r="S15" s="14">
        <f t="shared" si="2"/>
        <v>0</v>
      </c>
      <c r="T15" s="14">
        <f t="shared" si="3"/>
        <v>0</v>
      </c>
      <c r="U15" s="14">
        <f t="shared" si="4"/>
        <v>1</v>
      </c>
      <c r="V15" s="17">
        <f t="shared" si="5"/>
        <v>0</v>
      </c>
      <c r="W15" s="14">
        <f t="shared" si="6"/>
        <v>0</v>
      </c>
      <c r="X15" s="17">
        <f t="shared" si="7"/>
        <v>52.93</v>
      </c>
    </row>
    <row r="16" spans="1:24" x14ac:dyDescent="0.25">
      <c r="A16" s="14" t="s">
        <v>59</v>
      </c>
      <c r="B16" s="14" t="s">
        <v>335</v>
      </c>
      <c r="C16" s="14" t="s">
        <v>336</v>
      </c>
      <c r="D16" s="14" t="s">
        <v>52</v>
      </c>
      <c r="E16" s="14">
        <v>1</v>
      </c>
      <c r="F16" s="14">
        <v>0</v>
      </c>
      <c r="G16" s="14">
        <v>0</v>
      </c>
      <c r="H16" s="14">
        <v>0</v>
      </c>
      <c r="I16" s="14">
        <v>0</v>
      </c>
      <c r="J16" s="17">
        <v>0</v>
      </c>
      <c r="K16" s="14">
        <v>1</v>
      </c>
      <c r="L16" s="17">
        <v>103.89</v>
      </c>
      <c r="M16" s="14" t="s">
        <v>86</v>
      </c>
      <c r="P16" s="18" t="s">
        <v>111</v>
      </c>
      <c r="Q16" s="19">
        <f t="shared" ref="Q16:X16" si="8">SUM(Q4:Q15)</f>
        <v>16</v>
      </c>
      <c r="R16" s="19">
        <f t="shared" si="8"/>
        <v>2</v>
      </c>
      <c r="S16" s="19">
        <f t="shared" si="8"/>
        <v>1</v>
      </c>
      <c r="T16" s="19">
        <f t="shared" si="8"/>
        <v>0</v>
      </c>
      <c r="U16" s="19">
        <f t="shared" si="8"/>
        <v>3</v>
      </c>
      <c r="V16" s="20">
        <f t="shared" si="8"/>
        <v>178</v>
      </c>
      <c r="W16" s="19">
        <f t="shared" si="8"/>
        <v>20</v>
      </c>
      <c r="X16" s="20">
        <f t="shared" si="8"/>
        <v>1181.8300000000002</v>
      </c>
    </row>
    <row r="17" spans="1:13" x14ac:dyDescent="0.25">
      <c r="A17" s="14" t="s">
        <v>53</v>
      </c>
      <c r="B17" s="14" t="s">
        <v>337</v>
      </c>
      <c r="C17" s="14" t="s">
        <v>338</v>
      </c>
      <c r="D17" s="14" t="s">
        <v>54</v>
      </c>
      <c r="E17" s="14">
        <v>1</v>
      </c>
      <c r="F17" s="14">
        <v>0</v>
      </c>
      <c r="G17" s="14">
        <v>0</v>
      </c>
      <c r="H17" s="14">
        <v>0</v>
      </c>
      <c r="I17" s="14">
        <v>0</v>
      </c>
      <c r="J17" s="17">
        <v>33</v>
      </c>
      <c r="K17" s="14">
        <v>1</v>
      </c>
      <c r="L17" s="17">
        <v>0</v>
      </c>
      <c r="M17" s="14" t="s">
        <v>86</v>
      </c>
    </row>
    <row r="18" spans="1:13" x14ac:dyDescent="0.25">
      <c r="A18" s="14" t="s">
        <v>41</v>
      </c>
      <c r="B18" s="14" t="s">
        <v>339</v>
      </c>
      <c r="C18" s="14" t="s">
        <v>340</v>
      </c>
      <c r="D18" s="14" t="s">
        <v>60</v>
      </c>
      <c r="E18" s="14">
        <v>1</v>
      </c>
      <c r="F18" s="14">
        <v>0</v>
      </c>
      <c r="G18" s="14">
        <v>0</v>
      </c>
      <c r="H18" s="14">
        <v>0</v>
      </c>
      <c r="I18" s="14">
        <v>0</v>
      </c>
      <c r="J18" s="17">
        <v>0</v>
      </c>
      <c r="K18" s="14">
        <v>1</v>
      </c>
      <c r="L18" s="17">
        <v>129.30000000000001</v>
      </c>
      <c r="M18" s="14" t="s">
        <v>86</v>
      </c>
    </row>
    <row r="19" spans="1:13" x14ac:dyDescent="0.25">
      <c r="A19" s="14" t="s">
        <v>39</v>
      </c>
      <c r="B19" s="14" t="s">
        <v>341</v>
      </c>
      <c r="C19" s="14" t="s">
        <v>342</v>
      </c>
      <c r="D19" s="14" t="s">
        <v>56</v>
      </c>
      <c r="E19" s="14">
        <v>1</v>
      </c>
      <c r="F19" s="14">
        <v>0</v>
      </c>
      <c r="G19" s="14">
        <v>0</v>
      </c>
      <c r="H19" s="14">
        <v>0</v>
      </c>
      <c r="I19" s="14">
        <v>0</v>
      </c>
      <c r="J19" s="17">
        <v>15</v>
      </c>
      <c r="K19" s="14">
        <v>1</v>
      </c>
      <c r="L19" s="17">
        <v>3.66</v>
      </c>
      <c r="M19" s="14" t="s">
        <v>86</v>
      </c>
    </row>
    <row r="20" spans="1:13" x14ac:dyDescent="0.25">
      <c r="A20" s="14" t="s">
        <v>61</v>
      </c>
      <c r="B20" s="14" t="s">
        <v>343</v>
      </c>
      <c r="C20" s="14" t="s">
        <v>344</v>
      </c>
      <c r="D20" s="14" t="s">
        <v>74</v>
      </c>
      <c r="E20" s="14">
        <v>1</v>
      </c>
      <c r="F20" s="14">
        <v>0</v>
      </c>
      <c r="G20" s="14">
        <v>0</v>
      </c>
      <c r="H20" s="14">
        <v>0</v>
      </c>
      <c r="I20" s="14">
        <v>0</v>
      </c>
      <c r="J20" s="17">
        <v>0</v>
      </c>
      <c r="K20" s="14">
        <v>0</v>
      </c>
      <c r="L20" s="17">
        <v>52.93</v>
      </c>
      <c r="M20" s="14" t="s">
        <v>86</v>
      </c>
    </row>
    <row r="21" spans="1:13" x14ac:dyDescent="0.25">
      <c r="A21" s="14" t="s">
        <v>49</v>
      </c>
      <c r="B21" s="14" t="s">
        <v>345</v>
      </c>
      <c r="C21" s="14" t="s">
        <v>346</v>
      </c>
      <c r="D21" s="14" t="s">
        <v>66</v>
      </c>
      <c r="E21" s="14">
        <v>0</v>
      </c>
      <c r="F21" s="14">
        <v>0</v>
      </c>
      <c r="G21" s="14">
        <v>0</v>
      </c>
      <c r="H21" s="14">
        <v>0</v>
      </c>
      <c r="I21" s="14">
        <v>0</v>
      </c>
      <c r="J21" s="17">
        <v>0</v>
      </c>
      <c r="K21" s="14">
        <v>1</v>
      </c>
      <c r="L21" s="17">
        <v>0</v>
      </c>
      <c r="M21" s="14" t="s">
        <v>86</v>
      </c>
    </row>
    <row r="22" spans="1:13" x14ac:dyDescent="0.25">
      <c r="A22" s="14" t="s">
        <v>57</v>
      </c>
      <c r="B22" s="14" t="s">
        <v>347</v>
      </c>
      <c r="C22" s="14" t="s">
        <v>348</v>
      </c>
      <c r="D22" s="14" t="s">
        <v>60</v>
      </c>
      <c r="E22" s="14">
        <v>0</v>
      </c>
      <c r="F22" s="14">
        <v>1</v>
      </c>
      <c r="G22" s="14">
        <v>0</v>
      </c>
      <c r="H22" s="14">
        <v>0</v>
      </c>
      <c r="I22" s="14">
        <v>0</v>
      </c>
      <c r="J22" s="17">
        <v>15</v>
      </c>
      <c r="K22" s="14">
        <v>1</v>
      </c>
      <c r="L22" s="17">
        <v>127.05</v>
      </c>
      <c r="M22" s="14" t="s">
        <v>86</v>
      </c>
    </row>
    <row r="23" spans="1:13" x14ac:dyDescent="0.25">
      <c r="A23" s="14" t="s">
        <v>39</v>
      </c>
      <c r="B23" s="14" t="s">
        <v>349</v>
      </c>
      <c r="C23" s="14" t="s">
        <v>350</v>
      </c>
      <c r="D23" s="14" t="s">
        <v>76</v>
      </c>
      <c r="E23" s="14">
        <v>0</v>
      </c>
      <c r="F23" s="14">
        <v>0</v>
      </c>
      <c r="G23" s="14">
        <v>0</v>
      </c>
      <c r="H23" s="14">
        <v>0</v>
      </c>
      <c r="I23" s="14">
        <v>0</v>
      </c>
      <c r="J23" s="17">
        <v>0</v>
      </c>
      <c r="K23" s="14">
        <v>0</v>
      </c>
      <c r="L23" s="17">
        <v>169.16</v>
      </c>
      <c r="M23" s="14" t="s">
        <v>86</v>
      </c>
    </row>
    <row r="24" spans="1:13" x14ac:dyDescent="0.25">
      <c r="A24" s="14" t="s">
        <v>49</v>
      </c>
      <c r="B24" s="14" t="s">
        <v>351</v>
      </c>
      <c r="C24" s="14" t="s">
        <v>352</v>
      </c>
      <c r="D24" s="14" t="s">
        <v>68</v>
      </c>
      <c r="E24" s="14">
        <v>1</v>
      </c>
      <c r="F24" s="14">
        <v>0</v>
      </c>
      <c r="G24" s="14">
        <v>0</v>
      </c>
      <c r="H24" s="14">
        <v>0</v>
      </c>
      <c r="I24" s="14">
        <v>0</v>
      </c>
      <c r="J24" s="17">
        <v>0</v>
      </c>
      <c r="K24" s="14">
        <v>1</v>
      </c>
      <c r="L24" s="17">
        <v>0</v>
      </c>
      <c r="M24" s="14" t="s">
        <v>86</v>
      </c>
    </row>
    <row r="25" spans="1:13" x14ac:dyDescent="0.25">
      <c r="A25" s="14" t="s">
        <v>43</v>
      </c>
      <c r="B25" s="14" t="s">
        <v>353</v>
      </c>
      <c r="C25" s="14" t="s">
        <v>354</v>
      </c>
      <c r="D25" s="14" t="s">
        <v>52</v>
      </c>
      <c r="E25" s="14">
        <v>0</v>
      </c>
      <c r="F25" s="14">
        <v>1</v>
      </c>
      <c r="G25" s="14">
        <v>1</v>
      </c>
      <c r="H25" s="14">
        <v>0</v>
      </c>
      <c r="I25" s="14">
        <v>0</v>
      </c>
      <c r="J25" s="17">
        <v>0</v>
      </c>
      <c r="K25" s="14">
        <v>1</v>
      </c>
      <c r="L25" s="17">
        <v>11.1</v>
      </c>
      <c r="M25" s="14" t="s">
        <v>212</v>
      </c>
    </row>
    <row r="26" spans="1:13" x14ac:dyDescent="0.25">
      <c r="A26" s="14" t="s">
        <v>47</v>
      </c>
      <c r="B26" s="14" t="s">
        <v>355</v>
      </c>
      <c r="C26" s="14" t="s">
        <v>356</v>
      </c>
      <c r="D26" s="14" t="s">
        <v>69</v>
      </c>
      <c r="E26" s="14">
        <v>1</v>
      </c>
      <c r="F26" s="14">
        <v>0</v>
      </c>
      <c r="G26" s="14">
        <v>0</v>
      </c>
      <c r="H26" s="14">
        <v>0</v>
      </c>
      <c r="I26" s="14">
        <v>0</v>
      </c>
      <c r="J26" s="17">
        <v>0</v>
      </c>
      <c r="K26" s="14">
        <v>1</v>
      </c>
      <c r="L26" s="17">
        <v>0</v>
      </c>
      <c r="M26" s="14" t="s">
        <v>86</v>
      </c>
    </row>
    <row r="27" spans="1:13" x14ac:dyDescent="0.25">
      <c r="A27" s="14" t="s">
        <v>41</v>
      </c>
      <c r="B27" s="14" t="s">
        <v>357</v>
      </c>
      <c r="C27" s="14" t="s">
        <v>358</v>
      </c>
      <c r="D27" s="14" t="s">
        <v>50</v>
      </c>
      <c r="E27" s="14">
        <v>1</v>
      </c>
      <c r="F27" s="14">
        <v>0</v>
      </c>
      <c r="G27" s="14">
        <v>0</v>
      </c>
      <c r="H27" s="14">
        <v>0</v>
      </c>
      <c r="I27" s="14">
        <v>0</v>
      </c>
      <c r="J27" s="17">
        <v>0</v>
      </c>
      <c r="K27" s="14">
        <v>1</v>
      </c>
      <c r="L27" s="17">
        <v>0</v>
      </c>
      <c r="M27" s="14" t="s">
        <v>86</v>
      </c>
    </row>
    <row r="28" spans="1:13" x14ac:dyDescent="0.25">
      <c r="A28" s="14" t="s">
        <v>49</v>
      </c>
      <c r="B28" s="14" t="s">
        <v>359</v>
      </c>
      <c r="C28" s="14" t="s">
        <v>360</v>
      </c>
      <c r="D28" s="14" t="s">
        <v>73</v>
      </c>
      <c r="E28" s="14">
        <v>0</v>
      </c>
      <c r="F28" s="14">
        <v>0</v>
      </c>
      <c r="G28" s="14">
        <v>0</v>
      </c>
      <c r="H28" s="14">
        <v>0</v>
      </c>
      <c r="I28" s="14">
        <v>1</v>
      </c>
      <c r="J28" s="17">
        <v>0</v>
      </c>
      <c r="K28" s="14">
        <v>0</v>
      </c>
      <c r="L28" s="17">
        <v>138.02000000000001</v>
      </c>
      <c r="M28" s="14" t="s">
        <v>86</v>
      </c>
    </row>
    <row r="29" spans="1:13" x14ac:dyDescent="0.25">
      <c r="A29" s="14" t="s">
        <v>51</v>
      </c>
      <c r="B29" s="14" t="s">
        <v>361</v>
      </c>
      <c r="C29" s="14" t="s">
        <v>362</v>
      </c>
      <c r="D29" s="14" t="s">
        <v>73</v>
      </c>
      <c r="E29" s="14">
        <v>0</v>
      </c>
      <c r="F29" s="14">
        <v>0</v>
      </c>
      <c r="G29" s="14">
        <v>0</v>
      </c>
      <c r="H29" s="14">
        <v>0</v>
      </c>
      <c r="I29" s="14">
        <v>1</v>
      </c>
      <c r="J29" s="17">
        <v>16</v>
      </c>
      <c r="K29" s="14">
        <v>0</v>
      </c>
      <c r="L29" s="17">
        <v>0</v>
      </c>
      <c r="M29" s="14" t="s">
        <v>86</v>
      </c>
    </row>
    <row r="30" spans="1:13" x14ac:dyDescent="0.25">
      <c r="A30" s="14"/>
      <c r="B30" s="14"/>
      <c r="C30" s="14"/>
      <c r="D30" s="14"/>
      <c r="E30" s="14"/>
      <c r="F30" s="14"/>
      <c r="G30" s="14"/>
      <c r="H30" s="14"/>
      <c r="I30" s="14"/>
      <c r="J30" s="17"/>
      <c r="K30" s="14"/>
      <c r="L30" s="17"/>
      <c r="M30" s="14"/>
    </row>
    <row r="31" spans="1:13" x14ac:dyDescent="0.25">
      <c r="A31" s="14"/>
      <c r="B31" s="14"/>
      <c r="C31" s="14"/>
      <c r="D31" s="14"/>
      <c r="E31" s="14"/>
      <c r="F31" s="14"/>
      <c r="G31" s="14"/>
      <c r="H31" s="14"/>
      <c r="I31" s="14"/>
      <c r="J31" s="17"/>
      <c r="K31" s="14"/>
      <c r="L31" s="17"/>
      <c r="M31" s="14"/>
    </row>
    <row r="32" spans="1:13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7"/>
      <c r="K32" s="14"/>
      <c r="L32" s="17"/>
      <c r="M32" s="14"/>
    </row>
    <row r="33" spans="1:13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7"/>
      <c r="K33" s="14"/>
      <c r="L33" s="17"/>
      <c r="M33" s="14"/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7"/>
      <c r="K34" s="14"/>
      <c r="L34" s="17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7"/>
      <c r="K35" s="14"/>
      <c r="L35" s="17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7"/>
      <c r="K36" s="14"/>
      <c r="L36" s="17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7"/>
      <c r="K37" s="14"/>
      <c r="L37" s="17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7"/>
      <c r="K38" s="14"/>
      <c r="L38" s="17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7"/>
      <c r="K39" s="14"/>
      <c r="L39" s="17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7"/>
      <c r="K40" s="14"/>
      <c r="L40" s="17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7"/>
      <c r="K41" s="14"/>
      <c r="L41" s="17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7"/>
      <c r="K42" s="14"/>
      <c r="L42" s="17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7"/>
      <c r="K43" s="14"/>
      <c r="L43" s="17"/>
      <c r="M43" s="14"/>
    </row>
  </sheetData>
  <mergeCells count="2">
    <mergeCell ref="A2:M2"/>
    <mergeCell ref="A1:M1"/>
  </mergeCells>
  <dataValidations count="1">
    <dataValidation type="list" allowBlank="1" sqref="M4:M43" xr:uid="{00000000-0002-0000-09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900-000000000000}">
          <x14:formula1>
            <xm:f>Setup!$A$5:$A$16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0900-000001000000}">
          <x14:formula1>
            <xm:f>Setup!$C$5:$C$30</xm:f>
          </x14:formula1>
          <xm:sqref>D4:D43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4" t="s">
        <v>363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</row>
    <row r="2" spans="1:24" ht="21.95" customHeight="1" x14ac:dyDescent="0.25">
      <c r="A2" s="43" t="s">
        <v>19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</row>
    <row r="3" spans="1:24" x14ac:dyDescent="0.25">
      <c r="A3" s="12" t="s">
        <v>79</v>
      </c>
      <c r="B3" s="12" t="s">
        <v>80</v>
      </c>
      <c r="C3" s="12" t="s">
        <v>81</v>
      </c>
      <c r="D3" s="12" t="s">
        <v>82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83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57</v>
      </c>
      <c r="B4" s="14" t="s">
        <v>364</v>
      </c>
      <c r="C4" s="14" t="s">
        <v>365</v>
      </c>
      <c r="D4" s="14" t="s">
        <v>66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7">
        <v>0</v>
      </c>
      <c r="K4" s="14">
        <v>1</v>
      </c>
      <c r="L4" s="17">
        <v>0</v>
      </c>
      <c r="M4" s="14" t="s">
        <v>86</v>
      </c>
      <c r="P4" s="14" t="str">
        <f>Setup!$A$5</f>
        <v>Expert 01</v>
      </c>
      <c r="Q4" s="14">
        <f t="shared" ref="Q4:Q15" si="0">SUMIF($A$4:$A$43,$P4,E$4:E$43)</f>
        <v>0</v>
      </c>
      <c r="R4" s="14">
        <f t="shared" ref="R4:R15" si="1">SUMIF($A$4:$A$43,$P4,F$4:F$43)</f>
        <v>0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7">
        <f t="shared" ref="V4:V15" si="5">SUMIF($A$4:$A$43,$P4,J$4:J$43)</f>
        <v>0</v>
      </c>
      <c r="W4" s="14">
        <f t="shared" ref="W4:W15" si="6">SUMIF($A$4:$A$43,$P4,K$4:K$43)</f>
        <v>0</v>
      </c>
      <c r="X4" s="17">
        <f t="shared" ref="X4:X15" si="7">SUMIF($A$4:$A$43,$P4,L$4:L$43)</f>
        <v>0</v>
      </c>
    </row>
    <row r="5" spans="1:24" x14ac:dyDescent="0.25">
      <c r="A5" s="14" t="s">
        <v>45</v>
      </c>
      <c r="B5" s="14" t="s">
        <v>366</v>
      </c>
      <c r="C5" s="14" t="s">
        <v>367</v>
      </c>
      <c r="D5" s="14" t="s">
        <v>46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7">
        <v>0</v>
      </c>
      <c r="K5" s="14">
        <v>1</v>
      </c>
      <c r="L5" s="17">
        <v>129.18</v>
      </c>
      <c r="M5" s="14" t="s">
        <v>212</v>
      </c>
      <c r="P5" s="14" t="str">
        <f>Setup!$A$6</f>
        <v>Expert 02</v>
      </c>
      <c r="Q5" s="14">
        <f t="shared" si="0"/>
        <v>3</v>
      </c>
      <c r="R5" s="14">
        <f t="shared" si="1"/>
        <v>1</v>
      </c>
      <c r="S5" s="14">
        <f t="shared" si="2"/>
        <v>0</v>
      </c>
      <c r="T5" s="14">
        <f t="shared" si="3"/>
        <v>0</v>
      </c>
      <c r="U5" s="14">
        <f t="shared" si="4"/>
        <v>0</v>
      </c>
      <c r="V5" s="17">
        <f t="shared" si="5"/>
        <v>64</v>
      </c>
      <c r="W5" s="14">
        <f t="shared" si="6"/>
        <v>5</v>
      </c>
      <c r="X5" s="17">
        <f t="shared" si="7"/>
        <v>251.31</v>
      </c>
    </row>
    <row r="6" spans="1:24" x14ac:dyDescent="0.25">
      <c r="A6" s="14" t="s">
        <v>53</v>
      </c>
      <c r="B6" s="14" t="s">
        <v>368</v>
      </c>
      <c r="C6" s="14" t="s">
        <v>369</v>
      </c>
      <c r="D6" s="14" t="s">
        <v>70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7">
        <v>18</v>
      </c>
      <c r="K6" s="14">
        <v>1</v>
      </c>
      <c r="L6" s="17">
        <v>81.97</v>
      </c>
      <c r="M6" s="14" t="s">
        <v>86</v>
      </c>
      <c r="P6" s="14" t="str">
        <f>Setup!$A$7</f>
        <v>Expert 03</v>
      </c>
      <c r="Q6" s="14">
        <f t="shared" si="0"/>
        <v>0</v>
      </c>
      <c r="R6" s="14">
        <f t="shared" si="1"/>
        <v>0</v>
      </c>
      <c r="S6" s="14">
        <f t="shared" si="2"/>
        <v>0</v>
      </c>
      <c r="T6" s="14">
        <f t="shared" si="3"/>
        <v>0</v>
      </c>
      <c r="U6" s="14">
        <f t="shared" si="4"/>
        <v>0</v>
      </c>
      <c r="V6" s="17">
        <f t="shared" si="5"/>
        <v>0</v>
      </c>
      <c r="W6" s="14">
        <f t="shared" si="6"/>
        <v>0</v>
      </c>
      <c r="X6" s="17">
        <f t="shared" si="7"/>
        <v>0</v>
      </c>
    </row>
    <row r="7" spans="1:24" x14ac:dyDescent="0.25">
      <c r="A7" s="14" t="s">
        <v>59</v>
      </c>
      <c r="B7" s="14" t="s">
        <v>370</v>
      </c>
      <c r="C7" s="14" t="s">
        <v>371</v>
      </c>
      <c r="D7" s="14" t="s">
        <v>66</v>
      </c>
      <c r="E7" s="14">
        <v>1</v>
      </c>
      <c r="F7" s="14">
        <v>0</v>
      </c>
      <c r="G7" s="14">
        <v>0</v>
      </c>
      <c r="H7" s="14">
        <v>0</v>
      </c>
      <c r="I7" s="14">
        <v>0</v>
      </c>
      <c r="J7" s="17">
        <v>0</v>
      </c>
      <c r="K7" s="14">
        <v>1</v>
      </c>
      <c r="L7" s="17">
        <v>0</v>
      </c>
      <c r="M7" s="14" t="s">
        <v>86</v>
      </c>
      <c r="P7" s="14" t="str">
        <f>Setup!$A$8</f>
        <v>Expert 04</v>
      </c>
      <c r="Q7" s="14">
        <f t="shared" si="0"/>
        <v>0</v>
      </c>
      <c r="R7" s="14">
        <f t="shared" si="1"/>
        <v>0</v>
      </c>
      <c r="S7" s="14">
        <f t="shared" si="2"/>
        <v>0</v>
      </c>
      <c r="T7" s="14">
        <f t="shared" si="3"/>
        <v>0</v>
      </c>
      <c r="U7" s="14">
        <f t="shared" si="4"/>
        <v>0</v>
      </c>
      <c r="V7" s="17">
        <f t="shared" si="5"/>
        <v>0</v>
      </c>
      <c r="W7" s="14">
        <f t="shared" si="6"/>
        <v>1</v>
      </c>
      <c r="X7" s="17">
        <f t="shared" si="7"/>
        <v>129.18</v>
      </c>
    </row>
    <row r="8" spans="1:24" x14ac:dyDescent="0.25">
      <c r="A8" s="14" t="s">
        <v>57</v>
      </c>
      <c r="B8" s="14" t="s">
        <v>372</v>
      </c>
      <c r="C8" s="14" t="s">
        <v>373</v>
      </c>
      <c r="D8" s="14" t="s">
        <v>76</v>
      </c>
      <c r="E8" s="14">
        <v>0</v>
      </c>
      <c r="F8" s="14">
        <v>1</v>
      </c>
      <c r="G8" s="14">
        <v>0</v>
      </c>
      <c r="H8" s="14">
        <v>0</v>
      </c>
      <c r="I8" s="14">
        <v>0</v>
      </c>
      <c r="J8" s="17">
        <v>15</v>
      </c>
      <c r="K8" s="14">
        <v>0</v>
      </c>
      <c r="L8" s="17">
        <v>23.28</v>
      </c>
      <c r="M8" s="14" t="s">
        <v>86</v>
      </c>
      <c r="P8" s="14" t="str">
        <f>Setup!$A$9</f>
        <v>Expert 05</v>
      </c>
      <c r="Q8" s="14">
        <f t="shared" si="0"/>
        <v>1</v>
      </c>
      <c r="R8" s="14">
        <f t="shared" si="1"/>
        <v>0</v>
      </c>
      <c r="S8" s="14">
        <f t="shared" si="2"/>
        <v>0</v>
      </c>
      <c r="T8" s="14">
        <f t="shared" si="3"/>
        <v>0</v>
      </c>
      <c r="U8" s="14">
        <f t="shared" si="4"/>
        <v>0</v>
      </c>
      <c r="V8" s="17">
        <f t="shared" si="5"/>
        <v>0</v>
      </c>
      <c r="W8" s="14">
        <f t="shared" si="6"/>
        <v>1</v>
      </c>
      <c r="X8" s="17">
        <f t="shared" si="7"/>
        <v>150.01</v>
      </c>
    </row>
    <row r="9" spans="1:24" x14ac:dyDescent="0.25">
      <c r="A9" s="14" t="s">
        <v>41</v>
      </c>
      <c r="B9" s="14" t="s">
        <v>374</v>
      </c>
      <c r="C9" s="14" t="s">
        <v>375</v>
      </c>
      <c r="D9" s="14" t="s">
        <v>70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7">
        <v>24</v>
      </c>
      <c r="K9" s="14">
        <v>1</v>
      </c>
      <c r="L9" s="17">
        <v>89.96</v>
      </c>
      <c r="M9" s="14" t="s">
        <v>86</v>
      </c>
      <c r="P9" s="14" t="str">
        <f>Setup!$A$10</f>
        <v>Expert 06</v>
      </c>
      <c r="Q9" s="14">
        <f t="shared" si="0"/>
        <v>0</v>
      </c>
      <c r="R9" s="14">
        <f t="shared" si="1"/>
        <v>0</v>
      </c>
      <c r="S9" s="14">
        <f t="shared" si="2"/>
        <v>0</v>
      </c>
      <c r="T9" s="14">
        <f t="shared" si="3"/>
        <v>0</v>
      </c>
      <c r="U9" s="14">
        <f t="shared" si="4"/>
        <v>0</v>
      </c>
      <c r="V9" s="17">
        <f t="shared" si="5"/>
        <v>0</v>
      </c>
      <c r="W9" s="14">
        <f t="shared" si="6"/>
        <v>0</v>
      </c>
      <c r="X9" s="17">
        <f t="shared" si="7"/>
        <v>0</v>
      </c>
    </row>
    <row r="10" spans="1:24" x14ac:dyDescent="0.25">
      <c r="A10" s="14" t="s">
        <v>59</v>
      </c>
      <c r="B10" s="14" t="s">
        <v>376</v>
      </c>
      <c r="C10" s="14" t="s">
        <v>377</v>
      </c>
      <c r="D10" s="14" t="s">
        <v>71</v>
      </c>
      <c r="E10" s="14">
        <v>1</v>
      </c>
      <c r="F10" s="14">
        <v>0</v>
      </c>
      <c r="G10" s="14">
        <v>0</v>
      </c>
      <c r="H10" s="14">
        <v>0</v>
      </c>
      <c r="I10" s="14">
        <v>0</v>
      </c>
      <c r="J10" s="17">
        <v>0</v>
      </c>
      <c r="K10" s="14">
        <v>1</v>
      </c>
      <c r="L10" s="17">
        <v>129.56</v>
      </c>
      <c r="M10" s="14" t="s">
        <v>86</v>
      </c>
      <c r="P10" s="14" t="str">
        <f>Setup!$A$11</f>
        <v>Expert 07</v>
      </c>
      <c r="Q10" s="14">
        <f t="shared" si="0"/>
        <v>1</v>
      </c>
      <c r="R10" s="14">
        <f t="shared" si="1"/>
        <v>0</v>
      </c>
      <c r="S10" s="14">
        <f t="shared" si="2"/>
        <v>0</v>
      </c>
      <c r="T10" s="14">
        <f t="shared" si="3"/>
        <v>0</v>
      </c>
      <c r="U10" s="14">
        <f t="shared" si="4"/>
        <v>0</v>
      </c>
      <c r="V10" s="17">
        <f t="shared" si="5"/>
        <v>16</v>
      </c>
      <c r="W10" s="14">
        <f t="shared" si="6"/>
        <v>1</v>
      </c>
      <c r="X10" s="17">
        <f t="shared" si="7"/>
        <v>0</v>
      </c>
    </row>
    <row r="11" spans="1:24" x14ac:dyDescent="0.25">
      <c r="A11" s="14" t="s">
        <v>61</v>
      </c>
      <c r="B11" s="14" t="s">
        <v>378</v>
      </c>
      <c r="C11" s="14" t="s">
        <v>379</v>
      </c>
      <c r="D11" s="14" t="s">
        <v>48</v>
      </c>
      <c r="E11" s="14">
        <v>1</v>
      </c>
      <c r="F11" s="14">
        <v>0</v>
      </c>
      <c r="G11" s="14">
        <v>0</v>
      </c>
      <c r="H11" s="14">
        <v>0</v>
      </c>
      <c r="I11" s="14">
        <v>0</v>
      </c>
      <c r="J11" s="17">
        <v>0</v>
      </c>
      <c r="K11" s="14">
        <v>1</v>
      </c>
      <c r="L11" s="17">
        <v>10.71</v>
      </c>
      <c r="M11" s="14" t="s">
        <v>86</v>
      </c>
      <c r="P11" s="14" t="str">
        <f>Setup!$A$12</f>
        <v>Expert 08</v>
      </c>
      <c r="Q11" s="14">
        <f t="shared" si="0"/>
        <v>0</v>
      </c>
      <c r="R11" s="14">
        <f t="shared" si="1"/>
        <v>0</v>
      </c>
      <c r="S11" s="14">
        <f t="shared" si="2"/>
        <v>0</v>
      </c>
      <c r="T11" s="14">
        <f t="shared" si="3"/>
        <v>0</v>
      </c>
      <c r="U11" s="14">
        <f t="shared" si="4"/>
        <v>0</v>
      </c>
      <c r="V11" s="17">
        <f t="shared" si="5"/>
        <v>18</v>
      </c>
      <c r="W11" s="14">
        <f t="shared" si="6"/>
        <v>1</v>
      </c>
      <c r="X11" s="17">
        <f t="shared" si="7"/>
        <v>81.97</v>
      </c>
    </row>
    <row r="12" spans="1:24" x14ac:dyDescent="0.25">
      <c r="A12" s="14" t="s">
        <v>41</v>
      </c>
      <c r="B12" s="14" t="s">
        <v>380</v>
      </c>
      <c r="C12" s="14" t="s">
        <v>381</v>
      </c>
      <c r="D12" s="14" t="s">
        <v>40</v>
      </c>
      <c r="E12" s="14">
        <v>1</v>
      </c>
      <c r="F12" s="14">
        <v>0</v>
      </c>
      <c r="G12" s="14">
        <v>0</v>
      </c>
      <c r="H12" s="14">
        <v>0</v>
      </c>
      <c r="I12" s="14">
        <v>0</v>
      </c>
      <c r="J12" s="17">
        <v>0</v>
      </c>
      <c r="K12" s="14">
        <v>1</v>
      </c>
      <c r="L12" s="17">
        <v>42.63</v>
      </c>
      <c r="M12" s="14" t="s">
        <v>212</v>
      </c>
      <c r="P12" s="14" t="str">
        <f>Setup!$A$13</f>
        <v>Expert 09</v>
      </c>
      <c r="Q12" s="14">
        <f t="shared" si="0"/>
        <v>3</v>
      </c>
      <c r="R12" s="14">
        <f t="shared" si="1"/>
        <v>0</v>
      </c>
      <c r="S12" s="14">
        <f t="shared" si="2"/>
        <v>0</v>
      </c>
      <c r="T12" s="14">
        <f t="shared" si="3"/>
        <v>1</v>
      </c>
      <c r="U12" s="14">
        <f t="shared" si="4"/>
        <v>0</v>
      </c>
      <c r="V12" s="17">
        <f t="shared" si="5"/>
        <v>15</v>
      </c>
      <c r="W12" s="14">
        <f t="shared" si="6"/>
        <v>4</v>
      </c>
      <c r="X12" s="17">
        <f t="shared" si="7"/>
        <v>331.74</v>
      </c>
    </row>
    <row r="13" spans="1:24" x14ac:dyDescent="0.25">
      <c r="A13" s="14" t="s">
        <v>41</v>
      </c>
      <c r="B13" s="14" t="s">
        <v>382</v>
      </c>
      <c r="C13" s="14" t="s">
        <v>383</v>
      </c>
      <c r="D13" s="14" t="s">
        <v>60</v>
      </c>
      <c r="E13" s="14">
        <v>1</v>
      </c>
      <c r="F13" s="14">
        <v>0</v>
      </c>
      <c r="G13" s="14">
        <v>0</v>
      </c>
      <c r="H13" s="14">
        <v>0</v>
      </c>
      <c r="I13" s="14">
        <v>0</v>
      </c>
      <c r="J13" s="17">
        <v>24</v>
      </c>
      <c r="K13" s="14">
        <v>1</v>
      </c>
      <c r="L13" s="17">
        <v>50.65</v>
      </c>
      <c r="M13" s="14" t="s">
        <v>86</v>
      </c>
      <c r="P13" s="14" t="str">
        <f>Setup!$A$14</f>
        <v>Expert 10</v>
      </c>
      <c r="Q13" s="14">
        <f t="shared" si="0"/>
        <v>1</v>
      </c>
      <c r="R13" s="14">
        <f t="shared" si="1"/>
        <v>1</v>
      </c>
      <c r="S13" s="14">
        <f t="shared" si="2"/>
        <v>0</v>
      </c>
      <c r="T13" s="14">
        <f t="shared" si="3"/>
        <v>0</v>
      </c>
      <c r="U13" s="14">
        <f t="shared" si="4"/>
        <v>1</v>
      </c>
      <c r="V13" s="17">
        <f t="shared" si="5"/>
        <v>15</v>
      </c>
      <c r="W13" s="14">
        <f t="shared" si="6"/>
        <v>2</v>
      </c>
      <c r="X13" s="17">
        <f t="shared" si="7"/>
        <v>23.28</v>
      </c>
    </row>
    <row r="14" spans="1:24" x14ac:dyDescent="0.25">
      <c r="A14" s="14" t="s">
        <v>55</v>
      </c>
      <c r="B14" s="14" t="s">
        <v>384</v>
      </c>
      <c r="C14" s="14" t="s">
        <v>385</v>
      </c>
      <c r="D14" s="14" t="s">
        <v>46</v>
      </c>
      <c r="E14" s="14">
        <v>1</v>
      </c>
      <c r="F14" s="14">
        <v>0</v>
      </c>
      <c r="G14" s="14">
        <v>0</v>
      </c>
      <c r="H14" s="14">
        <v>0</v>
      </c>
      <c r="I14" s="14">
        <v>0</v>
      </c>
      <c r="J14" s="17">
        <v>0</v>
      </c>
      <c r="K14" s="14">
        <v>1</v>
      </c>
      <c r="L14" s="17">
        <v>143.83000000000001</v>
      </c>
      <c r="M14" s="14" t="s">
        <v>86</v>
      </c>
      <c r="P14" s="14" t="str">
        <f>Setup!$A$15</f>
        <v>Expert 11</v>
      </c>
      <c r="Q14" s="14">
        <f t="shared" si="0"/>
        <v>2</v>
      </c>
      <c r="R14" s="14">
        <f t="shared" si="1"/>
        <v>0</v>
      </c>
      <c r="S14" s="14">
        <f t="shared" si="2"/>
        <v>0</v>
      </c>
      <c r="T14" s="14">
        <f t="shared" si="3"/>
        <v>0</v>
      </c>
      <c r="U14" s="14">
        <f t="shared" si="4"/>
        <v>0</v>
      </c>
      <c r="V14" s="17">
        <f t="shared" si="5"/>
        <v>0</v>
      </c>
      <c r="W14" s="14">
        <f t="shared" si="6"/>
        <v>2</v>
      </c>
      <c r="X14" s="17">
        <f t="shared" si="7"/>
        <v>129.56</v>
      </c>
    </row>
    <row r="15" spans="1:24" x14ac:dyDescent="0.25">
      <c r="A15" s="14" t="s">
        <v>61</v>
      </c>
      <c r="B15" s="14" t="s">
        <v>386</v>
      </c>
      <c r="C15" s="14" t="s">
        <v>387</v>
      </c>
      <c r="D15" s="14" t="s">
        <v>76</v>
      </c>
      <c r="E15" s="14">
        <v>0</v>
      </c>
      <c r="F15" s="14">
        <v>0</v>
      </c>
      <c r="G15" s="14">
        <v>0</v>
      </c>
      <c r="H15" s="14">
        <v>0</v>
      </c>
      <c r="I15" s="14">
        <v>0</v>
      </c>
      <c r="J15" s="17">
        <v>0</v>
      </c>
      <c r="K15" s="14">
        <v>0</v>
      </c>
      <c r="L15" s="17">
        <v>36.54</v>
      </c>
      <c r="M15" s="14" t="s">
        <v>86</v>
      </c>
      <c r="P15" s="14" t="str">
        <f>Setup!$A$16</f>
        <v>Expert 12</v>
      </c>
      <c r="Q15" s="14">
        <f t="shared" si="0"/>
        <v>2</v>
      </c>
      <c r="R15" s="14">
        <f t="shared" si="1"/>
        <v>0</v>
      </c>
      <c r="S15" s="14">
        <f t="shared" si="2"/>
        <v>0</v>
      </c>
      <c r="T15" s="14">
        <f t="shared" si="3"/>
        <v>0</v>
      </c>
      <c r="U15" s="14">
        <f t="shared" si="4"/>
        <v>0</v>
      </c>
      <c r="V15" s="17">
        <f t="shared" si="5"/>
        <v>0</v>
      </c>
      <c r="W15" s="14">
        <f t="shared" si="6"/>
        <v>2</v>
      </c>
      <c r="X15" s="17">
        <f t="shared" si="7"/>
        <v>47.25</v>
      </c>
    </row>
    <row r="16" spans="1:24" x14ac:dyDescent="0.25">
      <c r="A16" s="14" t="s">
        <v>41</v>
      </c>
      <c r="B16" s="14" t="s">
        <v>388</v>
      </c>
      <c r="C16" s="14" t="s">
        <v>389</v>
      </c>
      <c r="D16" s="14" t="s">
        <v>62</v>
      </c>
      <c r="E16" s="14">
        <v>0</v>
      </c>
      <c r="F16" s="14">
        <v>1</v>
      </c>
      <c r="G16" s="14">
        <v>0</v>
      </c>
      <c r="H16" s="14">
        <v>0</v>
      </c>
      <c r="I16" s="14">
        <v>0</v>
      </c>
      <c r="J16" s="17">
        <v>16</v>
      </c>
      <c r="K16" s="14">
        <v>1</v>
      </c>
      <c r="L16" s="17">
        <v>0</v>
      </c>
      <c r="M16" s="14" t="s">
        <v>212</v>
      </c>
      <c r="P16" s="18" t="s">
        <v>111</v>
      </c>
      <c r="Q16" s="19">
        <f t="shared" ref="Q16:X16" si="8">SUM(Q4:Q15)</f>
        <v>13</v>
      </c>
      <c r="R16" s="19">
        <f t="shared" si="8"/>
        <v>2</v>
      </c>
      <c r="S16" s="19">
        <f t="shared" si="8"/>
        <v>0</v>
      </c>
      <c r="T16" s="19">
        <f t="shared" si="8"/>
        <v>1</v>
      </c>
      <c r="U16" s="19">
        <f t="shared" si="8"/>
        <v>1</v>
      </c>
      <c r="V16" s="20">
        <f t="shared" si="8"/>
        <v>128</v>
      </c>
      <c r="W16" s="19">
        <f t="shared" si="8"/>
        <v>19</v>
      </c>
      <c r="X16" s="20">
        <f t="shared" si="8"/>
        <v>1144.3</v>
      </c>
    </row>
    <row r="17" spans="1:13" x14ac:dyDescent="0.25">
      <c r="A17" s="14" t="s">
        <v>55</v>
      </c>
      <c r="B17" s="14" t="s">
        <v>390</v>
      </c>
      <c r="C17" s="14" t="s">
        <v>391</v>
      </c>
      <c r="D17" s="14" t="s">
        <v>62</v>
      </c>
      <c r="E17" s="14">
        <v>1</v>
      </c>
      <c r="F17" s="14">
        <v>0</v>
      </c>
      <c r="G17" s="14">
        <v>0</v>
      </c>
      <c r="H17" s="14">
        <v>0</v>
      </c>
      <c r="I17" s="14">
        <v>0</v>
      </c>
      <c r="J17" s="17">
        <v>0</v>
      </c>
      <c r="K17" s="14">
        <v>1</v>
      </c>
      <c r="L17" s="17">
        <v>107.85</v>
      </c>
      <c r="M17" s="14" t="s">
        <v>86</v>
      </c>
    </row>
    <row r="18" spans="1:13" x14ac:dyDescent="0.25">
      <c r="A18" s="14" t="s">
        <v>61</v>
      </c>
      <c r="B18" s="14" t="s">
        <v>392</v>
      </c>
      <c r="C18" s="14" t="s">
        <v>393</v>
      </c>
      <c r="D18" s="14" t="s">
        <v>52</v>
      </c>
      <c r="E18" s="14">
        <v>1</v>
      </c>
      <c r="F18" s="14">
        <v>0</v>
      </c>
      <c r="G18" s="14">
        <v>0</v>
      </c>
      <c r="H18" s="14">
        <v>0</v>
      </c>
      <c r="I18" s="14">
        <v>0</v>
      </c>
      <c r="J18" s="17">
        <v>0</v>
      </c>
      <c r="K18" s="14">
        <v>1</v>
      </c>
      <c r="L18" s="17">
        <v>0</v>
      </c>
      <c r="M18" s="14" t="s">
        <v>86</v>
      </c>
    </row>
    <row r="19" spans="1:13" x14ac:dyDescent="0.25">
      <c r="A19" s="14" t="s">
        <v>51</v>
      </c>
      <c r="B19" s="14" t="s">
        <v>394</v>
      </c>
      <c r="C19" s="14" t="s">
        <v>395</v>
      </c>
      <c r="D19" s="14" t="s">
        <v>64</v>
      </c>
      <c r="E19" s="14">
        <v>1</v>
      </c>
      <c r="F19" s="14">
        <v>0</v>
      </c>
      <c r="G19" s="14">
        <v>0</v>
      </c>
      <c r="H19" s="14">
        <v>0</v>
      </c>
      <c r="I19" s="14">
        <v>0</v>
      </c>
      <c r="J19" s="17">
        <v>16</v>
      </c>
      <c r="K19" s="14">
        <v>1</v>
      </c>
      <c r="L19" s="17">
        <v>0</v>
      </c>
      <c r="M19" s="14" t="s">
        <v>86</v>
      </c>
    </row>
    <row r="20" spans="1:13" x14ac:dyDescent="0.25">
      <c r="A20" s="14" t="s">
        <v>41</v>
      </c>
      <c r="B20" s="14" t="s">
        <v>396</v>
      </c>
      <c r="C20" s="14" t="s">
        <v>397</v>
      </c>
      <c r="D20" s="14" t="s">
        <v>63</v>
      </c>
      <c r="E20" s="14">
        <v>1</v>
      </c>
      <c r="F20" s="14">
        <v>0</v>
      </c>
      <c r="G20" s="14">
        <v>0</v>
      </c>
      <c r="H20" s="14">
        <v>0</v>
      </c>
      <c r="I20" s="14">
        <v>0</v>
      </c>
      <c r="J20" s="17">
        <v>0</v>
      </c>
      <c r="K20" s="14">
        <v>1</v>
      </c>
      <c r="L20" s="17">
        <v>68.069999999999993</v>
      </c>
      <c r="M20" s="14" t="s">
        <v>86</v>
      </c>
    </row>
    <row r="21" spans="1:13" x14ac:dyDescent="0.25">
      <c r="A21" s="14" t="s">
        <v>57</v>
      </c>
      <c r="B21" s="14" t="s">
        <v>398</v>
      </c>
      <c r="C21" s="14" t="s">
        <v>399</v>
      </c>
      <c r="D21" s="14" t="s">
        <v>40</v>
      </c>
      <c r="E21" s="14">
        <v>1</v>
      </c>
      <c r="F21" s="14">
        <v>0</v>
      </c>
      <c r="G21" s="14">
        <v>0</v>
      </c>
      <c r="H21" s="14">
        <v>0</v>
      </c>
      <c r="I21" s="14">
        <v>0</v>
      </c>
      <c r="J21" s="17">
        <v>0</v>
      </c>
      <c r="K21" s="14">
        <v>1</v>
      </c>
      <c r="L21" s="17">
        <v>0</v>
      </c>
      <c r="M21" s="14" t="s">
        <v>86</v>
      </c>
    </row>
    <row r="22" spans="1:13" x14ac:dyDescent="0.25">
      <c r="A22" s="14" t="s">
        <v>55</v>
      </c>
      <c r="B22" s="14" t="s">
        <v>400</v>
      </c>
      <c r="C22" s="14" t="s">
        <v>401</v>
      </c>
      <c r="D22" s="14" t="s">
        <v>67</v>
      </c>
      <c r="E22" s="14">
        <v>1</v>
      </c>
      <c r="F22" s="14">
        <v>0</v>
      </c>
      <c r="G22" s="14">
        <v>0</v>
      </c>
      <c r="H22" s="14">
        <v>0</v>
      </c>
      <c r="I22" s="14">
        <v>0</v>
      </c>
      <c r="J22" s="17">
        <v>0</v>
      </c>
      <c r="K22" s="14">
        <v>1</v>
      </c>
      <c r="L22" s="17">
        <v>80.06</v>
      </c>
      <c r="M22" s="14" t="s">
        <v>86</v>
      </c>
    </row>
    <row r="23" spans="1:13" x14ac:dyDescent="0.25">
      <c r="A23" s="14" t="s">
        <v>47</v>
      </c>
      <c r="B23" s="14" t="s">
        <v>402</v>
      </c>
      <c r="C23" s="14" t="s">
        <v>403</v>
      </c>
      <c r="D23" s="14" t="s">
        <v>65</v>
      </c>
      <c r="E23" s="14">
        <v>1</v>
      </c>
      <c r="F23" s="14">
        <v>0</v>
      </c>
      <c r="G23" s="14">
        <v>0</v>
      </c>
      <c r="H23" s="14">
        <v>0</v>
      </c>
      <c r="I23" s="14">
        <v>0</v>
      </c>
      <c r="J23" s="17">
        <v>0</v>
      </c>
      <c r="K23" s="14">
        <v>1</v>
      </c>
      <c r="L23" s="17">
        <v>150.01</v>
      </c>
      <c r="M23" s="14" t="s">
        <v>86</v>
      </c>
    </row>
    <row r="24" spans="1:13" x14ac:dyDescent="0.25">
      <c r="A24" s="14" t="s">
        <v>55</v>
      </c>
      <c r="B24" s="14" t="s">
        <v>404</v>
      </c>
      <c r="C24" s="14" t="s">
        <v>405</v>
      </c>
      <c r="D24" s="14" t="s">
        <v>58</v>
      </c>
      <c r="E24" s="14">
        <v>0</v>
      </c>
      <c r="F24" s="14">
        <v>0</v>
      </c>
      <c r="G24" s="14">
        <v>0</v>
      </c>
      <c r="H24" s="14">
        <v>1</v>
      </c>
      <c r="I24" s="14">
        <v>0</v>
      </c>
      <c r="J24" s="17">
        <v>15</v>
      </c>
      <c r="K24" s="14">
        <v>1</v>
      </c>
      <c r="L24" s="17">
        <v>0</v>
      </c>
      <c r="M24" s="14" t="s">
        <v>86</v>
      </c>
    </row>
    <row r="25" spans="1:13" x14ac:dyDescent="0.25">
      <c r="A25" s="14" t="s">
        <v>57</v>
      </c>
      <c r="B25" s="14" t="s">
        <v>406</v>
      </c>
      <c r="C25" s="14" t="s">
        <v>407</v>
      </c>
      <c r="D25" s="14" t="s">
        <v>72</v>
      </c>
      <c r="E25" s="14">
        <v>0</v>
      </c>
      <c r="F25" s="14">
        <v>0</v>
      </c>
      <c r="G25" s="14">
        <v>0</v>
      </c>
      <c r="H25" s="14">
        <v>0</v>
      </c>
      <c r="I25" s="14">
        <v>1</v>
      </c>
      <c r="J25" s="17">
        <v>0</v>
      </c>
      <c r="K25" s="14">
        <v>0</v>
      </c>
      <c r="L25" s="17">
        <v>0</v>
      </c>
      <c r="M25" s="14" t="s">
        <v>86</v>
      </c>
    </row>
    <row r="26" spans="1:13" x14ac:dyDescent="0.25">
      <c r="A26" s="14"/>
      <c r="B26" s="14"/>
      <c r="C26" s="14"/>
      <c r="D26" s="14"/>
      <c r="E26" s="14"/>
      <c r="F26" s="14"/>
      <c r="G26" s="14"/>
      <c r="H26" s="14"/>
      <c r="I26" s="14"/>
      <c r="J26" s="17"/>
      <c r="K26" s="14"/>
      <c r="L26" s="17"/>
      <c r="M26" s="14"/>
    </row>
    <row r="27" spans="1:13" x14ac:dyDescent="0.25">
      <c r="A27" s="14"/>
      <c r="B27" s="14"/>
      <c r="C27" s="14"/>
      <c r="D27" s="14"/>
      <c r="E27" s="14"/>
      <c r="F27" s="14"/>
      <c r="G27" s="14"/>
      <c r="H27" s="14"/>
      <c r="I27" s="14"/>
      <c r="J27" s="17"/>
      <c r="K27" s="14"/>
      <c r="L27" s="17"/>
      <c r="M27" s="14"/>
    </row>
    <row r="28" spans="1:13" x14ac:dyDescent="0.25">
      <c r="A28" s="14"/>
      <c r="B28" s="14"/>
      <c r="C28" s="14"/>
      <c r="D28" s="14"/>
      <c r="E28" s="14"/>
      <c r="F28" s="14"/>
      <c r="G28" s="14"/>
      <c r="H28" s="14"/>
      <c r="I28" s="14"/>
      <c r="J28" s="17"/>
      <c r="K28" s="14"/>
      <c r="L28" s="17"/>
      <c r="M28" s="14"/>
    </row>
    <row r="29" spans="1:13" x14ac:dyDescent="0.25">
      <c r="A29" s="14"/>
      <c r="B29" s="14"/>
      <c r="C29" s="14"/>
      <c r="D29" s="14"/>
      <c r="E29" s="14"/>
      <c r="F29" s="14"/>
      <c r="G29" s="14"/>
      <c r="H29" s="14"/>
      <c r="I29" s="14"/>
      <c r="J29" s="17"/>
      <c r="K29" s="14"/>
      <c r="L29" s="17"/>
      <c r="M29" s="14"/>
    </row>
    <row r="30" spans="1:13" x14ac:dyDescent="0.25">
      <c r="A30" s="14"/>
      <c r="B30" s="14"/>
      <c r="C30" s="14"/>
      <c r="D30" s="14"/>
      <c r="E30" s="14"/>
      <c r="F30" s="14"/>
      <c r="G30" s="14"/>
      <c r="H30" s="14"/>
      <c r="I30" s="14"/>
      <c r="J30" s="17"/>
      <c r="K30" s="14"/>
      <c r="L30" s="17"/>
      <c r="M30" s="14"/>
    </row>
    <row r="31" spans="1:13" x14ac:dyDescent="0.25">
      <c r="A31" s="14"/>
      <c r="B31" s="14"/>
      <c r="C31" s="14"/>
      <c r="D31" s="14"/>
      <c r="E31" s="14"/>
      <c r="F31" s="14"/>
      <c r="G31" s="14"/>
      <c r="H31" s="14"/>
      <c r="I31" s="14"/>
      <c r="J31" s="17"/>
      <c r="K31" s="14"/>
      <c r="L31" s="17"/>
      <c r="M31" s="14"/>
    </row>
    <row r="32" spans="1:13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7"/>
      <c r="K32" s="14"/>
      <c r="L32" s="17"/>
      <c r="M32" s="14"/>
    </row>
    <row r="33" spans="1:13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7"/>
      <c r="K33" s="14"/>
      <c r="L33" s="17"/>
      <c r="M33" s="14"/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7"/>
      <c r="K34" s="14"/>
      <c r="L34" s="17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7"/>
      <c r="K35" s="14"/>
      <c r="L35" s="17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7"/>
      <c r="K36" s="14"/>
      <c r="L36" s="17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7"/>
      <c r="K37" s="14"/>
      <c r="L37" s="17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7"/>
      <c r="K38" s="14"/>
      <c r="L38" s="17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7"/>
      <c r="K39" s="14"/>
      <c r="L39" s="17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7"/>
      <c r="K40" s="14"/>
      <c r="L40" s="17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7"/>
      <c r="K41" s="14"/>
      <c r="L41" s="17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7"/>
      <c r="K42" s="14"/>
      <c r="L42" s="17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7"/>
      <c r="K43" s="14"/>
      <c r="L43" s="17"/>
      <c r="M43" s="14"/>
    </row>
  </sheetData>
  <mergeCells count="2">
    <mergeCell ref="A2:M2"/>
    <mergeCell ref="A1:M1"/>
  </mergeCells>
  <dataValidations count="1">
    <dataValidation type="list" allowBlank="1" sqref="M4:M43" xr:uid="{00000000-0002-0000-0A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A00-000000000000}">
          <x14:formula1>
            <xm:f>Setup!$A$5:$A$16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0A00-000001000000}">
          <x14:formula1>
            <xm:f>Setup!$C$5:$C$30</xm:f>
          </x14:formula1>
          <xm:sqref>D4:D43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4" t="s">
        <v>408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</row>
    <row r="2" spans="1:24" ht="21.95" customHeight="1" x14ac:dyDescent="0.25">
      <c r="A2" s="43" t="s">
        <v>19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</row>
    <row r="3" spans="1:24" x14ac:dyDescent="0.25">
      <c r="A3" s="12" t="s">
        <v>79</v>
      </c>
      <c r="B3" s="12" t="s">
        <v>80</v>
      </c>
      <c r="C3" s="12" t="s">
        <v>81</v>
      </c>
      <c r="D3" s="12" t="s">
        <v>82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83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39</v>
      </c>
      <c r="B4" s="14" t="s">
        <v>409</v>
      </c>
      <c r="C4" s="14" t="s">
        <v>410</v>
      </c>
      <c r="D4" s="14" t="s">
        <v>50</v>
      </c>
      <c r="E4" s="14">
        <v>1</v>
      </c>
      <c r="F4" s="14">
        <v>0</v>
      </c>
      <c r="G4" s="14">
        <v>0</v>
      </c>
      <c r="H4" s="14">
        <v>0</v>
      </c>
      <c r="I4" s="14">
        <v>0</v>
      </c>
      <c r="J4" s="17">
        <v>33</v>
      </c>
      <c r="K4" s="14">
        <v>1</v>
      </c>
      <c r="L4" s="17">
        <v>48.62</v>
      </c>
      <c r="M4" s="14" t="s">
        <v>86</v>
      </c>
      <c r="P4" s="14" t="str">
        <f>Setup!$A$5</f>
        <v>Expert 01</v>
      </c>
      <c r="Q4" s="14">
        <f t="shared" ref="Q4:Q15" si="0">SUMIF($A$4:$A$43,$P4,E$4:E$43)</f>
        <v>1</v>
      </c>
      <c r="R4" s="14">
        <f t="shared" ref="R4:R15" si="1">SUMIF($A$4:$A$43,$P4,F$4:F$43)</f>
        <v>0</v>
      </c>
      <c r="S4" s="14">
        <f t="shared" ref="S4:S15" si="2">SUMIF($A$4:$A$43,$P4,G$4:G$43)</f>
        <v>0</v>
      </c>
      <c r="T4" s="14">
        <f t="shared" ref="T4:T15" si="3">SUMIF($A$4:$A$43,$P4,H$4:H$43)</f>
        <v>1</v>
      </c>
      <c r="U4" s="14">
        <f t="shared" ref="U4:U15" si="4">SUMIF($A$4:$A$43,$P4,I$4:I$43)</f>
        <v>1</v>
      </c>
      <c r="V4" s="17">
        <f t="shared" ref="V4:V15" si="5">SUMIF($A$4:$A$43,$P4,J$4:J$43)</f>
        <v>57</v>
      </c>
      <c r="W4" s="14">
        <f t="shared" ref="W4:W15" si="6">SUMIF($A$4:$A$43,$P4,K$4:K$43)</f>
        <v>2</v>
      </c>
      <c r="X4" s="17">
        <f t="shared" ref="X4:X15" si="7">SUMIF($A$4:$A$43,$P4,L$4:L$43)</f>
        <v>254.48</v>
      </c>
    </row>
    <row r="5" spans="1:24" x14ac:dyDescent="0.25">
      <c r="A5" s="14" t="s">
        <v>49</v>
      </c>
      <c r="B5" s="14" t="s">
        <v>411</v>
      </c>
      <c r="C5" s="14" t="s">
        <v>412</v>
      </c>
      <c r="D5" s="14" t="s">
        <v>60</v>
      </c>
      <c r="E5" s="14">
        <v>1</v>
      </c>
      <c r="F5" s="14">
        <v>0</v>
      </c>
      <c r="G5" s="14">
        <v>0</v>
      </c>
      <c r="H5" s="14">
        <v>0</v>
      </c>
      <c r="I5" s="14">
        <v>0</v>
      </c>
      <c r="J5" s="17">
        <v>0</v>
      </c>
      <c r="K5" s="14">
        <v>1</v>
      </c>
      <c r="L5" s="17">
        <v>0</v>
      </c>
      <c r="M5" s="14" t="s">
        <v>86</v>
      </c>
      <c r="P5" s="14" t="str">
        <f>Setup!$A$6</f>
        <v>Expert 02</v>
      </c>
      <c r="Q5" s="14">
        <f t="shared" si="0"/>
        <v>3</v>
      </c>
      <c r="R5" s="14">
        <f t="shared" si="1"/>
        <v>1</v>
      </c>
      <c r="S5" s="14">
        <f t="shared" si="2"/>
        <v>0</v>
      </c>
      <c r="T5" s="14">
        <f t="shared" si="3"/>
        <v>1</v>
      </c>
      <c r="U5" s="14">
        <f t="shared" si="4"/>
        <v>0</v>
      </c>
      <c r="V5" s="17">
        <f t="shared" si="5"/>
        <v>39</v>
      </c>
      <c r="W5" s="14">
        <f t="shared" si="6"/>
        <v>4</v>
      </c>
      <c r="X5" s="17">
        <f t="shared" si="7"/>
        <v>201.65</v>
      </c>
    </row>
    <row r="6" spans="1:24" x14ac:dyDescent="0.25">
      <c r="A6" s="14" t="s">
        <v>45</v>
      </c>
      <c r="B6" s="14" t="s">
        <v>413</v>
      </c>
      <c r="C6" s="14" t="s">
        <v>414</v>
      </c>
      <c r="D6" s="14" t="s">
        <v>58</v>
      </c>
      <c r="E6" s="14">
        <v>1</v>
      </c>
      <c r="F6" s="14">
        <v>0</v>
      </c>
      <c r="G6" s="14">
        <v>0</v>
      </c>
      <c r="H6" s="14">
        <v>0</v>
      </c>
      <c r="I6" s="14">
        <v>0</v>
      </c>
      <c r="J6" s="17">
        <v>0</v>
      </c>
      <c r="K6" s="14">
        <v>1</v>
      </c>
      <c r="L6" s="17">
        <v>0</v>
      </c>
      <c r="M6" s="14" t="s">
        <v>86</v>
      </c>
      <c r="P6" s="14" t="str">
        <f>Setup!$A$7</f>
        <v>Expert 03</v>
      </c>
      <c r="Q6" s="14">
        <f t="shared" si="0"/>
        <v>3</v>
      </c>
      <c r="R6" s="14">
        <f t="shared" si="1"/>
        <v>0</v>
      </c>
      <c r="S6" s="14">
        <f t="shared" si="2"/>
        <v>1</v>
      </c>
      <c r="T6" s="14">
        <f t="shared" si="3"/>
        <v>0</v>
      </c>
      <c r="U6" s="14">
        <f t="shared" si="4"/>
        <v>0</v>
      </c>
      <c r="V6" s="17">
        <f t="shared" si="5"/>
        <v>15</v>
      </c>
      <c r="W6" s="14">
        <f t="shared" si="6"/>
        <v>3</v>
      </c>
      <c r="X6" s="17">
        <f t="shared" si="7"/>
        <v>267.03999999999996</v>
      </c>
    </row>
    <row r="7" spans="1:24" x14ac:dyDescent="0.25">
      <c r="A7" s="14" t="s">
        <v>49</v>
      </c>
      <c r="B7" s="14" t="s">
        <v>415</v>
      </c>
      <c r="C7" s="14" t="s">
        <v>416</v>
      </c>
      <c r="D7" s="14" t="s">
        <v>65</v>
      </c>
      <c r="E7" s="14">
        <v>0</v>
      </c>
      <c r="F7" s="14">
        <v>0</v>
      </c>
      <c r="G7" s="14">
        <v>0</v>
      </c>
      <c r="H7" s="14">
        <v>0</v>
      </c>
      <c r="I7" s="14">
        <v>0</v>
      </c>
      <c r="J7" s="17">
        <v>0</v>
      </c>
      <c r="K7" s="14">
        <v>1</v>
      </c>
      <c r="L7" s="17">
        <v>145.9</v>
      </c>
      <c r="M7" s="14" t="s">
        <v>86</v>
      </c>
      <c r="P7" s="14" t="str">
        <f>Setup!$A$8</f>
        <v>Expert 04</v>
      </c>
      <c r="Q7" s="14">
        <f t="shared" si="0"/>
        <v>3</v>
      </c>
      <c r="R7" s="14">
        <f t="shared" si="1"/>
        <v>0</v>
      </c>
      <c r="S7" s="14">
        <f t="shared" si="2"/>
        <v>0</v>
      </c>
      <c r="T7" s="14">
        <f t="shared" si="3"/>
        <v>1</v>
      </c>
      <c r="U7" s="14">
        <f t="shared" si="4"/>
        <v>0</v>
      </c>
      <c r="V7" s="17">
        <f t="shared" si="5"/>
        <v>60</v>
      </c>
      <c r="W7" s="14">
        <f t="shared" si="6"/>
        <v>5</v>
      </c>
      <c r="X7" s="17">
        <f t="shared" si="7"/>
        <v>177</v>
      </c>
    </row>
    <row r="8" spans="1:24" x14ac:dyDescent="0.25">
      <c r="A8" s="14" t="s">
        <v>43</v>
      </c>
      <c r="B8" s="14" t="s">
        <v>417</v>
      </c>
      <c r="C8" s="14" t="s">
        <v>418</v>
      </c>
      <c r="D8" s="14" t="s">
        <v>58</v>
      </c>
      <c r="E8" s="14">
        <v>1</v>
      </c>
      <c r="F8" s="14">
        <v>0</v>
      </c>
      <c r="G8" s="14">
        <v>0</v>
      </c>
      <c r="H8" s="14">
        <v>0</v>
      </c>
      <c r="I8" s="14">
        <v>0</v>
      </c>
      <c r="J8" s="17">
        <v>0</v>
      </c>
      <c r="K8" s="14">
        <v>1</v>
      </c>
      <c r="L8" s="17">
        <v>1.57</v>
      </c>
      <c r="M8" s="14" t="s">
        <v>86</v>
      </c>
      <c r="P8" s="14" t="str">
        <f>Setup!$A$9</f>
        <v>Expert 05</v>
      </c>
      <c r="Q8" s="14">
        <f t="shared" si="0"/>
        <v>3</v>
      </c>
      <c r="R8" s="14">
        <f t="shared" si="1"/>
        <v>0</v>
      </c>
      <c r="S8" s="14">
        <f t="shared" si="2"/>
        <v>0</v>
      </c>
      <c r="T8" s="14">
        <f t="shared" si="3"/>
        <v>1</v>
      </c>
      <c r="U8" s="14">
        <f t="shared" si="4"/>
        <v>0</v>
      </c>
      <c r="V8" s="17">
        <f t="shared" si="5"/>
        <v>18</v>
      </c>
      <c r="W8" s="14">
        <f t="shared" si="6"/>
        <v>4</v>
      </c>
      <c r="X8" s="17">
        <f t="shared" si="7"/>
        <v>62.57</v>
      </c>
    </row>
    <row r="9" spans="1:24" x14ac:dyDescent="0.25">
      <c r="A9" s="14" t="s">
        <v>45</v>
      </c>
      <c r="B9" s="14" t="s">
        <v>419</v>
      </c>
      <c r="C9" s="14" t="s">
        <v>420</v>
      </c>
      <c r="D9" s="14" t="s">
        <v>68</v>
      </c>
      <c r="E9" s="14">
        <v>1</v>
      </c>
      <c r="F9" s="14">
        <v>0</v>
      </c>
      <c r="G9" s="14">
        <v>0</v>
      </c>
      <c r="H9" s="14">
        <v>0</v>
      </c>
      <c r="I9" s="14">
        <v>0</v>
      </c>
      <c r="J9" s="17">
        <v>0</v>
      </c>
      <c r="K9" s="14">
        <v>1</v>
      </c>
      <c r="L9" s="17">
        <v>17.350000000000001</v>
      </c>
      <c r="M9" s="14" t="s">
        <v>86</v>
      </c>
      <c r="P9" s="14" t="str">
        <f>Setup!$A$10</f>
        <v>Expert 06</v>
      </c>
      <c r="Q9" s="14">
        <f t="shared" si="0"/>
        <v>2</v>
      </c>
      <c r="R9" s="14">
        <f t="shared" si="1"/>
        <v>0</v>
      </c>
      <c r="S9" s="14">
        <f t="shared" si="2"/>
        <v>0</v>
      </c>
      <c r="T9" s="14">
        <f t="shared" si="3"/>
        <v>0</v>
      </c>
      <c r="U9" s="14">
        <f t="shared" si="4"/>
        <v>0</v>
      </c>
      <c r="V9" s="17">
        <f t="shared" si="5"/>
        <v>18</v>
      </c>
      <c r="W9" s="14">
        <f t="shared" si="6"/>
        <v>4</v>
      </c>
      <c r="X9" s="17">
        <f t="shared" si="7"/>
        <v>201.74</v>
      </c>
    </row>
    <row r="10" spans="1:24" x14ac:dyDescent="0.25">
      <c r="A10" s="14" t="s">
        <v>43</v>
      </c>
      <c r="B10" s="14" t="s">
        <v>421</v>
      </c>
      <c r="C10" s="14" t="s">
        <v>422</v>
      </c>
      <c r="D10" s="14" t="s">
        <v>42</v>
      </c>
      <c r="E10" s="14">
        <v>1</v>
      </c>
      <c r="F10" s="14">
        <v>0</v>
      </c>
      <c r="G10" s="14">
        <v>1</v>
      </c>
      <c r="H10" s="14">
        <v>0</v>
      </c>
      <c r="I10" s="14">
        <v>0</v>
      </c>
      <c r="J10" s="17">
        <v>15</v>
      </c>
      <c r="K10" s="14">
        <v>1</v>
      </c>
      <c r="L10" s="17">
        <v>90</v>
      </c>
      <c r="M10" s="14" t="s">
        <v>86</v>
      </c>
      <c r="P10" s="14" t="str">
        <f>Setup!$A$11</f>
        <v>Expert 07</v>
      </c>
      <c r="Q10" s="14">
        <f t="shared" si="0"/>
        <v>0</v>
      </c>
      <c r="R10" s="14">
        <f t="shared" si="1"/>
        <v>0</v>
      </c>
      <c r="S10" s="14">
        <f t="shared" si="2"/>
        <v>0</v>
      </c>
      <c r="T10" s="14">
        <f t="shared" si="3"/>
        <v>0</v>
      </c>
      <c r="U10" s="14">
        <f t="shared" si="4"/>
        <v>0</v>
      </c>
      <c r="V10" s="17">
        <f t="shared" si="5"/>
        <v>0</v>
      </c>
      <c r="W10" s="14">
        <f t="shared" si="6"/>
        <v>0</v>
      </c>
      <c r="X10" s="17">
        <f t="shared" si="7"/>
        <v>0</v>
      </c>
    </row>
    <row r="11" spans="1:24" x14ac:dyDescent="0.25">
      <c r="A11" s="14" t="s">
        <v>53</v>
      </c>
      <c r="B11" s="14" t="s">
        <v>423</v>
      </c>
      <c r="C11" s="14" t="s">
        <v>424</v>
      </c>
      <c r="D11" s="14" t="s">
        <v>44</v>
      </c>
      <c r="E11" s="14">
        <v>1</v>
      </c>
      <c r="F11" s="14">
        <v>0</v>
      </c>
      <c r="G11" s="14">
        <v>0</v>
      </c>
      <c r="H11" s="14">
        <v>0</v>
      </c>
      <c r="I11" s="14">
        <v>0</v>
      </c>
      <c r="J11" s="17">
        <v>0</v>
      </c>
      <c r="K11" s="14">
        <v>1</v>
      </c>
      <c r="L11" s="17">
        <v>0</v>
      </c>
      <c r="M11" s="14" t="s">
        <v>86</v>
      </c>
      <c r="P11" s="14" t="str">
        <f>Setup!$A$12</f>
        <v>Expert 08</v>
      </c>
      <c r="Q11" s="14">
        <f t="shared" si="0"/>
        <v>1</v>
      </c>
      <c r="R11" s="14">
        <f t="shared" si="1"/>
        <v>0</v>
      </c>
      <c r="S11" s="14">
        <f t="shared" si="2"/>
        <v>0</v>
      </c>
      <c r="T11" s="14">
        <f t="shared" si="3"/>
        <v>0</v>
      </c>
      <c r="U11" s="14">
        <f t="shared" si="4"/>
        <v>0</v>
      </c>
      <c r="V11" s="17">
        <f t="shared" si="5"/>
        <v>0</v>
      </c>
      <c r="W11" s="14">
        <f t="shared" si="6"/>
        <v>1</v>
      </c>
      <c r="X11" s="17">
        <f t="shared" si="7"/>
        <v>0</v>
      </c>
    </row>
    <row r="12" spans="1:24" x14ac:dyDescent="0.25">
      <c r="A12" s="14" t="s">
        <v>61</v>
      </c>
      <c r="B12" s="14" t="s">
        <v>425</v>
      </c>
      <c r="C12" s="14" t="s">
        <v>426</v>
      </c>
      <c r="D12" s="14" t="s">
        <v>62</v>
      </c>
      <c r="E12" s="14">
        <v>1</v>
      </c>
      <c r="F12" s="14">
        <v>0</v>
      </c>
      <c r="G12" s="14">
        <v>0</v>
      </c>
      <c r="H12" s="14">
        <v>0</v>
      </c>
      <c r="I12" s="14">
        <v>0</v>
      </c>
      <c r="J12" s="17">
        <v>0</v>
      </c>
      <c r="K12" s="14">
        <v>1</v>
      </c>
      <c r="L12" s="17">
        <v>0</v>
      </c>
      <c r="M12" s="14" t="s">
        <v>86</v>
      </c>
      <c r="P12" s="14" t="str">
        <f>Setup!$A$13</f>
        <v>Expert 09</v>
      </c>
      <c r="Q12" s="14">
        <f t="shared" si="0"/>
        <v>1</v>
      </c>
      <c r="R12" s="14">
        <f t="shared" si="1"/>
        <v>0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7">
        <f t="shared" si="5"/>
        <v>16</v>
      </c>
      <c r="W12" s="14">
        <f t="shared" si="6"/>
        <v>1</v>
      </c>
      <c r="X12" s="17">
        <f t="shared" si="7"/>
        <v>127.01</v>
      </c>
    </row>
    <row r="13" spans="1:24" x14ac:dyDescent="0.25">
      <c r="A13" s="14" t="s">
        <v>45</v>
      </c>
      <c r="B13" s="14" t="s">
        <v>427</v>
      </c>
      <c r="C13" s="14" t="s">
        <v>428</v>
      </c>
      <c r="D13" s="14" t="s">
        <v>50</v>
      </c>
      <c r="E13" s="14">
        <v>0</v>
      </c>
      <c r="F13" s="14">
        <v>0</v>
      </c>
      <c r="G13" s="14">
        <v>0</v>
      </c>
      <c r="H13" s="14">
        <v>0</v>
      </c>
      <c r="I13" s="14">
        <v>0</v>
      </c>
      <c r="J13" s="17">
        <v>18</v>
      </c>
      <c r="K13" s="14">
        <v>1</v>
      </c>
      <c r="L13" s="17">
        <v>0</v>
      </c>
      <c r="M13" s="14" t="s">
        <v>86</v>
      </c>
      <c r="P13" s="14" t="str">
        <f>Setup!$A$14</f>
        <v>Expert 10</v>
      </c>
      <c r="Q13" s="14">
        <f t="shared" si="0"/>
        <v>0</v>
      </c>
      <c r="R13" s="14">
        <f t="shared" si="1"/>
        <v>0</v>
      </c>
      <c r="S13" s="14">
        <f t="shared" si="2"/>
        <v>0</v>
      </c>
      <c r="T13" s="14">
        <f t="shared" si="3"/>
        <v>0</v>
      </c>
      <c r="U13" s="14">
        <f t="shared" si="4"/>
        <v>0</v>
      </c>
      <c r="V13" s="17">
        <f t="shared" si="5"/>
        <v>0</v>
      </c>
      <c r="W13" s="14">
        <f t="shared" si="6"/>
        <v>0</v>
      </c>
      <c r="X13" s="17">
        <f t="shared" si="7"/>
        <v>0</v>
      </c>
    </row>
    <row r="14" spans="1:24" x14ac:dyDescent="0.25">
      <c r="A14" s="14" t="s">
        <v>59</v>
      </c>
      <c r="B14" s="14" t="s">
        <v>429</v>
      </c>
      <c r="C14" s="14" t="s">
        <v>430</v>
      </c>
      <c r="D14" s="14" t="s">
        <v>56</v>
      </c>
      <c r="E14" s="14">
        <v>1</v>
      </c>
      <c r="F14" s="14">
        <v>0</v>
      </c>
      <c r="G14" s="14">
        <v>0</v>
      </c>
      <c r="H14" s="14">
        <v>1</v>
      </c>
      <c r="I14" s="14">
        <v>0</v>
      </c>
      <c r="J14" s="17">
        <v>0</v>
      </c>
      <c r="K14" s="14">
        <v>1</v>
      </c>
      <c r="L14" s="17">
        <v>0</v>
      </c>
      <c r="M14" s="14" t="s">
        <v>86</v>
      </c>
      <c r="P14" s="14" t="str">
        <f>Setup!$A$15</f>
        <v>Expert 11</v>
      </c>
      <c r="Q14" s="14">
        <f t="shared" si="0"/>
        <v>3</v>
      </c>
      <c r="R14" s="14">
        <f t="shared" si="1"/>
        <v>0</v>
      </c>
      <c r="S14" s="14">
        <f t="shared" si="2"/>
        <v>0</v>
      </c>
      <c r="T14" s="14">
        <f t="shared" si="3"/>
        <v>1</v>
      </c>
      <c r="U14" s="14">
        <f t="shared" si="4"/>
        <v>1</v>
      </c>
      <c r="V14" s="17">
        <f t="shared" si="5"/>
        <v>48</v>
      </c>
      <c r="W14" s="14">
        <f t="shared" si="6"/>
        <v>3</v>
      </c>
      <c r="X14" s="17">
        <f t="shared" si="7"/>
        <v>152.78</v>
      </c>
    </row>
    <row r="15" spans="1:24" x14ac:dyDescent="0.25">
      <c r="A15" s="14" t="s">
        <v>39</v>
      </c>
      <c r="B15" s="14" t="s">
        <v>431</v>
      </c>
      <c r="C15" s="14" t="s">
        <v>432</v>
      </c>
      <c r="D15" s="14" t="s">
        <v>72</v>
      </c>
      <c r="E15" s="14">
        <v>0</v>
      </c>
      <c r="F15" s="14">
        <v>0</v>
      </c>
      <c r="G15" s="14">
        <v>0</v>
      </c>
      <c r="H15" s="14">
        <v>0</v>
      </c>
      <c r="I15" s="14">
        <v>1</v>
      </c>
      <c r="J15" s="17">
        <v>0</v>
      </c>
      <c r="K15" s="14">
        <v>0</v>
      </c>
      <c r="L15" s="17">
        <v>65.67</v>
      </c>
      <c r="M15" s="14" t="s">
        <v>86</v>
      </c>
      <c r="P15" s="14" t="str">
        <f>Setup!$A$16</f>
        <v>Expert 12</v>
      </c>
      <c r="Q15" s="14">
        <f t="shared" si="0"/>
        <v>1</v>
      </c>
      <c r="R15" s="14">
        <f t="shared" si="1"/>
        <v>0</v>
      </c>
      <c r="S15" s="14">
        <f t="shared" si="2"/>
        <v>0</v>
      </c>
      <c r="T15" s="14">
        <f t="shared" si="3"/>
        <v>0</v>
      </c>
      <c r="U15" s="14">
        <f t="shared" si="4"/>
        <v>0</v>
      </c>
      <c r="V15" s="17">
        <f t="shared" si="5"/>
        <v>0</v>
      </c>
      <c r="W15" s="14">
        <f t="shared" si="6"/>
        <v>1</v>
      </c>
      <c r="X15" s="17">
        <f t="shared" si="7"/>
        <v>0</v>
      </c>
    </row>
    <row r="16" spans="1:24" x14ac:dyDescent="0.25">
      <c r="A16" s="14" t="s">
        <v>45</v>
      </c>
      <c r="B16" s="14" t="s">
        <v>433</v>
      </c>
      <c r="C16" s="14" t="s">
        <v>434</v>
      </c>
      <c r="D16" s="14" t="s">
        <v>44</v>
      </c>
      <c r="E16" s="14">
        <v>0</v>
      </c>
      <c r="F16" s="14">
        <v>0</v>
      </c>
      <c r="G16" s="14">
        <v>0</v>
      </c>
      <c r="H16" s="14">
        <v>0</v>
      </c>
      <c r="I16" s="14">
        <v>0</v>
      </c>
      <c r="J16" s="17">
        <v>24</v>
      </c>
      <c r="K16" s="14">
        <v>1</v>
      </c>
      <c r="L16" s="17">
        <v>116.24</v>
      </c>
      <c r="M16" s="14" t="s">
        <v>86</v>
      </c>
      <c r="P16" s="18" t="s">
        <v>111</v>
      </c>
      <c r="Q16" s="19">
        <f t="shared" ref="Q16:X16" si="8">SUM(Q4:Q15)</f>
        <v>21</v>
      </c>
      <c r="R16" s="19">
        <f t="shared" si="8"/>
        <v>1</v>
      </c>
      <c r="S16" s="19">
        <f t="shared" si="8"/>
        <v>1</v>
      </c>
      <c r="T16" s="19">
        <f t="shared" si="8"/>
        <v>5</v>
      </c>
      <c r="U16" s="19">
        <f t="shared" si="8"/>
        <v>2</v>
      </c>
      <c r="V16" s="20">
        <f t="shared" si="8"/>
        <v>271</v>
      </c>
      <c r="W16" s="19">
        <f t="shared" si="8"/>
        <v>28</v>
      </c>
      <c r="X16" s="20">
        <f t="shared" si="8"/>
        <v>1444.27</v>
      </c>
    </row>
    <row r="17" spans="1:13" x14ac:dyDescent="0.25">
      <c r="A17" s="14" t="s">
        <v>41</v>
      </c>
      <c r="B17" s="14" t="s">
        <v>435</v>
      </c>
      <c r="C17" s="14" t="s">
        <v>436</v>
      </c>
      <c r="D17" s="14" t="s">
        <v>67</v>
      </c>
      <c r="E17" s="14">
        <v>1</v>
      </c>
      <c r="F17" s="14">
        <v>0</v>
      </c>
      <c r="G17" s="14">
        <v>0</v>
      </c>
      <c r="H17" s="14">
        <v>0</v>
      </c>
      <c r="I17" s="14">
        <v>0</v>
      </c>
      <c r="J17" s="17">
        <v>15</v>
      </c>
      <c r="K17" s="14">
        <v>1</v>
      </c>
      <c r="L17" s="17">
        <v>148.43</v>
      </c>
      <c r="M17" s="14" t="s">
        <v>86</v>
      </c>
    </row>
    <row r="18" spans="1:13" x14ac:dyDescent="0.25">
      <c r="A18" s="14" t="s">
        <v>49</v>
      </c>
      <c r="B18" s="14" t="s">
        <v>437</v>
      </c>
      <c r="C18" s="14" t="s">
        <v>438</v>
      </c>
      <c r="D18" s="14" t="s">
        <v>52</v>
      </c>
      <c r="E18" s="14">
        <v>0</v>
      </c>
      <c r="F18" s="14">
        <v>0</v>
      </c>
      <c r="G18" s="14">
        <v>0</v>
      </c>
      <c r="H18" s="14">
        <v>0</v>
      </c>
      <c r="I18" s="14">
        <v>0</v>
      </c>
      <c r="J18" s="17">
        <v>18</v>
      </c>
      <c r="K18" s="14">
        <v>1</v>
      </c>
      <c r="L18" s="17">
        <v>0</v>
      </c>
      <c r="M18" s="14" t="s">
        <v>212</v>
      </c>
    </row>
    <row r="19" spans="1:13" x14ac:dyDescent="0.25">
      <c r="A19" s="14" t="s">
        <v>47</v>
      </c>
      <c r="B19" s="14" t="s">
        <v>439</v>
      </c>
      <c r="C19" s="14" t="s">
        <v>440</v>
      </c>
      <c r="D19" s="14" t="s">
        <v>70</v>
      </c>
      <c r="E19" s="14">
        <v>0</v>
      </c>
      <c r="F19" s="14">
        <v>0</v>
      </c>
      <c r="G19" s="14">
        <v>0</v>
      </c>
      <c r="H19" s="14">
        <v>0</v>
      </c>
      <c r="I19" s="14">
        <v>0</v>
      </c>
      <c r="J19" s="17">
        <v>0</v>
      </c>
      <c r="K19" s="14">
        <v>1</v>
      </c>
      <c r="L19" s="17">
        <v>0</v>
      </c>
      <c r="M19" s="14" t="s">
        <v>86</v>
      </c>
    </row>
    <row r="20" spans="1:13" x14ac:dyDescent="0.25">
      <c r="A20" s="14" t="s">
        <v>43</v>
      </c>
      <c r="B20" s="14" t="s">
        <v>441</v>
      </c>
      <c r="C20" s="14" t="s">
        <v>442</v>
      </c>
      <c r="D20" s="14" t="s">
        <v>40</v>
      </c>
      <c r="E20" s="14">
        <v>1</v>
      </c>
      <c r="F20" s="14">
        <v>0</v>
      </c>
      <c r="G20" s="14">
        <v>0</v>
      </c>
      <c r="H20" s="14">
        <v>0</v>
      </c>
      <c r="I20" s="14">
        <v>0</v>
      </c>
      <c r="J20" s="17">
        <v>0</v>
      </c>
      <c r="K20" s="14">
        <v>1</v>
      </c>
      <c r="L20" s="17">
        <v>0</v>
      </c>
      <c r="M20" s="14" t="s">
        <v>86</v>
      </c>
    </row>
    <row r="21" spans="1:13" x14ac:dyDescent="0.25">
      <c r="A21" s="14" t="s">
        <v>53</v>
      </c>
      <c r="B21" s="14" t="s">
        <v>443</v>
      </c>
      <c r="C21" s="14" t="s">
        <v>444</v>
      </c>
      <c r="D21" s="14" t="s">
        <v>76</v>
      </c>
      <c r="E21" s="14">
        <v>0</v>
      </c>
      <c r="F21" s="14">
        <v>0</v>
      </c>
      <c r="G21" s="14">
        <v>0</v>
      </c>
      <c r="H21" s="14">
        <v>0</v>
      </c>
      <c r="I21" s="14">
        <v>0</v>
      </c>
      <c r="J21" s="17">
        <v>0</v>
      </c>
      <c r="K21" s="14">
        <v>0</v>
      </c>
      <c r="L21" s="17">
        <v>0</v>
      </c>
      <c r="M21" s="14" t="s">
        <v>86</v>
      </c>
    </row>
    <row r="22" spans="1:13" x14ac:dyDescent="0.25">
      <c r="A22" s="14" t="s">
        <v>39</v>
      </c>
      <c r="B22" s="14" t="s">
        <v>445</v>
      </c>
      <c r="C22" s="14" t="s">
        <v>446</v>
      </c>
      <c r="D22" s="14" t="s">
        <v>64</v>
      </c>
      <c r="E22" s="14">
        <v>0</v>
      </c>
      <c r="F22" s="14">
        <v>0</v>
      </c>
      <c r="G22" s="14">
        <v>0</v>
      </c>
      <c r="H22" s="14">
        <v>1</v>
      </c>
      <c r="I22" s="14">
        <v>0</v>
      </c>
      <c r="J22" s="17">
        <v>24</v>
      </c>
      <c r="K22" s="14">
        <v>1</v>
      </c>
      <c r="L22" s="17">
        <v>140.19</v>
      </c>
      <c r="M22" s="14" t="s">
        <v>86</v>
      </c>
    </row>
    <row r="23" spans="1:13" x14ac:dyDescent="0.25">
      <c r="A23" s="14" t="s">
        <v>45</v>
      </c>
      <c r="B23" s="14" t="s">
        <v>447</v>
      </c>
      <c r="C23" s="14" t="s">
        <v>448</v>
      </c>
      <c r="D23" s="14" t="s">
        <v>60</v>
      </c>
      <c r="E23" s="14">
        <v>1</v>
      </c>
      <c r="F23" s="14">
        <v>0</v>
      </c>
      <c r="G23" s="14">
        <v>0</v>
      </c>
      <c r="H23" s="14">
        <v>1</v>
      </c>
      <c r="I23" s="14">
        <v>0</v>
      </c>
      <c r="J23" s="17">
        <v>18</v>
      </c>
      <c r="K23" s="14">
        <v>1</v>
      </c>
      <c r="L23" s="17">
        <v>43.41</v>
      </c>
      <c r="M23" s="14" t="s">
        <v>86</v>
      </c>
    </row>
    <row r="24" spans="1:13" x14ac:dyDescent="0.25">
      <c r="A24" s="14" t="s">
        <v>55</v>
      </c>
      <c r="B24" s="14" t="s">
        <v>449</v>
      </c>
      <c r="C24" s="14" t="s">
        <v>450</v>
      </c>
      <c r="D24" s="14" t="s">
        <v>52</v>
      </c>
      <c r="E24" s="14">
        <v>1</v>
      </c>
      <c r="F24" s="14">
        <v>0</v>
      </c>
      <c r="G24" s="14">
        <v>0</v>
      </c>
      <c r="H24" s="14">
        <v>0</v>
      </c>
      <c r="I24" s="14">
        <v>0</v>
      </c>
      <c r="J24" s="17">
        <v>16</v>
      </c>
      <c r="K24" s="14">
        <v>1</v>
      </c>
      <c r="L24" s="17">
        <v>127.01</v>
      </c>
      <c r="M24" s="14" t="s">
        <v>212</v>
      </c>
    </row>
    <row r="25" spans="1:13" x14ac:dyDescent="0.25">
      <c r="A25" s="14" t="s">
        <v>47</v>
      </c>
      <c r="B25" s="14" t="s">
        <v>451</v>
      </c>
      <c r="C25" s="14" t="s">
        <v>452</v>
      </c>
      <c r="D25" s="14" t="s">
        <v>64</v>
      </c>
      <c r="E25" s="14">
        <v>1</v>
      </c>
      <c r="F25" s="14">
        <v>0</v>
      </c>
      <c r="G25" s="14">
        <v>0</v>
      </c>
      <c r="H25" s="14">
        <v>1</v>
      </c>
      <c r="I25" s="14">
        <v>0</v>
      </c>
      <c r="J25" s="17">
        <v>0</v>
      </c>
      <c r="K25" s="14">
        <v>1</v>
      </c>
      <c r="L25" s="17">
        <v>55.87</v>
      </c>
      <c r="M25" s="14" t="s">
        <v>86</v>
      </c>
    </row>
    <row r="26" spans="1:13" x14ac:dyDescent="0.25">
      <c r="A26" s="14" t="s">
        <v>47</v>
      </c>
      <c r="B26" s="14" t="s">
        <v>453</v>
      </c>
      <c r="C26" s="14" t="s">
        <v>454</v>
      </c>
      <c r="D26" s="14" t="s">
        <v>48</v>
      </c>
      <c r="E26" s="14">
        <v>1</v>
      </c>
      <c r="F26" s="14">
        <v>0</v>
      </c>
      <c r="G26" s="14">
        <v>0</v>
      </c>
      <c r="H26" s="14">
        <v>0</v>
      </c>
      <c r="I26" s="14">
        <v>0</v>
      </c>
      <c r="J26" s="17">
        <v>0</v>
      </c>
      <c r="K26" s="14">
        <v>1</v>
      </c>
      <c r="L26" s="17">
        <v>6.7</v>
      </c>
      <c r="M26" s="14" t="s">
        <v>212</v>
      </c>
    </row>
    <row r="27" spans="1:13" x14ac:dyDescent="0.25">
      <c r="A27" s="14" t="s">
        <v>59</v>
      </c>
      <c r="B27" s="14" t="s">
        <v>455</v>
      </c>
      <c r="C27" s="14" t="s">
        <v>456</v>
      </c>
      <c r="D27" s="14" t="s">
        <v>64</v>
      </c>
      <c r="E27" s="14">
        <v>1</v>
      </c>
      <c r="F27" s="14">
        <v>0</v>
      </c>
      <c r="G27" s="14">
        <v>0</v>
      </c>
      <c r="H27" s="14">
        <v>0</v>
      </c>
      <c r="I27" s="14">
        <v>0</v>
      </c>
      <c r="J27" s="17">
        <v>0</v>
      </c>
      <c r="K27" s="14">
        <v>1</v>
      </c>
      <c r="L27" s="17">
        <v>114.68</v>
      </c>
      <c r="M27" s="14" t="s">
        <v>86</v>
      </c>
    </row>
    <row r="28" spans="1:13" x14ac:dyDescent="0.25">
      <c r="A28" s="14" t="s">
        <v>59</v>
      </c>
      <c r="B28" s="14" t="s">
        <v>457</v>
      </c>
      <c r="C28" s="14" t="s">
        <v>458</v>
      </c>
      <c r="D28" s="14" t="s">
        <v>62</v>
      </c>
      <c r="E28" s="14">
        <v>1</v>
      </c>
      <c r="F28" s="14">
        <v>0</v>
      </c>
      <c r="G28" s="14">
        <v>0</v>
      </c>
      <c r="H28" s="14">
        <v>0</v>
      </c>
      <c r="I28" s="14">
        <v>0</v>
      </c>
      <c r="J28" s="17">
        <v>24</v>
      </c>
      <c r="K28" s="14">
        <v>1</v>
      </c>
      <c r="L28" s="17">
        <v>19.829999999999998</v>
      </c>
      <c r="M28" s="14" t="s">
        <v>86</v>
      </c>
    </row>
    <row r="29" spans="1:13" x14ac:dyDescent="0.25">
      <c r="A29" s="14" t="s">
        <v>41</v>
      </c>
      <c r="B29" s="14" t="s">
        <v>459</v>
      </c>
      <c r="C29" s="14" t="s">
        <v>460</v>
      </c>
      <c r="D29" s="14" t="s">
        <v>64</v>
      </c>
      <c r="E29" s="14">
        <v>1</v>
      </c>
      <c r="F29" s="14">
        <v>0</v>
      </c>
      <c r="G29" s="14">
        <v>0</v>
      </c>
      <c r="H29" s="14">
        <v>0</v>
      </c>
      <c r="I29" s="14">
        <v>0</v>
      </c>
      <c r="J29" s="17">
        <v>0</v>
      </c>
      <c r="K29" s="14">
        <v>1</v>
      </c>
      <c r="L29" s="17">
        <v>1.97</v>
      </c>
      <c r="M29" s="14" t="s">
        <v>86</v>
      </c>
    </row>
    <row r="30" spans="1:13" x14ac:dyDescent="0.25">
      <c r="A30" s="14" t="s">
        <v>59</v>
      </c>
      <c r="B30" s="14" t="s">
        <v>461</v>
      </c>
      <c r="C30" s="14" t="s">
        <v>462</v>
      </c>
      <c r="D30" s="14" t="s">
        <v>73</v>
      </c>
      <c r="E30" s="14">
        <v>0</v>
      </c>
      <c r="F30" s="14">
        <v>0</v>
      </c>
      <c r="G30" s="14">
        <v>0</v>
      </c>
      <c r="H30" s="14">
        <v>0</v>
      </c>
      <c r="I30" s="14">
        <v>1</v>
      </c>
      <c r="J30" s="17">
        <v>24</v>
      </c>
      <c r="K30" s="14">
        <v>0</v>
      </c>
      <c r="L30" s="17">
        <v>18.27</v>
      </c>
      <c r="M30" s="14" t="s">
        <v>86</v>
      </c>
    </row>
    <row r="31" spans="1:13" x14ac:dyDescent="0.25">
      <c r="A31" s="14" t="s">
        <v>43</v>
      </c>
      <c r="B31" s="14" t="s">
        <v>463</v>
      </c>
      <c r="C31" s="14" t="s">
        <v>464</v>
      </c>
      <c r="D31" s="14" t="s">
        <v>75</v>
      </c>
      <c r="E31" s="14">
        <v>0</v>
      </c>
      <c r="F31" s="14">
        <v>0</v>
      </c>
      <c r="G31" s="14">
        <v>0</v>
      </c>
      <c r="H31" s="14">
        <v>0</v>
      </c>
      <c r="I31" s="14">
        <v>0</v>
      </c>
      <c r="J31" s="17">
        <v>0</v>
      </c>
      <c r="K31" s="14">
        <v>0</v>
      </c>
      <c r="L31" s="17">
        <v>175.47</v>
      </c>
      <c r="M31" s="14" t="s">
        <v>86</v>
      </c>
    </row>
    <row r="32" spans="1:13" x14ac:dyDescent="0.25">
      <c r="A32" s="14" t="s">
        <v>41</v>
      </c>
      <c r="B32" s="14" t="s">
        <v>465</v>
      </c>
      <c r="C32" s="14" t="s">
        <v>466</v>
      </c>
      <c r="D32" s="14" t="s">
        <v>56</v>
      </c>
      <c r="E32" s="14">
        <v>0</v>
      </c>
      <c r="F32" s="14">
        <v>1</v>
      </c>
      <c r="G32" s="14">
        <v>0</v>
      </c>
      <c r="H32" s="14">
        <v>0</v>
      </c>
      <c r="I32" s="14">
        <v>0</v>
      </c>
      <c r="J32" s="17">
        <v>0</v>
      </c>
      <c r="K32" s="14">
        <v>1</v>
      </c>
      <c r="L32" s="17">
        <v>51.25</v>
      </c>
      <c r="M32" s="14" t="s">
        <v>86</v>
      </c>
    </row>
    <row r="33" spans="1:13" x14ac:dyDescent="0.25">
      <c r="A33" s="14" t="s">
        <v>47</v>
      </c>
      <c r="B33" s="14" t="s">
        <v>467</v>
      </c>
      <c r="C33" s="14" t="s">
        <v>468</v>
      </c>
      <c r="D33" s="14" t="s">
        <v>60</v>
      </c>
      <c r="E33" s="14">
        <v>1</v>
      </c>
      <c r="F33" s="14">
        <v>0</v>
      </c>
      <c r="G33" s="14">
        <v>0</v>
      </c>
      <c r="H33" s="14">
        <v>0</v>
      </c>
      <c r="I33" s="14">
        <v>0</v>
      </c>
      <c r="J33" s="17">
        <v>18</v>
      </c>
      <c r="K33" s="14">
        <v>1</v>
      </c>
      <c r="L33" s="17">
        <v>0</v>
      </c>
      <c r="M33" s="14" t="s">
        <v>86</v>
      </c>
    </row>
    <row r="34" spans="1:13" x14ac:dyDescent="0.25">
      <c r="A34" s="14" t="s">
        <v>41</v>
      </c>
      <c r="B34" s="14" t="s">
        <v>469</v>
      </c>
      <c r="C34" s="14" t="s">
        <v>470</v>
      </c>
      <c r="D34" s="14" t="s">
        <v>62</v>
      </c>
      <c r="E34" s="14">
        <v>1</v>
      </c>
      <c r="F34" s="14">
        <v>0</v>
      </c>
      <c r="G34" s="14">
        <v>0</v>
      </c>
      <c r="H34" s="14">
        <v>1</v>
      </c>
      <c r="I34" s="14">
        <v>0</v>
      </c>
      <c r="J34" s="17">
        <v>24</v>
      </c>
      <c r="K34" s="14">
        <v>1</v>
      </c>
      <c r="L34" s="17">
        <v>0</v>
      </c>
      <c r="M34" s="14" t="s">
        <v>86</v>
      </c>
    </row>
    <row r="35" spans="1:13" x14ac:dyDescent="0.25">
      <c r="A35" s="14" t="s">
        <v>49</v>
      </c>
      <c r="B35" s="14" t="s">
        <v>471</v>
      </c>
      <c r="C35" s="14" t="s">
        <v>472</v>
      </c>
      <c r="D35" s="14" t="s">
        <v>40</v>
      </c>
      <c r="E35" s="14">
        <v>1</v>
      </c>
      <c r="F35" s="14">
        <v>0</v>
      </c>
      <c r="G35" s="14">
        <v>0</v>
      </c>
      <c r="H35" s="14">
        <v>0</v>
      </c>
      <c r="I35" s="14">
        <v>0</v>
      </c>
      <c r="J35" s="17">
        <v>0</v>
      </c>
      <c r="K35" s="14">
        <v>1</v>
      </c>
      <c r="L35" s="17">
        <v>55.84</v>
      </c>
      <c r="M35" s="14" t="s">
        <v>86</v>
      </c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7"/>
      <c r="K36" s="14"/>
      <c r="L36" s="17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7"/>
      <c r="K37" s="14"/>
      <c r="L37" s="17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7"/>
      <c r="K38" s="14"/>
      <c r="L38" s="17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7"/>
      <c r="K39" s="14"/>
      <c r="L39" s="17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7"/>
      <c r="K40" s="14"/>
      <c r="L40" s="17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7"/>
      <c r="K41" s="14"/>
      <c r="L41" s="17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7"/>
      <c r="K42" s="14"/>
      <c r="L42" s="17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7"/>
      <c r="K43" s="14"/>
      <c r="L43" s="17"/>
      <c r="M43" s="14"/>
    </row>
  </sheetData>
  <mergeCells count="2">
    <mergeCell ref="A2:M2"/>
    <mergeCell ref="A1:M1"/>
  </mergeCells>
  <dataValidations count="1">
    <dataValidation type="list" allowBlank="1" sqref="M4:M43" xr:uid="{00000000-0002-0000-0B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B00-000000000000}">
          <x14:formula1>
            <xm:f>Setup!$A$5:$A$16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0B00-000001000000}">
          <x14:formula1>
            <xm:f>Setup!$C$5:$C$30</xm:f>
          </x14:formula1>
          <xm:sqref>D4:D43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4" t="s">
        <v>473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</row>
    <row r="2" spans="1:24" ht="21.95" customHeight="1" x14ac:dyDescent="0.25">
      <c r="A2" s="43" t="s">
        <v>19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</row>
    <row r="3" spans="1:24" x14ac:dyDescent="0.25">
      <c r="A3" s="12" t="s">
        <v>79</v>
      </c>
      <c r="B3" s="12" t="s">
        <v>80</v>
      </c>
      <c r="C3" s="12" t="s">
        <v>81</v>
      </c>
      <c r="D3" s="12" t="s">
        <v>82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83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61</v>
      </c>
      <c r="B4" s="14" t="s">
        <v>474</v>
      </c>
      <c r="C4" s="14" t="s">
        <v>475</v>
      </c>
      <c r="D4" s="14" t="s">
        <v>67</v>
      </c>
      <c r="E4" s="14">
        <v>1</v>
      </c>
      <c r="F4" s="14">
        <v>0</v>
      </c>
      <c r="G4" s="14">
        <v>0</v>
      </c>
      <c r="H4" s="14">
        <v>0</v>
      </c>
      <c r="I4" s="14">
        <v>0</v>
      </c>
      <c r="J4" s="17">
        <v>18</v>
      </c>
      <c r="K4" s="14">
        <v>1</v>
      </c>
      <c r="L4" s="17">
        <v>123.43</v>
      </c>
      <c r="M4" s="14" t="s">
        <v>86</v>
      </c>
      <c r="P4" s="14" t="str">
        <f>Setup!$A$5</f>
        <v>Expert 01</v>
      </c>
      <c r="Q4" s="14">
        <f t="shared" ref="Q4:Q15" si="0">SUMIF($A$4:$A$43,$P4,E$4:E$43)</f>
        <v>1</v>
      </c>
      <c r="R4" s="14">
        <f t="shared" ref="R4:R15" si="1">SUMIF($A$4:$A$43,$P4,F$4:F$43)</f>
        <v>0</v>
      </c>
      <c r="S4" s="14">
        <f t="shared" ref="S4:S15" si="2">SUMIF($A$4:$A$43,$P4,G$4:G$43)</f>
        <v>0</v>
      </c>
      <c r="T4" s="14">
        <f t="shared" ref="T4:T15" si="3">SUMIF($A$4:$A$43,$P4,H$4:H$43)</f>
        <v>1</v>
      </c>
      <c r="U4" s="14">
        <f t="shared" ref="U4:U15" si="4">SUMIF($A$4:$A$43,$P4,I$4:I$43)</f>
        <v>0</v>
      </c>
      <c r="V4" s="17">
        <f t="shared" ref="V4:V15" si="5">SUMIF($A$4:$A$43,$P4,J$4:J$43)</f>
        <v>0</v>
      </c>
      <c r="W4" s="14">
        <f t="shared" ref="W4:W15" si="6">SUMIF($A$4:$A$43,$P4,K$4:K$43)</f>
        <v>1</v>
      </c>
      <c r="X4" s="17">
        <f t="shared" ref="X4:X15" si="7">SUMIF($A$4:$A$43,$P4,L$4:L$43)</f>
        <v>69.89</v>
      </c>
    </row>
    <row r="5" spans="1:24" x14ac:dyDescent="0.25">
      <c r="A5" s="14" t="s">
        <v>51</v>
      </c>
      <c r="B5" s="14" t="s">
        <v>476</v>
      </c>
      <c r="C5" s="14" t="s">
        <v>477</v>
      </c>
      <c r="D5" s="14" t="s">
        <v>68</v>
      </c>
      <c r="E5" s="14">
        <v>1</v>
      </c>
      <c r="F5" s="14">
        <v>0</v>
      </c>
      <c r="G5" s="14">
        <v>0</v>
      </c>
      <c r="H5" s="14">
        <v>0</v>
      </c>
      <c r="I5" s="14">
        <v>0</v>
      </c>
      <c r="J5" s="17">
        <v>33</v>
      </c>
      <c r="K5" s="14">
        <v>1</v>
      </c>
      <c r="L5" s="17">
        <v>0</v>
      </c>
      <c r="M5" s="14" t="s">
        <v>86</v>
      </c>
      <c r="P5" s="14" t="str">
        <f>Setup!$A$6</f>
        <v>Expert 02</v>
      </c>
      <c r="Q5" s="14">
        <f t="shared" si="0"/>
        <v>1</v>
      </c>
      <c r="R5" s="14">
        <f t="shared" si="1"/>
        <v>1</v>
      </c>
      <c r="S5" s="14">
        <f t="shared" si="2"/>
        <v>0</v>
      </c>
      <c r="T5" s="14">
        <f t="shared" si="3"/>
        <v>0</v>
      </c>
      <c r="U5" s="14">
        <f t="shared" si="4"/>
        <v>0</v>
      </c>
      <c r="V5" s="17">
        <f t="shared" si="5"/>
        <v>0</v>
      </c>
      <c r="W5" s="14">
        <f t="shared" si="6"/>
        <v>2</v>
      </c>
      <c r="X5" s="17">
        <f t="shared" si="7"/>
        <v>59.89</v>
      </c>
    </row>
    <row r="6" spans="1:24" x14ac:dyDescent="0.25">
      <c r="A6" s="14" t="s">
        <v>57</v>
      </c>
      <c r="B6" s="14" t="s">
        <v>478</v>
      </c>
      <c r="C6" s="14" t="s">
        <v>479</v>
      </c>
      <c r="D6" s="14" t="s">
        <v>52</v>
      </c>
      <c r="E6" s="14">
        <v>0</v>
      </c>
      <c r="F6" s="14">
        <v>1</v>
      </c>
      <c r="G6" s="14">
        <v>0</v>
      </c>
      <c r="H6" s="14">
        <v>0</v>
      </c>
      <c r="I6" s="14">
        <v>0</v>
      </c>
      <c r="J6" s="17">
        <v>0</v>
      </c>
      <c r="K6" s="14">
        <v>1</v>
      </c>
      <c r="L6" s="17">
        <v>0</v>
      </c>
      <c r="M6" s="14" t="s">
        <v>86</v>
      </c>
      <c r="P6" s="14" t="str">
        <f>Setup!$A$7</f>
        <v>Expert 03</v>
      </c>
      <c r="Q6" s="14">
        <f t="shared" si="0"/>
        <v>1</v>
      </c>
      <c r="R6" s="14">
        <f t="shared" si="1"/>
        <v>0</v>
      </c>
      <c r="S6" s="14">
        <f t="shared" si="2"/>
        <v>0</v>
      </c>
      <c r="T6" s="14">
        <f t="shared" si="3"/>
        <v>0</v>
      </c>
      <c r="U6" s="14">
        <f t="shared" si="4"/>
        <v>0</v>
      </c>
      <c r="V6" s="17">
        <f t="shared" si="5"/>
        <v>48</v>
      </c>
      <c r="W6" s="14">
        <f t="shared" si="6"/>
        <v>2</v>
      </c>
      <c r="X6" s="17">
        <f t="shared" si="7"/>
        <v>0</v>
      </c>
    </row>
    <row r="7" spans="1:24" x14ac:dyDescent="0.25">
      <c r="A7" s="14" t="s">
        <v>55</v>
      </c>
      <c r="B7" s="14" t="s">
        <v>480</v>
      </c>
      <c r="C7" s="14" t="s">
        <v>481</v>
      </c>
      <c r="D7" s="14" t="s">
        <v>46</v>
      </c>
      <c r="E7" s="14">
        <v>1</v>
      </c>
      <c r="F7" s="14">
        <v>0</v>
      </c>
      <c r="G7" s="14">
        <v>0</v>
      </c>
      <c r="H7" s="14">
        <v>0</v>
      </c>
      <c r="I7" s="14">
        <v>0</v>
      </c>
      <c r="J7" s="17">
        <v>18</v>
      </c>
      <c r="K7" s="14">
        <v>1</v>
      </c>
      <c r="L7" s="17">
        <v>173.81</v>
      </c>
      <c r="M7" s="14" t="s">
        <v>86</v>
      </c>
      <c r="P7" s="14" t="str">
        <f>Setup!$A$8</f>
        <v>Expert 04</v>
      </c>
      <c r="Q7" s="14">
        <f t="shared" si="0"/>
        <v>0</v>
      </c>
      <c r="R7" s="14">
        <f t="shared" si="1"/>
        <v>0</v>
      </c>
      <c r="S7" s="14">
        <f t="shared" si="2"/>
        <v>0</v>
      </c>
      <c r="T7" s="14">
        <f t="shared" si="3"/>
        <v>0</v>
      </c>
      <c r="U7" s="14">
        <f t="shared" si="4"/>
        <v>0</v>
      </c>
      <c r="V7" s="17">
        <f t="shared" si="5"/>
        <v>0</v>
      </c>
      <c r="W7" s="14">
        <f t="shared" si="6"/>
        <v>0</v>
      </c>
      <c r="X7" s="17">
        <f t="shared" si="7"/>
        <v>0</v>
      </c>
    </row>
    <row r="8" spans="1:24" x14ac:dyDescent="0.25">
      <c r="A8" s="14" t="s">
        <v>61</v>
      </c>
      <c r="B8" s="14" t="s">
        <v>482</v>
      </c>
      <c r="C8" s="14" t="s">
        <v>483</v>
      </c>
      <c r="D8" s="14" t="s">
        <v>46</v>
      </c>
      <c r="E8" s="14">
        <v>0</v>
      </c>
      <c r="F8" s="14">
        <v>1</v>
      </c>
      <c r="G8" s="14">
        <v>0</v>
      </c>
      <c r="H8" s="14">
        <v>0</v>
      </c>
      <c r="I8" s="14">
        <v>0</v>
      </c>
      <c r="J8" s="17">
        <v>0</v>
      </c>
      <c r="K8" s="14">
        <v>1</v>
      </c>
      <c r="L8" s="17">
        <v>138.56</v>
      </c>
      <c r="M8" s="14" t="s">
        <v>86</v>
      </c>
      <c r="P8" s="14" t="str">
        <f>Setup!$A$9</f>
        <v>Expert 05</v>
      </c>
      <c r="Q8" s="14">
        <f t="shared" si="0"/>
        <v>1</v>
      </c>
      <c r="R8" s="14">
        <f t="shared" si="1"/>
        <v>0</v>
      </c>
      <c r="S8" s="14">
        <f t="shared" si="2"/>
        <v>0</v>
      </c>
      <c r="T8" s="14">
        <f t="shared" si="3"/>
        <v>0</v>
      </c>
      <c r="U8" s="14">
        <f t="shared" si="4"/>
        <v>0</v>
      </c>
      <c r="V8" s="17">
        <f t="shared" si="5"/>
        <v>16</v>
      </c>
      <c r="W8" s="14">
        <f t="shared" si="6"/>
        <v>1</v>
      </c>
      <c r="X8" s="17">
        <f t="shared" si="7"/>
        <v>0</v>
      </c>
    </row>
    <row r="9" spans="1:24" x14ac:dyDescent="0.25">
      <c r="A9" s="14" t="s">
        <v>47</v>
      </c>
      <c r="B9" s="14" t="s">
        <v>484</v>
      </c>
      <c r="C9" s="14" t="s">
        <v>485</v>
      </c>
      <c r="D9" s="14" t="s">
        <v>50</v>
      </c>
      <c r="E9" s="14">
        <v>1</v>
      </c>
      <c r="F9" s="14">
        <v>0</v>
      </c>
      <c r="G9" s="14">
        <v>0</v>
      </c>
      <c r="H9" s="14">
        <v>0</v>
      </c>
      <c r="I9" s="14">
        <v>0</v>
      </c>
      <c r="J9" s="17">
        <v>16</v>
      </c>
      <c r="K9" s="14">
        <v>1</v>
      </c>
      <c r="L9" s="17">
        <v>0</v>
      </c>
      <c r="M9" s="14" t="s">
        <v>86</v>
      </c>
      <c r="P9" s="14" t="str">
        <f>Setup!$A$10</f>
        <v>Expert 06</v>
      </c>
      <c r="Q9" s="14">
        <f t="shared" si="0"/>
        <v>1</v>
      </c>
      <c r="R9" s="14">
        <f t="shared" si="1"/>
        <v>0</v>
      </c>
      <c r="S9" s="14">
        <f t="shared" si="2"/>
        <v>0</v>
      </c>
      <c r="T9" s="14">
        <f t="shared" si="3"/>
        <v>0</v>
      </c>
      <c r="U9" s="14">
        <f t="shared" si="4"/>
        <v>0</v>
      </c>
      <c r="V9" s="17">
        <f t="shared" si="5"/>
        <v>0</v>
      </c>
      <c r="W9" s="14">
        <f t="shared" si="6"/>
        <v>1</v>
      </c>
      <c r="X9" s="17">
        <f t="shared" si="7"/>
        <v>0</v>
      </c>
    </row>
    <row r="10" spans="1:24" x14ac:dyDescent="0.25">
      <c r="A10" s="14" t="s">
        <v>41</v>
      </c>
      <c r="B10" s="14" t="s">
        <v>486</v>
      </c>
      <c r="C10" s="14" t="s">
        <v>487</v>
      </c>
      <c r="D10" s="14" t="s">
        <v>46</v>
      </c>
      <c r="E10" s="14">
        <v>0</v>
      </c>
      <c r="F10" s="14">
        <v>1</v>
      </c>
      <c r="G10" s="14">
        <v>0</v>
      </c>
      <c r="H10" s="14">
        <v>0</v>
      </c>
      <c r="I10" s="14">
        <v>0</v>
      </c>
      <c r="J10" s="17">
        <v>0</v>
      </c>
      <c r="K10" s="14">
        <v>1</v>
      </c>
      <c r="L10" s="17">
        <v>59.89</v>
      </c>
      <c r="M10" s="14" t="s">
        <v>86</v>
      </c>
      <c r="P10" s="14" t="str">
        <f>Setup!$A$11</f>
        <v>Expert 07</v>
      </c>
      <c r="Q10" s="14">
        <f t="shared" si="0"/>
        <v>1</v>
      </c>
      <c r="R10" s="14">
        <f t="shared" si="1"/>
        <v>0</v>
      </c>
      <c r="S10" s="14">
        <f t="shared" si="2"/>
        <v>0</v>
      </c>
      <c r="T10" s="14">
        <f t="shared" si="3"/>
        <v>0</v>
      </c>
      <c r="U10" s="14">
        <f t="shared" si="4"/>
        <v>0</v>
      </c>
      <c r="V10" s="17">
        <f t="shared" si="5"/>
        <v>49</v>
      </c>
      <c r="W10" s="14">
        <f t="shared" si="6"/>
        <v>1</v>
      </c>
      <c r="X10" s="17">
        <f t="shared" si="7"/>
        <v>0</v>
      </c>
    </row>
    <row r="11" spans="1:24" x14ac:dyDescent="0.25">
      <c r="A11" s="14" t="s">
        <v>53</v>
      </c>
      <c r="B11" s="14" t="s">
        <v>488</v>
      </c>
      <c r="C11" s="14" t="s">
        <v>489</v>
      </c>
      <c r="D11" s="14" t="s">
        <v>56</v>
      </c>
      <c r="E11" s="14">
        <v>1</v>
      </c>
      <c r="F11" s="14">
        <v>0</v>
      </c>
      <c r="G11" s="14">
        <v>0</v>
      </c>
      <c r="H11" s="14">
        <v>0</v>
      </c>
      <c r="I11" s="14">
        <v>0</v>
      </c>
      <c r="J11" s="17">
        <v>0</v>
      </c>
      <c r="K11" s="14">
        <v>1</v>
      </c>
      <c r="L11" s="17">
        <v>0</v>
      </c>
      <c r="M11" s="14" t="s">
        <v>86</v>
      </c>
      <c r="P11" s="14" t="str">
        <f>Setup!$A$12</f>
        <v>Expert 08</v>
      </c>
      <c r="Q11" s="14">
        <f t="shared" si="0"/>
        <v>4</v>
      </c>
      <c r="R11" s="14">
        <f t="shared" si="1"/>
        <v>1</v>
      </c>
      <c r="S11" s="14">
        <f t="shared" si="2"/>
        <v>0</v>
      </c>
      <c r="T11" s="14">
        <f t="shared" si="3"/>
        <v>0</v>
      </c>
      <c r="U11" s="14">
        <f t="shared" si="4"/>
        <v>0</v>
      </c>
      <c r="V11" s="17">
        <f t="shared" si="5"/>
        <v>15</v>
      </c>
      <c r="W11" s="14">
        <f t="shared" si="6"/>
        <v>4</v>
      </c>
      <c r="X11" s="17">
        <f t="shared" si="7"/>
        <v>217.01000000000002</v>
      </c>
    </row>
    <row r="12" spans="1:24" x14ac:dyDescent="0.25">
      <c r="A12" s="14" t="s">
        <v>59</v>
      </c>
      <c r="B12" s="14" t="s">
        <v>490</v>
      </c>
      <c r="C12" s="14" t="s">
        <v>491</v>
      </c>
      <c r="D12" s="14" t="s">
        <v>60</v>
      </c>
      <c r="E12" s="14">
        <v>0</v>
      </c>
      <c r="F12" s="14">
        <v>1</v>
      </c>
      <c r="G12" s="14">
        <v>0</v>
      </c>
      <c r="H12" s="14">
        <v>0</v>
      </c>
      <c r="I12" s="14">
        <v>0</v>
      </c>
      <c r="J12" s="17">
        <v>0</v>
      </c>
      <c r="K12" s="14">
        <v>1</v>
      </c>
      <c r="L12" s="17">
        <v>21.44</v>
      </c>
      <c r="M12" s="14" t="s">
        <v>86</v>
      </c>
      <c r="P12" s="14" t="str">
        <f>Setup!$A$13</f>
        <v>Expert 09</v>
      </c>
      <c r="Q12" s="14">
        <f t="shared" si="0"/>
        <v>3</v>
      </c>
      <c r="R12" s="14">
        <f t="shared" si="1"/>
        <v>0</v>
      </c>
      <c r="S12" s="14">
        <f t="shared" si="2"/>
        <v>0</v>
      </c>
      <c r="T12" s="14">
        <f t="shared" si="3"/>
        <v>0</v>
      </c>
      <c r="U12" s="14">
        <f t="shared" si="4"/>
        <v>1</v>
      </c>
      <c r="V12" s="17">
        <f t="shared" si="5"/>
        <v>34</v>
      </c>
      <c r="W12" s="14">
        <f t="shared" si="6"/>
        <v>4</v>
      </c>
      <c r="X12" s="17">
        <f t="shared" si="7"/>
        <v>465.63</v>
      </c>
    </row>
    <row r="13" spans="1:24" x14ac:dyDescent="0.25">
      <c r="A13" s="14" t="s">
        <v>55</v>
      </c>
      <c r="B13" s="14" t="s">
        <v>492</v>
      </c>
      <c r="C13" s="14" t="s">
        <v>493</v>
      </c>
      <c r="D13" s="14" t="s">
        <v>73</v>
      </c>
      <c r="E13" s="14">
        <v>0</v>
      </c>
      <c r="F13" s="14">
        <v>0</v>
      </c>
      <c r="G13" s="14">
        <v>0</v>
      </c>
      <c r="H13" s="14">
        <v>0</v>
      </c>
      <c r="I13" s="14">
        <v>1</v>
      </c>
      <c r="J13" s="17">
        <v>0</v>
      </c>
      <c r="K13" s="14">
        <v>0</v>
      </c>
      <c r="L13" s="17">
        <v>0</v>
      </c>
      <c r="M13" s="14" t="s">
        <v>86</v>
      </c>
      <c r="P13" s="14" t="str">
        <f>Setup!$A$14</f>
        <v>Expert 10</v>
      </c>
      <c r="Q13" s="14">
        <f t="shared" si="0"/>
        <v>0</v>
      </c>
      <c r="R13" s="14">
        <f t="shared" si="1"/>
        <v>1</v>
      </c>
      <c r="S13" s="14">
        <f t="shared" si="2"/>
        <v>0</v>
      </c>
      <c r="T13" s="14">
        <f t="shared" si="3"/>
        <v>0</v>
      </c>
      <c r="U13" s="14">
        <f t="shared" si="4"/>
        <v>0</v>
      </c>
      <c r="V13" s="17">
        <f t="shared" si="5"/>
        <v>0</v>
      </c>
      <c r="W13" s="14">
        <f t="shared" si="6"/>
        <v>1</v>
      </c>
      <c r="X13" s="17">
        <f t="shared" si="7"/>
        <v>0</v>
      </c>
    </row>
    <row r="14" spans="1:24" x14ac:dyDescent="0.25">
      <c r="A14" s="14" t="s">
        <v>61</v>
      </c>
      <c r="B14" s="14" t="s">
        <v>494</v>
      </c>
      <c r="C14" s="14" t="s">
        <v>495</v>
      </c>
      <c r="D14" s="14" t="s">
        <v>72</v>
      </c>
      <c r="E14" s="14">
        <v>0</v>
      </c>
      <c r="F14" s="14">
        <v>0</v>
      </c>
      <c r="G14" s="14">
        <v>0</v>
      </c>
      <c r="H14" s="14">
        <v>1</v>
      </c>
      <c r="I14" s="14">
        <v>1</v>
      </c>
      <c r="J14" s="17">
        <v>0</v>
      </c>
      <c r="K14" s="14">
        <v>0</v>
      </c>
      <c r="L14" s="17">
        <v>0</v>
      </c>
      <c r="M14" s="14" t="s">
        <v>86</v>
      </c>
      <c r="P14" s="14" t="str">
        <f>Setup!$A$15</f>
        <v>Expert 11</v>
      </c>
      <c r="Q14" s="14">
        <f t="shared" si="0"/>
        <v>2</v>
      </c>
      <c r="R14" s="14">
        <f t="shared" si="1"/>
        <v>2</v>
      </c>
      <c r="S14" s="14">
        <f t="shared" si="2"/>
        <v>0</v>
      </c>
      <c r="T14" s="14">
        <f t="shared" si="3"/>
        <v>0</v>
      </c>
      <c r="U14" s="14">
        <f t="shared" si="4"/>
        <v>0</v>
      </c>
      <c r="V14" s="17">
        <f t="shared" si="5"/>
        <v>66</v>
      </c>
      <c r="W14" s="14">
        <f t="shared" si="6"/>
        <v>3</v>
      </c>
      <c r="X14" s="17">
        <f t="shared" si="7"/>
        <v>394</v>
      </c>
    </row>
    <row r="15" spans="1:24" x14ac:dyDescent="0.25">
      <c r="A15" s="14" t="s">
        <v>53</v>
      </c>
      <c r="B15" s="14" t="s">
        <v>496</v>
      </c>
      <c r="C15" s="14" t="s">
        <v>497</v>
      </c>
      <c r="D15" s="14" t="s">
        <v>74</v>
      </c>
      <c r="E15" s="14">
        <v>1</v>
      </c>
      <c r="F15" s="14">
        <v>0</v>
      </c>
      <c r="G15" s="14">
        <v>0</v>
      </c>
      <c r="H15" s="14">
        <v>0</v>
      </c>
      <c r="I15" s="14">
        <v>0</v>
      </c>
      <c r="J15" s="17">
        <v>15</v>
      </c>
      <c r="K15" s="14">
        <v>0</v>
      </c>
      <c r="L15" s="17">
        <v>52.74</v>
      </c>
      <c r="M15" s="14" t="s">
        <v>86</v>
      </c>
      <c r="P15" s="14" t="str">
        <f>Setup!$A$16</f>
        <v>Expert 12</v>
      </c>
      <c r="Q15" s="14">
        <f t="shared" si="0"/>
        <v>3</v>
      </c>
      <c r="R15" s="14">
        <f t="shared" si="1"/>
        <v>2</v>
      </c>
      <c r="S15" s="14">
        <f t="shared" si="2"/>
        <v>0</v>
      </c>
      <c r="T15" s="14">
        <f t="shared" si="3"/>
        <v>1</v>
      </c>
      <c r="U15" s="14">
        <f t="shared" si="4"/>
        <v>2</v>
      </c>
      <c r="V15" s="17">
        <f t="shared" si="5"/>
        <v>78</v>
      </c>
      <c r="W15" s="14">
        <f t="shared" si="6"/>
        <v>5</v>
      </c>
      <c r="X15" s="17">
        <f t="shared" si="7"/>
        <v>457.81</v>
      </c>
    </row>
    <row r="16" spans="1:24" x14ac:dyDescent="0.25">
      <c r="A16" s="14" t="s">
        <v>55</v>
      </c>
      <c r="B16" s="14" t="s">
        <v>498</v>
      </c>
      <c r="C16" s="14" t="s">
        <v>499</v>
      </c>
      <c r="D16" s="14" t="s">
        <v>48</v>
      </c>
      <c r="E16" s="14">
        <v>1</v>
      </c>
      <c r="F16" s="14">
        <v>0</v>
      </c>
      <c r="G16" s="14">
        <v>0</v>
      </c>
      <c r="H16" s="14">
        <v>0</v>
      </c>
      <c r="I16" s="14">
        <v>0</v>
      </c>
      <c r="J16" s="17">
        <v>0</v>
      </c>
      <c r="K16" s="14">
        <v>1</v>
      </c>
      <c r="L16" s="17">
        <v>134.58000000000001</v>
      </c>
      <c r="M16" s="14" t="s">
        <v>86</v>
      </c>
      <c r="P16" s="18" t="s">
        <v>111</v>
      </c>
      <c r="Q16" s="19">
        <f t="shared" ref="Q16:X16" si="8">SUM(Q4:Q15)</f>
        <v>18</v>
      </c>
      <c r="R16" s="19">
        <f t="shared" si="8"/>
        <v>7</v>
      </c>
      <c r="S16" s="19">
        <f t="shared" si="8"/>
        <v>0</v>
      </c>
      <c r="T16" s="19">
        <f t="shared" si="8"/>
        <v>2</v>
      </c>
      <c r="U16" s="19">
        <f t="shared" si="8"/>
        <v>3</v>
      </c>
      <c r="V16" s="20">
        <f t="shared" si="8"/>
        <v>306</v>
      </c>
      <c r="W16" s="19">
        <f t="shared" si="8"/>
        <v>25</v>
      </c>
      <c r="X16" s="20">
        <f t="shared" si="8"/>
        <v>1664.23</v>
      </c>
    </row>
    <row r="17" spans="1:13" x14ac:dyDescent="0.25">
      <c r="A17" s="14" t="s">
        <v>41</v>
      </c>
      <c r="B17" s="14" t="s">
        <v>500</v>
      </c>
      <c r="C17" s="14" t="s">
        <v>501</v>
      </c>
      <c r="D17" s="14" t="s">
        <v>44</v>
      </c>
      <c r="E17" s="14">
        <v>1</v>
      </c>
      <c r="F17" s="14">
        <v>0</v>
      </c>
      <c r="G17" s="14">
        <v>0</v>
      </c>
      <c r="H17" s="14">
        <v>0</v>
      </c>
      <c r="I17" s="14">
        <v>0</v>
      </c>
      <c r="J17" s="17">
        <v>0</v>
      </c>
      <c r="K17" s="14">
        <v>1</v>
      </c>
      <c r="L17" s="17">
        <v>0</v>
      </c>
      <c r="M17" s="14" t="s">
        <v>86</v>
      </c>
    </row>
    <row r="18" spans="1:13" x14ac:dyDescent="0.25">
      <c r="A18" s="14" t="s">
        <v>61</v>
      </c>
      <c r="B18" s="14" t="s">
        <v>502</v>
      </c>
      <c r="C18" s="14" t="s">
        <v>503</v>
      </c>
      <c r="D18" s="14" t="s">
        <v>56</v>
      </c>
      <c r="E18" s="14">
        <v>1</v>
      </c>
      <c r="F18" s="14">
        <v>0</v>
      </c>
      <c r="G18" s="14">
        <v>0</v>
      </c>
      <c r="H18" s="14">
        <v>0</v>
      </c>
      <c r="I18" s="14">
        <v>0</v>
      </c>
      <c r="J18" s="17">
        <v>0</v>
      </c>
      <c r="K18" s="14">
        <v>1</v>
      </c>
      <c r="L18" s="17">
        <v>0</v>
      </c>
      <c r="M18" s="14" t="s">
        <v>86</v>
      </c>
    </row>
    <row r="19" spans="1:13" x14ac:dyDescent="0.25">
      <c r="A19" s="14" t="s">
        <v>59</v>
      </c>
      <c r="B19" s="14" t="s">
        <v>504</v>
      </c>
      <c r="C19" s="14" t="s">
        <v>505</v>
      </c>
      <c r="D19" s="14" t="s">
        <v>76</v>
      </c>
      <c r="E19" s="14">
        <v>0</v>
      </c>
      <c r="F19" s="14">
        <v>1</v>
      </c>
      <c r="G19" s="14">
        <v>0</v>
      </c>
      <c r="H19" s="14">
        <v>0</v>
      </c>
      <c r="I19" s="14">
        <v>0</v>
      </c>
      <c r="J19" s="17">
        <v>18</v>
      </c>
      <c r="K19" s="14">
        <v>0</v>
      </c>
      <c r="L19" s="17">
        <v>112.79</v>
      </c>
      <c r="M19" s="14" t="s">
        <v>86</v>
      </c>
    </row>
    <row r="20" spans="1:13" x14ac:dyDescent="0.25">
      <c r="A20" s="14" t="s">
        <v>51</v>
      </c>
      <c r="B20" s="14" t="s">
        <v>506</v>
      </c>
      <c r="C20" s="14" t="s">
        <v>507</v>
      </c>
      <c r="D20" s="14" t="s">
        <v>76</v>
      </c>
      <c r="E20" s="14">
        <v>0</v>
      </c>
      <c r="F20" s="14">
        <v>0</v>
      </c>
      <c r="G20" s="14">
        <v>0</v>
      </c>
      <c r="H20" s="14">
        <v>0</v>
      </c>
      <c r="I20" s="14">
        <v>0</v>
      </c>
      <c r="J20" s="17">
        <v>16</v>
      </c>
      <c r="K20" s="14">
        <v>0</v>
      </c>
      <c r="L20" s="17">
        <v>0</v>
      </c>
      <c r="M20" s="14" t="s">
        <v>86</v>
      </c>
    </row>
    <row r="21" spans="1:13" x14ac:dyDescent="0.25">
      <c r="A21" s="14" t="s">
        <v>59</v>
      </c>
      <c r="B21" s="14" t="s">
        <v>508</v>
      </c>
      <c r="C21" s="14" t="s">
        <v>509</v>
      </c>
      <c r="D21" s="14" t="s">
        <v>68</v>
      </c>
      <c r="E21" s="14">
        <v>1</v>
      </c>
      <c r="F21" s="14">
        <v>0</v>
      </c>
      <c r="G21" s="14">
        <v>0</v>
      </c>
      <c r="H21" s="14">
        <v>0</v>
      </c>
      <c r="I21" s="14">
        <v>0</v>
      </c>
      <c r="J21" s="17">
        <v>33</v>
      </c>
      <c r="K21" s="14">
        <v>1</v>
      </c>
      <c r="L21" s="17">
        <v>99.94</v>
      </c>
      <c r="M21" s="14" t="s">
        <v>86</v>
      </c>
    </row>
    <row r="22" spans="1:13" x14ac:dyDescent="0.25">
      <c r="A22" s="14" t="s">
        <v>39</v>
      </c>
      <c r="B22" s="14" t="s">
        <v>510</v>
      </c>
      <c r="C22" s="14" t="s">
        <v>511</v>
      </c>
      <c r="D22" s="14" t="s">
        <v>44</v>
      </c>
      <c r="E22" s="14">
        <v>1</v>
      </c>
      <c r="F22" s="14">
        <v>0</v>
      </c>
      <c r="G22" s="14">
        <v>0</v>
      </c>
      <c r="H22" s="14">
        <v>1</v>
      </c>
      <c r="I22" s="14">
        <v>0</v>
      </c>
      <c r="J22" s="17">
        <v>0</v>
      </c>
      <c r="K22" s="14">
        <v>1</v>
      </c>
      <c r="L22" s="17">
        <v>69.89</v>
      </c>
      <c r="M22" s="14" t="s">
        <v>86</v>
      </c>
    </row>
    <row r="23" spans="1:13" x14ac:dyDescent="0.25">
      <c r="A23" s="14" t="s">
        <v>49</v>
      </c>
      <c r="B23" s="14" t="s">
        <v>512</v>
      </c>
      <c r="C23" s="14" t="s">
        <v>513</v>
      </c>
      <c r="D23" s="14" t="s">
        <v>42</v>
      </c>
      <c r="E23" s="14">
        <v>1</v>
      </c>
      <c r="F23" s="14">
        <v>0</v>
      </c>
      <c r="G23" s="14">
        <v>0</v>
      </c>
      <c r="H23" s="14">
        <v>0</v>
      </c>
      <c r="I23" s="14">
        <v>0</v>
      </c>
      <c r="J23" s="17">
        <v>0</v>
      </c>
      <c r="K23" s="14">
        <v>1</v>
      </c>
      <c r="L23" s="17">
        <v>0</v>
      </c>
      <c r="M23" s="14" t="s">
        <v>86</v>
      </c>
    </row>
    <row r="24" spans="1:13" x14ac:dyDescent="0.25">
      <c r="A24" s="14" t="s">
        <v>53</v>
      </c>
      <c r="B24" s="14" t="s">
        <v>514</v>
      </c>
      <c r="C24" s="14" t="s">
        <v>515</v>
      </c>
      <c r="D24" s="14" t="s">
        <v>65</v>
      </c>
      <c r="E24" s="14">
        <v>1</v>
      </c>
      <c r="F24" s="14">
        <v>0</v>
      </c>
      <c r="G24" s="14">
        <v>0</v>
      </c>
      <c r="H24" s="14">
        <v>0</v>
      </c>
      <c r="I24" s="14">
        <v>0</v>
      </c>
      <c r="J24" s="17">
        <v>0</v>
      </c>
      <c r="K24" s="14">
        <v>1</v>
      </c>
      <c r="L24" s="17">
        <v>0</v>
      </c>
      <c r="M24" s="14" t="s">
        <v>86</v>
      </c>
    </row>
    <row r="25" spans="1:13" x14ac:dyDescent="0.25">
      <c r="A25" s="14" t="s">
        <v>55</v>
      </c>
      <c r="B25" s="14" t="s">
        <v>516</v>
      </c>
      <c r="C25" s="14" t="s">
        <v>517</v>
      </c>
      <c r="D25" s="14" t="s">
        <v>42</v>
      </c>
      <c r="E25" s="14">
        <v>1</v>
      </c>
      <c r="F25" s="14">
        <v>0</v>
      </c>
      <c r="G25" s="14">
        <v>0</v>
      </c>
      <c r="H25" s="14">
        <v>0</v>
      </c>
      <c r="I25" s="14">
        <v>0</v>
      </c>
      <c r="J25" s="17">
        <v>0</v>
      </c>
      <c r="K25" s="14">
        <v>1</v>
      </c>
      <c r="L25" s="17">
        <v>157.24</v>
      </c>
      <c r="M25" s="14" t="s">
        <v>86</v>
      </c>
    </row>
    <row r="26" spans="1:13" x14ac:dyDescent="0.25">
      <c r="A26" s="14" t="s">
        <v>53</v>
      </c>
      <c r="B26" s="14" t="s">
        <v>518</v>
      </c>
      <c r="C26" s="14" t="s">
        <v>519</v>
      </c>
      <c r="D26" s="14" t="s">
        <v>62</v>
      </c>
      <c r="E26" s="14">
        <v>0</v>
      </c>
      <c r="F26" s="14">
        <v>1</v>
      </c>
      <c r="G26" s="14">
        <v>0</v>
      </c>
      <c r="H26" s="14">
        <v>0</v>
      </c>
      <c r="I26" s="14">
        <v>0</v>
      </c>
      <c r="J26" s="17">
        <v>0</v>
      </c>
      <c r="K26" s="14">
        <v>1</v>
      </c>
      <c r="L26" s="17">
        <v>164.27</v>
      </c>
      <c r="M26" s="14" t="s">
        <v>86</v>
      </c>
    </row>
    <row r="27" spans="1:13" x14ac:dyDescent="0.25">
      <c r="A27" s="14" t="s">
        <v>61</v>
      </c>
      <c r="B27" s="14" t="s">
        <v>520</v>
      </c>
      <c r="C27" s="14" t="s">
        <v>521</v>
      </c>
      <c r="D27" s="14" t="s">
        <v>50</v>
      </c>
      <c r="E27" s="14">
        <v>1</v>
      </c>
      <c r="F27" s="14">
        <v>0</v>
      </c>
      <c r="G27" s="14">
        <v>0</v>
      </c>
      <c r="H27" s="14">
        <v>0</v>
      </c>
      <c r="I27" s="14">
        <v>0</v>
      </c>
      <c r="J27" s="17">
        <v>24</v>
      </c>
      <c r="K27" s="14">
        <v>1</v>
      </c>
      <c r="L27" s="17">
        <v>95.64</v>
      </c>
      <c r="M27" s="14" t="s">
        <v>86</v>
      </c>
    </row>
    <row r="28" spans="1:13" x14ac:dyDescent="0.25">
      <c r="A28" s="14" t="s">
        <v>59</v>
      </c>
      <c r="B28" s="14" t="s">
        <v>522</v>
      </c>
      <c r="C28" s="14" t="s">
        <v>523</v>
      </c>
      <c r="D28" s="14" t="s">
        <v>42</v>
      </c>
      <c r="E28" s="14">
        <v>1</v>
      </c>
      <c r="F28" s="14">
        <v>0</v>
      </c>
      <c r="G28" s="14">
        <v>0</v>
      </c>
      <c r="H28" s="14">
        <v>0</v>
      </c>
      <c r="I28" s="14">
        <v>0</v>
      </c>
      <c r="J28" s="17">
        <v>15</v>
      </c>
      <c r="K28" s="14">
        <v>1</v>
      </c>
      <c r="L28" s="17">
        <v>159.83000000000001</v>
      </c>
      <c r="M28" s="14" t="s">
        <v>86</v>
      </c>
    </row>
    <row r="29" spans="1:13" x14ac:dyDescent="0.25">
      <c r="A29" s="14" t="s">
        <v>61</v>
      </c>
      <c r="B29" s="14" t="s">
        <v>524</v>
      </c>
      <c r="C29" s="14" t="s">
        <v>525</v>
      </c>
      <c r="D29" s="14" t="s">
        <v>76</v>
      </c>
      <c r="E29" s="14">
        <v>0</v>
      </c>
      <c r="F29" s="14">
        <v>0</v>
      </c>
      <c r="G29" s="14">
        <v>0</v>
      </c>
      <c r="H29" s="14">
        <v>0</v>
      </c>
      <c r="I29" s="14">
        <v>0</v>
      </c>
      <c r="J29" s="17">
        <v>18</v>
      </c>
      <c r="K29" s="14">
        <v>0</v>
      </c>
      <c r="L29" s="17">
        <v>67.31</v>
      </c>
      <c r="M29" s="14" t="s">
        <v>86</v>
      </c>
    </row>
    <row r="30" spans="1:13" x14ac:dyDescent="0.25">
      <c r="A30" s="14" t="s">
        <v>55</v>
      </c>
      <c r="B30" s="14" t="s">
        <v>526</v>
      </c>
      <c r="C30" s="14" t="s">
        <v>527</v>
      </c>
      <c r="D30" s="14" t="s">
        <v>52</v>
      </c>
      <c r="E30" s="14">
        <v>0</v>
      </c>
      <c r="F30" s="14">
        <v>0</v>
      </c>
      <c r="G30" s="14">
        <v>0</v>
      </c>
      <c r="H30" s="14">
        <v>0</v>
      </c>
      <c r="I30" s="14">
        <v>0</v>
      </c>
      <c r="J30" s="17">
        <v>16</v>
      </c>
      <c r="K30" s="14">
        <v>1</v>
      </c>
      <c r="L30" s="17">
        <v>0</v>
      </c>
      <c r="M30" s="14" t="s">
        <v>86</v>
      </c>
    </row>
    <row r="31" spans="1:13" x14ac:dyDescent="0.25">
      <c r="A31" s="14" t="s">
        <v>61</v>
      </c>
      <c r="B31" s="14" t="s">
        <v>528</v>
      </c>
      <c r="C31" s="14" t="s">
        <v>529</v>
      </c>
      <c r="D31" s="14" t="s">
        <v>72</v>
      </c>
      <c r="E31" s="14">
        <v>0</v>
      </c>
      <c r="F31" s="14">
        <v>0</v>
      </c>
      <c r="G31" s="14">
        <v>0</v>
      </c>
      <c r="H31" s="14">
        <v>0</v>
      </c>
      <c r="I31" s="14">
        <v>1</v>
      </c>
      <c r="J31" s="17">
        <v>18</v>
      </c>
      <c r="K31" s="14">
        <v>0</v>
      </c>
      <c r="L31" s="17">
        <v>0</v>
      </c>
      <c r="M31" s="14" t="s">
        <v>86</v>
      </c>
    </row>
    <row r="32" spans="1:13" x14ac:dyDescent="0.25">
      <c r="A32" s="14" t="s">
        <v>53</v>
      </c>
      <c r="B32" s="14" t="s">
        <v>530</v>
      </c>
      <c r="C32" s="14" t="s">
        <v>531</v>
      </c>
      <c r="D32" s="14" t="s">
        <v>65</v>
      </c>
      <c r="E32" s="14">
        <v>1</v>
      </c>
      <c r="F32" s="14">
        <v>0</v>
      </c>
      <c r="G32" s="14">
        <v>0</v>
      </c>
      <c r="H32" s="14">
        <v>0</v>
      </c>
      <c r="I32" s="14">
        <v>0</v>
      </c>
      <c r="J32" s="17">
        <v>0</v>
      </c>
      <c r="K32" s="14">
        <v>1</v>
      </c>
      <c r="L32" s="17">
        <v>0</v>
      </c>
      <c r="M32" s="14" t="s">
        <v>86</v>
      </c>
    </row>
    <row r="33" spans="1:13" x14ac:dyDescent="0.25">
      <c r="A33" s="14" t="s">
        <v>43</v>
      </c>
      <c r="B33" s="14" t="s">
        <v>532</v>
      </c>
      <c r="C33" s="14" t="s">
        <v>533</v>
      </c>
      <c r="D33" s="14" t="s">
        <v>63</v>
      </c>
      <c r="E33" s="14">
        <v>1</v>
      </c>
      <c r="F33" s="14">
        <v>0</v>
      </c>
      <c r="G33" s="14">
        <v>0</v>
      </c>
      <c r="H33" s="14">
        <v>0</v>
      </c>
      <c r="I33" s="14">
        <v>0</v>
      </c>
      <c r="J33" s="17">
        <v>24</v>
      </c>
      <c r="K33" s="14">
        <v>1</v>
      </c>
      <c r="L33" s="17">
        <v>0</v>
      </c>
      <c r="M33" s="14" t="s">
        <v>86</v>
      </c>
    </row>
    <row r="34" spans="1:13" x14ac:dyDescent="0.25">
      <c r="A34" s="14" t="s">
        <v>43</v>
      </c>
      <c r="B34" s="14" t="s">
        <v>534</v>
      </c>
      <c r="C34" s="14" t="s">
        <v>535</v>
      </c>
      <c r="D34" s="14" t="s">
        <v>58</v>
      </c>
      <c r="E34" s="14">
        <v>0</v>
      </c>
      <c r="F34" s="14">
        <v>0</v>
      </c>
      <c r="G34" s="14">
        <v>0</v>
      </c>
      <c r="H34" s="14">
        <v>0</v>
      </c>
      <c r="I34" s="14">
        <v>0</v>
      </c>
      <c r="J34" s="17">
        <v>24</v>
      </c>
      <c r="K34" s="14">
        <v>1</v>
      </c>
      <c r="L34" s="17">
        <v>0</v>
      </c>
      <c r="M34" s="14" t="s">
        <v>86</v>
      </c>
    </row>
    <row r="35" spans="1:13" x14ac:dyDescent="0.25">
      <c r="A35" s="14" t="s">
        <v>61</v>
      </c>
      <c r="B35" s="14" t="s">
        <v>536</v>
      </c>
      <c r="C35" s="14" t="s">
        <v>537</v>
      </c>
      <c r="D35" s="14" t="s">
        <v>63</v>
      </c>
      <c r="E35" s="14">
        <v>0</v>
      </c>
      <c r="F35" s="14">
        <v>1</v>
      </c>
      <c r="G35" s="14">
        <v>0</v>
      </c>
      <c r="H35" s="14">
        <v>0</v>
      </c>
      <c r="I35" s="14">
        <v>0</v>
      </c>
      <c r="J35" s="17">
        <v>0</v>
      </c>
      <c r="K35" s="14">
        <v>1</v>
      </c>
      <c r="L35" s="17">
        <v>32.869999999999997</v>
      </c>
      <c r="M35" s="14" t="s">
        <v>86</v>
      </c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7"/>
      <c r="K36" s="14"/>
      <c r="L36" s="17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7"/>
      <c r="K37" s="14"/>
      <c r="L37" s="17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7"/>
      <c r="K38" s="14"/>
      <c r="L38" s="17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7"/>
      <c r="K39" s="14"/>
      <c r="L39" s="17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7"/>
      <c r="K40" s="14"/>
      <c r="L40" s="17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7"/>
      <c r="K41" s="14"/>
      <c r="L41" s="17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7"/>
      <c r="K42" s="14"/>
      <c r="L42" s="17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7"/>
      <c r="K43" s="14"/>
      <c r="L43" s="17"/>
      <c r="M43" s="14"/>
    </row>
  </sheetData>
  <mergeCells count="2">
    <mergeCell ref="A2:M2"/>
    <mergeCell ref="A1:M1"/>
  </mergeCells>
  <dataValidations count="1">
    <dataValidation type="list" allowBlank="1" sqref="M4:M43" xr:uid="{00000000-0002-0000-0C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C00-000000000000}">
          <x14:formula1>
            <xm:f>Setup!$A$5:$A$16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0C00-000001000000}">
          <x14:formula1>
            <xm:f>Setup!$C$5:$C$30</xm:f>
          </x14:formula1>
          <xm:sqref>D4:D43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4" t="s">
        <v>538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</row>
    <row r="2" spans="1:24" ht="21.95" customHeight="1" x14ac:dyDescent="0.25">
      <c r="A2" s="43" t="s">
        <v>19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</row>
    <row r="3" spans="1:24" x14ac:dyDescent="0.25">
      <c r="A3" s="12" t="s">
        <v>79</v>
      </c>
      <c r="B3" s="12" t="s">
        <v>80</v>
      </c>
      <c r="C3" s="12" t="s">
        <v>81</v>
      </c>
      <c r="D3" s="12" t="s">
        <v>82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83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59</v>
      </c>
      <c r="B4" s="14" t="s">
        <v>539</v>
      </c>
      <c r="C4" s="14" t="s">
        <v>540</v>
      </c>
      <c r="D4" s="14" t="s">
        <v>76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7">
        <v>0</v>
      </c>
      <c r="K4" s="14">
        <v>0</v>
      </c>
      <c r="L4" s="17">
        <v>0</v>
      </c>
      <c r="M4" s="14" t="s">
        <v>86</v>
      </c>
      <c r="P4" s="14" t="str">
        <f>Setup!$A$5</f>
        <v>Expert 01</v>
      </c>
      <c r="Q4" s="14">
        <f t="shared" ref="Q4:Q15" si="0">SUMIF($A$4:$A$43,$P4,E$4:E$43)</f>
        <v>0</v>
      </c>
      <c r="R4" s="14">
        <f t="shared" ref="R4:R15" si="1">SUMIF($A$4:$A$43,$P4,F$4:F$43)</f>
        <v>0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7">
        <f t="shared" ref="V4:V15" si="5">SUMIF($A$4:$A$43,$P4,J$4:J$43)</f>
        <v>0</v>
      </c>
      <c r="W4" s="14">
        <f t="shared" ref="W4:W15" si="6">SUMIF($A$4:$A$43,$P4,K$4:K$43)</f>
        <v>0</v>
      </c>
      <c r="X4" s="17">
        <f t="shared" ref="X4:X15" si="7">SUMIF($A$4:$A$43,$P4,L$4:L$43)</f>
        <v>0</v>
      </c>
    </row>
    <row r="5" spans="1:24" x14ac:dyDescent="0.25">
      <c r="A5" s="14" t="s">
        <v>55</v>
      </c>
      <c r="B5" s="14" t="s">
        <v>541</v>
      </c>
      <c r="C5" s="14" t="s">
        <v>542</v>
      </c>
      <c r="D5" s="14" t="s">
        <v>72</v>
      </c>
      <c r="E5" s="14">
        <v>0</v>
      </c>
      <c r="F5" s="14">
        <v>0</v>
      </c>
      <c r="G5" s="14">
        <v>0</v>
      </c>
      <c r="H5" s="14">
        <v>0</v>
      </c>
      <c r="I5" s="14">
        <v>1</v>
      </c>
      <c r="J5" s="17">
        <v>24</v>
      </c>
      <c r="K5" s="14">
        <v>0</v>
      </c>
      <c r="L5" s="17">
        <v>29.67</v>
      </c>
      <c r="M5" s="14" t="s">
        <v>212</v>
      </c>
      <c r="P5" s="14" t="str">
        <f>Setup!$A$6</f>
        <v>Expert 02</v>
      </c>
      <c r="Q5" s="14">
        <f t="shared" si="0"/>
        <v>5</v>
      </c>
      <c r="R5" s="14">
        <f t="shared" si="1"/>
        <v>0</v>
      </c>
      <c r="S5" s="14">
        <f t="shared" si="2"/>
        <v>0</v>
      </c>
      <c r="T5" s="14">
        <f t="shared" si="3"/>
        <v>1</v>
      </c>
      <c r="U5" s="14">
        <f t="shared" si="4"/>
        <v>1</v>
      </c>
      <c r="V5" s="17">
        <f t="shared" si="5"/>
        <v>117</v>
      </c>
      <c r="W5" s="14">
        <f t="shared" si="6"/>
        <v>6</v>
      </c>
      <c r="X5" s="17">
        <f t="shared" si="7"/>
        <v>267.71999999999997</v>
      </c>
    </row>
    <row r="6" spans="1:24" x14ac:dyDescent="0.25">
      <c r="A6" s="14" t="s">
        <v>53</v>
      </c>
      <c r="B6" s="14" t="s">
        <v>543</v>
      </c>
      <c r="C6" s="14" t="s">
        <v>544</v>
      </c>
      <c r="D6" s="14" t="s">
        <v>66</v>
      </c>
      <c r="E6" s="14">
        <v>1</v>
      </c>
      <c r="F6" s="14">
        <v>0</v>
      </c>
      <c r="G6" s="14">
        <v>0</v>
      </c>
      <c r="H6" s="14">
        <v>0</v>
      </c>
      <c r="I6" s="14">
        <v>0</v>
      </c>
      <c r="J6" s="17">
        <v>18</v>
      </c>
      <c r="K6" s="14">
        <v>1</v>
      </c>
      <c r="L6" s="17">
        <v>0</v>
      </c>
      <c r="M6" s="14" t="s">
        <v>86</v>
      </c>
      <c r="P6" s="14" t="str">
        <f>Setup!$A$7</f>
        <v>Expert 03</v>
      </c>
      <c r="Q6" s="14">
        <f t="shared" si="0"/>
        <v>1</v>
      </c>
      <c r="R6" s="14">
        <f t="shared" si="1"/>
        <v>0</v>
      </c>
      <c r="S6" s="14">
        <f t="shared" si="2"/>
        <v>0</v>
      </c>
      <c r="T6" s="14">
        <f t="shared" si="3"/>
        <v>0</v>
      </c>
      <c r="U6" s="14">
        <f t="shared" si="4"/>
        <v>0</v>
      </c>
      <c r="V6" s="17">
        <f t="shared" si="5"/>
        <v>57</v>
      </c>
      <c r="W6" s="14">
        <f t="shared" si="6"/>
        <v>2</v>
      </c>
      <c r="X6" s="17">
        <f t="shared" si="7"/>
        <v>82.35</v>
      </c>
    </row>
    <row r="7" spans="1:24" x14ac:dyDescent="0.25">
      <c r="A7" s="14" t="s">
        <v>41</v>
      </c>
      <c r="B7" s="14" t="s">
        <v>545</v>
      </c>
      <c r="C7" s="14" t="s">
        <v>546</v>
      </c>
      <c r="D7" s="14" t="s">
        <v>50</v>
      </c>
      <c r="E7" s="14">
        <v>1</v>
      </c>
      <c r="F7" s="14">
        <v>0</v>
      </c>
      <c r="G7" s="14">
        <v>0</v>
      </c>
      <c r="H7" s="14">
        <v>0</v>
      </c>
      <c r="I7" s="14">
        <v>0</v>
      </c>
      <c r="J7" s="17">
        <v>18</v>
      </c>
      <c r="K7" s="14">
        <v>1</v>
      </c>
      <c r="L7" s="17">
        <v>129.91999999999999</v>
      </c>
      <c r="M7" s="14" t="s">
        <v>212</v>
      </c>
      <c r="P7" s="14" t="str">
        <f>Setup!$A$8</f>
        <v>Expert 04</v>
      </c>
      <c r="Q7" s="14">
        <f t="shared" si="0"/>
        <v>0</v>
      </c>
      <c r="R7" s="14">
        <f t="shared" si="1"/>
        <v>0</v>
      </c>
      <c r="S7" s="14">
        <f t="shared" si="2"/>
        <v>0</v>
      </c>
      <c r="T7" s="14">
        <f t="shared" si="3"/>
        <v>0</v>
      </c>
      <c r="U7" s="14">
        <f t="shared" si="4"/>
        <v>0</v>
      </c>
      <c r="V7" s="17">
        <f t="shared" si="5"/>
        <v>0</v>
      </c>
      <c r="W7" s="14">
        <f t="shared" si="6"/>
        <v>0</v>
      </c>
      <c r="X7" s="17">
        <f t="shared" si="7"/>
        <v>0</v>
      </c>
    </row>
    <row r="8" spans="1:24" x14ac:dyDescent="0.25">
      <c r="A8" s="14" t="s">
        <v>49</v>
      </c>
      <c r="B8" s="14" t="s">
        <v>547</v>
      </c>
      <c r="C8" s="14" t="s">
        <v>548</v>
      </c>
      <c r="D8" s="14" t="s">
        <v>46</v>
      </c>
      <c r="E8" s="14">
        <v>0</v>
      </c>
      <c r="F8" s="14">
        <v>1</v>
      </c>
      <c r="G8" s="14">
        <v>0</v>
      </c>
      <c r="H8" s="14">
        <v>0</v>
      </c>
      <c r="I8" s="14">
        <v>0</v>
      </c>
      <c r="J8" s="17">
        <v>24</v>
      </c>
      <c r="K8" s="14">
        <v>1</v>
      </c>
      <c r="L8" s="17">
        <v>155.93</v>
      </c>
      <c r="M8" s="14" t="s">
        <v>86</v>
      </c>
      <c r="P8" s="14" t="str">
        <f>Setup!$A$9</f>
        <v>Expert 05</v>
      </c>
      <c r="Q8" s="14">
        <f t="shared" si="0"/>
        <v>0</v>
      </c>
      <c r="R8" s="14">
        <f t="shared" si="1"/>
        <v>0</v>
      </c>
      <c r="S8" s="14">
        <f t="shared" si="2"/>
        <v>0</v>
      </c>
      <c r="T8" s="14">
        <f t="shared" si="3"/>
        <v>0</v>
      </c>
      <c r="U8" s="14">
        <f t="shared" si="4"/>
        <v>0</v>
      </c>
      <c r="V8" s="17">
        <f t="shared" si="5"/>
        <v>18</v>
      </c>
      <c r="W8" s="14">
        <f t="shared" si="6"/>
        <v>1</v>
      </c>
      <c r="X8" s="17">
        <f t="shared" si="7"/>
        <v>61.4</v>
      </c>
    </row>
    <row r="9" spans="1:24" x14ac:dyDescent="0.25">
      <c r="A9" s="14" t="s">
        <v>59</v>
      </c>
      <c r="B9" s="14" t="s">
        <v>549</v>
      </c>
      <c r="C9" s="14" t="s">
        <v>550</v>
      </c>
      <c r="D9" s="14" t="s">
        <v>40</v>
      </c>
      <c r="E9" s="14">
        <v>1</v>
      </c>
      <c r="F9" s="14">
        <v>0</v>
      </c>
      <c r="G9" s="14">
        <v>0</v>
      </c>
      <c r="H9" s="14">
        <v>0</v>
      </c>
      <c r="I9" s="14">
        <v>0</v>
      </c>
      <c r="J9" s="17">
        <v>24</v>
      </c>
      <c r="K9" s="14">
        <v>1</v>
      </c>
      <c r="L9" s="17">
        <v>153.47</v>
      </c>
      <c r="M9" s="14" t="s">
        <v>212</v>
      </c>
      <c r="P9" s="14" t="str">
        <f>Setup!$A$10</f>
        <v>Expert 06</v>
      </c>
      <c r="Q9" s="14">
        <f t="shared" si="0"/>
        <v>1</v>
      </c>
      <c r="R9" s="14">
        <f t="shared" si="1"/>
        <v>1</v>
      </c>
      <c r="S9" s="14">
        <f t="shared" si="2"/>
        <v>0</v>
      </c>
      <c r="T9" s="14">
        <f t="shared" si="3"/>
        <v>0</v>
      </c>
      <c r="U9" s="14">
        <f t="shared" si="4"/>
        <v>0</v>
      </c>
      <c r="V9" s="17">
        <f t="shared" si="5"/>
        <v>24</v>
      </c>
      <c r="W9" s="14">
        <f t="shared" si="6"/>
        <v>2</v>
      </c>
      <c r="X9" s="17">
        <f t="shared" si="7"/>
        <v>242.86</v>
      </c>
    </row>
    <row r="10" spans="1:24" x14ac:dyDescent="0.25">
      <c r="A10" s="14" t="s">
        <v>51</v>
      </c>
      <c r="B10" s="14" t="s">
        <v>551</v>
      </c>
      <c r="C10" s="14" t="s">
        <v>552</v>
      </c>
      <c r="D10" s="14" t="s">
        <v>66</v>
      </c>
      <c r="E10" s="14">
        <v>0</v>
      </c>
      <c r="F10" s="14">
        <v>0</v>
      </c>
      <c r="G10" s="14">
        <v>0</v>
      </c>
      <c r="H10" s="14">
        <v>1</v>
      </c>
      <c r="I10" s="14">
        <v>0</v>
      </c>
      <c r="J10" s="17">
        <v>15</v>
      </c>
      <c r="K10" s="14">
        <v>1</v>
      </c>
      <c r="L10" s="17">
        <v>176.26</v>
      </c>
      <c r="M10" s="14" t="s">
        <v>86</v>
      </c>
      <c r="P10" s="14" t="str">
        <f>Setup!$A$11</f>
        <v>Expert 07</v>
      </c>
      <c r="Q10" s="14">
        <f t="shared" si="0"/>
        <v>1</v>
      </c>
      <c r="R10" s="14">
        <f t="shared" si="1"/>
        <v>0</v>
      </c>
      <c r="S10" s="14">
        <f t="shared" si="2"/>
        <v>0</v>
      </c>
      <c r="T10" s="14">
        <f t="shared" si="3"/>
        <v>1</v>
      </c>
      <c r="U10" s="14">
        <f t="shared" si="4"/>
        <v>0</v>
      </c>
      <c r="V10" s="17">
        <f t="shared" si="5"/>
        <v>30</v>
      </c>
      <c r="W10" s="14">
        <f t="shared" si="6"/>
        <v>2</v>
      </c>
      <c r="X10" s="17">
        <f t="shared" si="7"/>
        <v>234.6</v>
      </c>
    </row>
    <row r="11" spans="1:24" x14ac:dyDescent="0.25">
      <c r="A11" s="14" t="s">
        <v>41</v>
      </c>
      <c r="B11" s="14" t="s">
        <v>553</v>
      </c>
      <c r="C11" s="14" t="s">
        <v>554</v>
      </c>
      <c r="D11" s="14" t="s">
        <v>40</v>
      </c>
      <c r="E11" s="14">
        <v>0</v>
      </c>
      <c r="F11" s="14">
        <v>0</v>
      </c>
      <c r="G11" s="14">
        <v>0</v>
      </c>
      <c r="H11" s="14">
        <v>1</v>
      </c>
      <c r="I11" s="14">
        <v>0</v>
      </c>
      <c r="J11" s="17">
        <v>0</v>
      </c>
      <c r="K11" s="14">
        <v>1</v>
      </c>
      <c r="L11" s="17">
        <v>90.35</v>
      </c>
      <c r="M11" s="14" t="s">
        <v>86</v>
      </c>
      <c r="P11" s="14" t="str">
        <f>Setup!$A$12</f>
        <v>Expert 08</v>
      </c>
      <c r="Q11" s="14">
        <f t="shared" si="0"/>
        <v>2</v>
      </c>
      <c r="R11" s="14">
        <f t="shared" si="1"/>
        <v>1</v>
      </c>
      <c r="S11" s="14">
        <f t="shared" si="2"/>
        <v>0</v>
      </c>
      <c r="T11" s="14">
        <f t="shared" si="3"/>
        <v>0</v>
      </c>
      <c r="U11" s="14">
        <f t="shared" si="4"/>
        <v>2</v>
      </c>
      <c r="V11" s="17">
        <f t="shared" si="5"/>
        <v>66</v>
      </c>
      <c r="W11" s="14">
        <f t="shared" si="6"/>
        <v>2</v>
      </c>
      <c r="X11" s="17">
        <f t="shared" si="7"/>
        <v>243.19</v>
      </c>
    </row>
    <row r="12" spans="1:24" x14ac:dyDescent="0.25">
      <c r="A12" s="14" t="s">
        <v>55</v>
      </c>
      <c r="B12" s="14" t="s">
        <v>555</v>
      </c>
      <c r="C12" s="14" t="s">
        <v>556</v>
      </c>
      <c r="D12" s="14" t="s">
        <v>72</v>
      </c>
      <c r="E12" s="14">
        <v>0</v>
      </c>
      <c r="F12" s="14">
        <v>0</v>
      </c>
      <c r="G12" s="14">
        <v>0</v>
      </c>
      <c r="H12" s="14">
        <v>1</v>
      </c>
      <c r="I12" s="14">
        <v>1</v>
      </c>
      <c r="J12" s="17">
        <v>15</v>
      </c>
      <c r="K12" s="14">
        <v>0</v>
      </c>
      <c r="L12" s="17">
        <v>156.93</v>
      </c>
      <c r="M12" s="14" t="s">
        <v>86</v>
      </c>
      <c r="P12" s="14" t="str">
        <f>Setup!$A$13</f>
        <v>Expert 09</v>
      </c>
      <c r="Q12" s="14">
        <f t="shared" si="0"/>
        <v>1</v>
      </c>
      <c r="R12" s="14">
        <f t="shared" si="1"/>
        <v>0</v>
      </c>
      <c r="S12" s="14">
        <f t="shared" si="2"/>
        <v>0</v>
      </c>
      <c r="T12" s="14">
        <f t="shared" si="3"/>
        <v>1</v>
      </c>
      <c r="U12" s="14">
        <f t="shared" si="4"/>
        <v>3</v>
      </c>
      <c r="V12" s="17">
        <f t="shared" si="5"/>
        <v>57</v>
      </c>
      <c r="W12" s="14">
        <f t="shared" si="6"/>
        <v>2</v>
      </c>
      <c r="X12" s="17">
        <f t="shared" si="7"/>
        <v>347.38</v>
      </c>
    </row>
    <row r="13" spans="1:24" x14ac:dyDescent="0.25">
      <c r="A13" s="14" t="s">
        <v>53</v>
      </c>
      <c r="B13" s="14" t="s">
        <v>557</v>
      </c>
      <c r="C13" s="14" t="s">
        <v>558</v>
      </c>
      <c r="D13" s="14" t="s">
        <v>73</v>
      </c>
      <c r="E13" s="14">
        <v>0</v>
      </c>
      <c r="F13" s="14">
        <v>1</v>
      </c>
      <c r="G13" s="14">
        <v>0</v>
      </c>
      <c r="H13" s="14">
        <v>0</v>
      </c>
      <c r="I13" s="14">
        <v>1</v>
      </c>
      <c r="J13" s="17">
        <v>15</v>
      </c>
      <c r="K13" s="14">
        <v>0</v>
      </c>
      <c r="L13" s="17">
        <v>68.510000000000005</v>
      </c>
      <c r="M13" s="14" t="s">
        <v>86</v>
      </c>
      <c r="P13" s="14" t="str">
        <f>Setup!$A$14</f>
        <v>Expert 10</v>
      </c>
      <c r="Q13" s="14">
        <f t="shared" si="0"/>
        <v>0</v>
      </c>
      <c r="R13" s="14">
        <f t="shared" si="1"/>
        <v>1</v>
      </c>
      <c r="S13" s="14">
        <f t="shared" si="2"/>
        <v>1</v>
      </c>
      <c r="T13" s="14">
        <f t="shared" si="3"/>
        <v>0</v>
      </c>
      <c r="U13" s="14">
        <f t="shared" si="4"/>
        <v>1</v>
      </c>
      <c r="V13" s="17">
        <f t="shared" si="5"/>
        <v>73</v>
      </c>
      <c r="W13" s="14">
        <f t="shared" si="6"/>
        <v>2</v>
      </c>
      <c r="X13" s="17">
        <f t="shared" si="7"/>
        <v>210.64</v>
      </c>
    </row>
    <row r="14" spans="1:24" x14ac:dyDescent="0.25">
      <c r="A14" s="14" t="s">
        <v>41</v>
      </c>
      <c r="B14" s="14" t="s">
        <v>559</v>
      </c>
      <c r="C14" s="14" t="s">
        <v>560</v>
      </c>
      <c r="D14" s="14" t="s">
        <v>68</v>
      </c>
      <c r="E14" s="14">
        <v>1</v>
      </c>
      <c r="F14" s="14">
        <v>0</v>
      </c>
      <c r="G14" s="14">
        <v>0</v>
      </c>
      <c r="H14" s="14">
        <v>0</v>
      </c>
      <c r="I14" s="14">
        <v>0</v>
      </c>
      <c r="J14" s="17">
        <v>24</v>
      </c>
      <c r="K14" s="14">
        <v>1</v>
      </c>
      <c r="L14" s="17">
        <v>0</v>
      </c>
      <c r="M14" s="14" t="s">
        <v>86</v>
      </c>
      <c r="P14" s="14" t="str">
        <f>Setup!$A$15</f>
        <v>Expert 11</v>
      </c>
      <c r="Q14" s="14">
        <f t="shared" si="0"/>
        <v>1</v>
      </c>
      <c r="R14" s="14">
        <f t="shared" si="1"/>
        <v>0</v>
      </c>
      <c r="S14" s="14">
        <f t="shared" si="2"/>
        <v>0</v>
      </c>
      <c r="T14" s="14">
        <f t="shared" si="3"/>
        <v>0</v>
      </c>
      <c r="U14" s="14">
        <f t="shared" si="4"/>
        <v>0</v>
      </c>
      <c r="V14" s="17">
        <f t="shared" si="5"/>
        <v>24</v>
      </c>
      <c r="W14" s="14">
        <f t="shared" si="6"/>
        <v>1</v>
      </c>
      <c r="X14" s="17">
        <f t="shared" si="7"/>
        <v>153.47</v>
      </c>
    </row>
    <row r="15" spans="1:24" x14ac:dyDescent="0.25">
      <c r="A15" s="14" t="s">
        <v>47</v>
      </c>
      <c r="B15" s="14" t="s">
        <v>561</v>
      </c>
      <c r="C15" s="14" t="s">
        <v>562</v>
      </c>
      <c r="D15" s="14" t="s">
        <v>76</v>
      </c>
      <c r="E15" s="14">
        <v>0</v>
      </c>
      <c r="F15" s="14">
        <v>0</v>
      </c>
      <c r="G15" s="14">
        <v>0</v>
      </c>
      <c r="H15" s="14">
        <v>0</v>
      </c>
      <c r="I15" s="14">
        <v>0</v>
      </c>
      <c r="J15" s="17">
        <v>18</v>
      </c>
      <c r="K15" s="14">
        <v>0</v>
      </c>
      <c r="L15" s="17">
        <v>61.4</v>
      </c>
      <c r="M15" s="14" t="s">
        <v>86</v>
      </c>
      <c r="P15" s="14" t="str">
        <f>Setup!$A$16</f>
        <v>Expert 12</v>
      </c>
      <c r="Q15" s="14">
        <f t="shared" si="0"/>
        <v>0</v>
      </c>
      <c r="R15" s="14">
        <f t="shared" si="1"/>
        <v>2</v>
      </c>
      <c r="S15" s="14">
        <f t="shared" si="2"/>
        <v>1</v>
      </c>
      <c r="T15" s="14">
        <f t="shared" si="3"/>
        <v>0</v>
      </c>
      <c r="U15" s="14">
        <f t="shared" si="4"/>
        <v>0</v>
      </c>
      <c r="V15" s="17">
        <f t="shared" si="5"/>
        <v>34</v>
      </c>
      <c r="W15" s="14">
        <f t="shared" si="6"/>
        <v>4</v>
      </c>
      <c r="X15" s="17">
        <f t="shared" si="7"/>
        <v>266.81</v>
      </c>
    </row>
    <row r="16" spans="1:24" x14ac:dyDescent="0.25">
      <c r="A16" s="14" t="s">
        <v>57</v>
      </c>
      <c r="B16" s="14" t="s">
        <v>563</v>
      </c>
      <c r="C16" s="14" t="s">
        <v>564</v>
      </c>
      <c r="D16" s="14" t="s">
        <v>72</v>
      </c>
      <c r="E16" s="14">
        <v>0</v>
      </c>
      <c r="F16" s="14">
        <v>0</v>
      </c>
      <c r="G16" s="14">
        <v>0</v>
      </c>
      <c r="H16" s="14">
        <v>0</v>
      </c>
      <c r="I16" s="14">
        <v>1</v>
      </c>
      <c r="J16" s="17">
        <v>24</v>
      </c>
      <c r="K16" s="14">
        <v>0</v>
      </c>
      <c r="L16" s="17">
        <v>0</v>
      </c>
      <c r="M16" s="14" t="s">
        <v>86</v>
      </c>
      <c r="P16" s="18" t="s">
        <v>111</v>
      </c>
      <c r="Q16" s="19">
        <f t="shared" ref="Q16:X16" si="8">SUM(Q4:Q15)</f>
        <v>12</v>
      </c>
      <c r="R16" s="19">
        <f t="shared" si="8"/>
        <v>5</v>
      </c>
      <c r="S16" s="19">
        <f t="shared" si="8"/>
        <v>2</v>
      </c>
      <c r="T16" s="19">
        <f t="shared" si="8"/>
        <v>3</v>
      </c>
      <c r="U16" s="19">
        <f t="shared" si="8"/>
        <v>7</v>
      </c>
      <c r="V16" s="20">
        <f t="shared" si="8"/>
        <v>500</v>
      </c>
      <c r="W16" s="19">
        <f t="shared" si="8"/>
        <v>24</v>
      </c>
      <c r="X16" s="20">
        <f t="shared" si="8"/>
        <v>2110.42</v>
      </c>
    </row>
    <row r="17" spans="1:13" x14ac:dyDescent="0.25">
      <c r="A17" s="14" t="s">
        <v>51</v>
      </c>
      <c r="B17" s="14" t="s">
        <v>565</v>
      </c>
      <c r="C17" s="14" t="s">
        <v>566</v>
      </c>
      <c r="D17" s="14" t="s">
        <v>66</v>
      </c>
      <c r="E17" s="14">
        <v>1</v>
      </c>
      <c r="F17" s="14">
        <v>0</v>
      </c>
      <c r="G17" s="14">
        <v>0</v>
      </c>
      <c r="H17" s="14">
        <v>0</v>
      </c>
      <c r="I17" s="14">
        <v>0</v>
      </c>
      <c r="J17" s="17">
        <v>15</v>
      </c>
      <c r="K17" s="14">
        <v>1</v>
      </c>
      <c r="L17" s="17">
        <v>58.34</v>
      </c>
      <c r="M17" s="14" t="s">
        <v>86</v>
      </c>
    </row>
    <row r="18" spans="1:13" x14ac:dyDescent="0.25">
      <c r="A18" s="14" t="s">
        <v>41</v>
      </c>
      <c r="B18" s="14" t="s">
        <v>567</v>
      </c>
      <c r="C18" s="14" t="s">
        <v>568</v>
      </c>
      <c r="D18" s="14" t="s">
        <v>72</v>
      </c>
      <c r="E18" s="14">
        <v>0</v>
      </c>
      <c r="F18" s="14">
        <v>0</v>
      </c>
      <c r="G18" s="14">
        <v>0</v>
      </c>
      <c r="H18" s="14">
        <v>0</v>
      </c>
      <c r="I18" s="14">
        <v>1</v>
      </c>
      <c r="J18" s="17">
        <v>24</v>
      </c>
      <c r="K18" s="14">
        <v>0</v>
      </c>
      <c r="L18" s="17">
        <v>0</v>
      </c>
      <c r="M18" s="14" t="s">
        <v>86</v>
      </c>
    </row>
    <row r="19" spans="1:13" x14ac:dyDescent="0.25">
      <c r="A19" s="14" t="s">
        <v>61</v>
      </c>
      <c r="B19" s="14" t="s">
        <v>569</v>
      </c>
      <c r="C19" s="14" t="s">
        <v>570</v>
      </c>
      <c r="D19" s="14" t="s">
        <v>60</v>
      </c>
      <c r="E19" s="14">
        <v>0</v>
      </c>
      <c r="F19" s="14">
        <v>0</v>
      </c>
      <c r="G19" s="14">
        <v>0</v>
      </c>
      <c r="H19" s="14">
        <v>0</v>
      </c>
      <c r="I19" s="14">
        <v>0</v>
      </c>
      <c r="J19" s="17">
        <v>0</v>
      </c>
      <c r="K19" s="14">
        <v>1</v>
      </c>
      <c r="L19" s="17">
        <v>0</v>
      </c>
      <c r="M19" s="14" t="s">
        <v>86</v>
      </c>
    </row>
    <row r="20" spans="1:13" x14ac:dyDescent="0.25">
      <c r="A20" s="14" t="s">
        <v>57</v>
      </c>
      <c r="B20" s="14" t="s">
        <v>571</v>
      </c>
      <c r="C20" s="14" t="s">
        <v>572</v>
      </c>
      <c r="D20" s="14" t="s">
        <v>64</v>
      </c>
      <c r="E20" s="14">
        <v>0</v>
      </c>
      <c r="F20" s="14">
        <v>1</v>
      </c>
      <c r="G20" s="14">
        <v>1</v>
      </c>
      <c r="H20" s="14">
        <v>0</v>
      </c>
      <c r="I20" s="14">
        <v>0</v>
      </c>
      <c r="J20" s="17">
        <v>33</v>
      </c>
      <c r="K20" s="14">
        <v>1</v>
      </c>
      <c r="L20" s="17">
        <v>73.73</v>
      </c>
      <c r="M20" s="14" t="s">
        <v>86</v>
      </c>
    </row>
    <row r="21" spans="1:13" x14ac:dyDescent="0.25">
      <c r="A21" s="14" t="s">
        <v>61</v>
      </c>
      <c r="B21" s="14" t="s">
        <v>573</v>
      </c>
      <c r="C21" s="14" t="s">
        <v>574</v>
      </c>
      <c r="D21" s="14" t="s">
        <v>40</v>
      </c>
      <c r="E21" s="14">
        <v>0</v>
      </c>
      <c r="F21" s="14">
        <v>1</v>
      </c>
      <c r="G21" s="14">
        <v>1</v>
      </c>
      <c r="H21" s="14">
        <v>0</v>
      </c>
      <c r="I21" s="14">
        <v>0</v>
      </c>
      <c r="J21" s="17">
        <v>18</v>
      </c>
      <c r="K21" s="14">
        <v>1</v>
      </c>
      <c r="L21" s="17">
        <v>177.48</v>
      </c>
      <c r="M21" s="14" t="s">
        <v>86</v>
      </c>
    </row>
    <row r="22" spans="1:13" x14ac:dyDescent="0.25">
      <c r="A22" s="14" t="s">
        <v>55</v>
      </c>
      <c r="B22" s="14" t="s">
        <v>575</v>
      </c>
      <c r="C22" s="14" t="s">
        <v>576</v>
      </c>
      <c r="D22" s="14" t="s">
        <v>62</v>
      </c>
      <c r="E22" s="14">
        <v>0</v>
      </c>
      <c r="F22" s="14">
        <v>0</v>
      </c>
      <c r="G22" s="14">
        <v>0</v>
      </c>
      <c r="H22" s="14">
        <v>0</v>
      </c>
      <c r="I22" s="14">
        <v>0</v>
      </c>
      <c r="J22" s="17">
        <v>18</v>
      </c>
      <c r="K22" s="14">
        <v>1</v>
      </c>
      <c r="L22" s="17">
        <v>0</v>
      </c>
      <c r="M22" s="14" t="s">
        <v>86</v>
      </c>
    </row>
    <row r="23" spans="1:13" x14ac:dyDescent="0.25">
      <c r="A23" s="14" t="s">
        <v>41</v>
      </c>
      <c r="B23" s="14" t="s">
        <v>577</v>
      </c>
      <c r="C23" s="14" t="s">
        <v>578</v>
      </c>
      <c r="D23" s="14" t="s">
        <v>50</v>
      </c>
      <c r="E23" s="14">
        <v>1</v>
      </c>
      <c r="F23" s="14">
        <v>0</v>
      </c>
      <c r="G23" s="14">
        <v>0</v>
      </c>
      <c r="H23" s="14">
        <v>0</v>
      </c>
      <c r="I23" s="14">
        <v>0</v>
      </c>
      <c r="J23" s="17">
        <v>33</v>
      </c>
      <c r="K23" s="14">
        <v>1</v>
      </c>
      <c r="L23" s="17">
        <v>0</v>
      </c>
      <c r="M23" s="14" t="s">
        <v>86</v>
      </c>
    </row>
    <row r="24" spans="1:13" x14ac:dyDescent="0.25">
      <c r="A24" s="14" t="s">
        <v>57</v>
      </c>
      <c r="B24" s="14" t="s">
        <v>579</v>
      </c>
      <c r="C24" s="14" t="s">
        <v>580</v>
      </c>
      <c r="D24" s="14" t="s">
        <v>58</v>
      </c>
      <c r="E24" s="14">
        <v>0</v>
      </c>
      <c r="F24" s="14">
        <v>0</v>
      </c>
      <c r="G24" s="14">
        <v>0</v>
      </c>
      <c r="H24" s="14">
        <v>0</v>
      </c>
      <c r="I24" s="14">
        <v>0</v>
      </c>
      <c r="J24" s="17">
        <v>16</v>
      </c>
      <c r="K24" s="14">
        <v>1</v>
      </c>
      <c r="L24" s="17">
        <v>136.91</v>
      </c>
      <c r="M24" s="14" t="s">
        <v>212</v>
      </c>
    </row>
    <row r="25" spans="1:13" x14ac:dyDescent="0.25">
      <c r="A25" s="14" t="s">
        <v>53</v>
      </c>
      <c r="B25" s="14" t="s">
        <v>581</v>
      </c>
      <c r="C25" s="14" t="s">
        <v>582</v>
      </c>
      <c r="D25" s="14" t="s">
        <v>72</v>
      </c>
      <c r="E25" s="14">
        <v>0</v>
      </c>
      <c r="F25" s="14">
        <v>0</v>
      </c>
      <c r="G25" s="14">
        <v>0</v>
      </c>
      <c r="H25" s="14">
        <v>0</v>
      </c>
      <c r="I25" s="14">
        <v>1</v>
      </c>
      <c r="J25" s="17">
        <v>33</v>
      </c>
      <c r="K25" s="14">
        <v>0</v>
      </c>
      <c r="L25" s="17">
        <v>129.32</v>
      </c>
      <c r="M25" s="14" t="s">
        <v>86</v>
      </c>
    </row>
    <row r="26" spans="1:13" x14ac:dyDescent="0.25">
      <c r="A26" s="14" t="s">
        <v>43</v>
      </c>
      <c r="B26" s="14" t="s">
        <v>583</v>
      </c>
      <c r="C26" s="14" t="s">
        <v>584</v>
      </c>
      <c r="D26" s="14" t="s">
        <v>70</v>
      </c>
      <c r="E26" s="14">
        <v>1</v>
      </c>
      <c r="F26" s="14">
        <v>0</v>
      </c>
      <c r="G26" s="14">
        <v>0</v>
      </c>
      <c r="H26" s="14">
        <v>0</v>
      </c>
      <c r="I26" s="14">
        <v>0</v>
      </c>
      <c r="J26" s="17">
        <v>24</v>
      </c>
      <c r="K26" s="14">
        <v>1</v>
      </c>
      <c r="L26" s="17">
        <v>0</v>
      </c>
      <c r="M26" s="14" t="s">
        <v>212</v>
      </c>
    </row>
    <row r="27" spans="1:13" x14ac:dyDescent="0.25">
      <c r="A27" s="14" t="s">
        <v>47</v>
      </c>
      <c r="B27" s="14" t="s">
        <v>585</v>
      </c>
      <c r="C27" s="14" t="s">
        <v>586</v>
      </c>
      <c r="D27" s="14" t="s">
        <v>48</v>
      </c>
      <c r="E27" s="14">
        <v>0</v>
      </c>
      <c r="F27" s="14">
        <v>0</v>
      </c>
      <c r="G27" s="14">
        <v>0</v>
      </c>
      <c r="H27" s="14">
        <v>0</v>
      </c>
      <c r="I27" s="14">
        <v>0</v>
      </c>
      <c r="J27" s="17">
        <v>0</v>
      </c>
      <c r="K27" s="14">
        <v>1</v>
      </c>
      <c r="L27" s="17">
        <v>0</v>
      </c>
      <c r="M27" s="14" t="s">
        <v>86</v>
      </c>
    </row>
    <row r="28" spans="1:13" x14ac:dyDescent="0.25">
      <c r="A28" s="14" t="s">
        <v>55</v>
      </c>
      <c r="B28" s="14" t="s">
        <v>587</v>
      </c>
      <c r="C28" s="14" t="s">
        <v>588</v>
      </c>
      <c r="D28" s="14" t="s">
        <v>50</v>
      </c>
      <c r="E28" s="14">
        <v>1</v>
      </c>
      <c r="F28" s="14">
        <v>0</v>
      </c>
      <c r="G28" s="14">
        <v>0</v>
      </c>
      <c r="H28" s="14">
        <v>0</v>
      </c>
      <c r="I28" s="14">
        <v>0</v>
      </c>
      <c r="J28" s="17">
        <v>0</v>
      </c>
      <c r="K28" s="14">
        <v>1</v>
      </c>
      <c r="L28" s="17">
        <v>0</v>
      </c>
      <c r="M28" s="14" t="s">
        <v>86</v>
      </c>
    </row>
    <row r="29" spans="1:13" x14ac:dyDescent="0.25">
      <c r="A29" s="14" t="s">
        <v>41</v>
      </c>
      <c r="B29" s="14" t="s">
        <v>589</v>
      </c>
      <c r="C29" s="14" t="s">
        <v>590</v>
      </c>
      <c r="D29" s="14" t="s">
        <v>62</v>
      </c>
      <c r="E29" s="14">
        <v>1</v>
      </c>
      <c r="F29" s="14">
        <v>0</v>
      </c>
      <c r="G29" s="14">
        <v>0</v>
      </c>
      <c r="H29" s="14">
        <v>0</v>
      </c>
      <c r="I29" s="14">
        <v>0</v>
      </c>
      <c r="J29" s="17">
        <v>0</v>
      </c>
      <c r="K29" s="14">
        <v>1</v>
      </c>
      <c r="L29" s="17">
        <v>47.45</v>
      </c>
      <c r="M29" s="14" t="s">
        <v>86</v>
      </c>
    </row>
    <row r="30" spans="1:13" x14ac:dyDescent="0.25">
      <c r="A30" s="14" t="s">
        <v>53</v>
      </c>
      <c r="B30" s="14" t="s">
        <v>591</v>
      </c>
      <c r="C30" s="14" t="s">
        <v>592</v>
      </c>
      <c r="D30" s="14" t="s">
        <v>42</v>
      </c>
      <c r="E30" s="14">
        <v>1</v>
      </c>
      <c r="F30" s="14">
        <v>0</v>
      </c>
      <c r="G30" s="14">
        <v>0</v>
      </c>
      <c r="H30" s="14">
        <v>0</v>
      </c>
      <c r="I30" s="14">
        <v>0</v>
      </c>
      <c r="J30" s="17">
        <v>0</v>
      </c>
      <c r="K30" s="14">
        <v>1</v>
      </c>
      <c r="L30" s="17">
        <v>45.36</v>
      </c>
      <c r="M30" s="14" t="s">
        <v>86</v>
      </c>
    </row>
    <row r="31" spans="1:13" x14ac:dyDescent="0.25">
      <c r="A31" s="14" t="s">
        <v>49</v>
      </c>
      <c r="B31" s="14" t="s">
        <v>593</v>
      </c>
      <c r="C31" s="14" t="s">
        <v>594</v>
      </c>
      <c r="D31" s="14" t="s">
        <v>64</v>
      </c>
      <c r="E31" s="14">
        <v>1</v>
      </c>
      <c r="F31" s="14">
        <v>0</v>
      </c>
      <c r="G31" s="14">
        <v>0</v>
      </c>
      <c r="H31" s="14">
        <v>0</v>
      </c>
      <c r="I31" s="14">
        <v>0</v>
      </c>
      <c r="J31" s="17">
        <v>0</v>
      </c>
      <c r="K31" s="14">
        <v>1</v>
      </c>
      <c r="L31" s="17">
        <v>86.93</v>
      </c>
      <c r="M31" s="14" t="s">
        <v>86</v>
      </c>
    </row>
    <row r="32" spans="1:13" x14ac:dyDescent="0.25">
      <c r="A32" s="14" t="s">
        <v>41</v>
      </c>
      <c r="B32" s="14" t="s">
        <v>595</v>
      </c>
      <c r="C32" s="14" t="s">
        <v>596</v>
      </c>
      <c r="D32" s="14" t="s">
        <v>65</v>
      </c>
      <c r="E32" s="14">
        <v>1</v>
      </c>
      <c r="F32" s="14">
        <v>0</v>
      </c>
      <c r="G32" s="14">
        <v>0</v>
      </c>
      <c r="H32" s="14">
        <v>0</v>
      </c>
      <c r="I32" s="14">
        <v>0</v>
      </c>
      <c r="J32" s="17">
        <v>18</v>
      </c>
      <c r="K32" s="14">
        <v>1</v>
      </c>
      <c r="L32" s="17">
        <v>0</v>
      </c>
      <c r="M32" s="14" t="s">
        <v>86</v>
      </c>
    </row>
    <row r="33" spans="1:13" x14ac:dyDescent="0.25">
      <c r="A33" s="14" t="s">
        <v>61</v>
      </c>
      <c r="B33" s="14" t="s">
        <v>597</v>
      </c>
      <c r="C33" s="14" t="s">
        <v>598</v>
      </c>
      <c r="D33" s="14" t="s">
        <v>67</v>
      </c>
      <c r="E33" s="14">
        <v>0</v>
      </c>
      <c r="F33" s="14">
        <v>0</v>
      </c>
      <c r="G33" s="14">
        <v>0</v>
      </c>
      <c r="H33" s="14">
        <v>0</v>
      </c>
      <c r="I33" s="14">
        <v>0</v>
      </c>
      <c r="J33" s="17">
        <v>0</v>
      </c>
      <c r="K33" s="14">
        <v>1</v>
      </c>
      <c r="L33" s="17">
        <v>17.71</v>
      </c>
      <c r="M33" s="14" t="s">
        <v>86</v>
      </c>
    </row>
    <row r="34" spans="1:13" x14ac:dyDescent="0.25">
      <c r="A34" s="14" t="s">
        <v>43</v>
      </c>
      <c r="B34" s="14" t="s">
        <v>599</v>
      </c>
      <c r="C34" s="14" t="s">
        <v>600</v>
      </c>
      <c r="D34" s="14" t="s">
        <v>40</v>
      </c>
      <c r="E34" s="14">
        <v>0</v>
      </c>
      <c r="F34" s="14">
        <v>0</v>
      </c>
      <c r="G34" s="14">
        <v>0</v>
      </c>
      <c r="H34" s="14">
        <v>0</v>
      </c>
      <c r="I34" s="14">
        <v>0</v>
      </c>
      <c r="J34" s="17">
        <v>33</v>
      </c>
      <c r="K34" s="14">
        <v>1</v>
      </c>
      <c r="L34" s="17">
        <v>82.35</v>
      </c>
      <c r="M34" s="14" t="s">
        <v>86</v>
      </c>
    </row>
    <row r="35" spans="1:13" x14ac:dyDescent="0.25">
      <c r="A35" s="14" t="s">
        <v>61</v>
      </c>
      <c r="B35" s="14" t="s">
        <v>601</v>
      </c>
      <c r="C35" s="14" t="s">
        <v>602</v>
      </c>
      <c r="D35" s="14" t="s">
        <v>56</v>
      </c>
      <c r="E35" s="14">
        <v>0</v>
      </c>
      <c r="F35" s="14">
        <v>1</v>
      </c>
      <c r="G35" s="14">
        <v>0</v>
      </c>
      <c r="H35" s="14">
        <v>0</v>
      </c>
      <c r="I35" s="14">
        <v>0</v>
      </c>
      <c r="J35" s="17">
        <v>16</v>
      </c>
      <c r="K35" s="14">
        <v>1</v>
      </c>
      <c r="L35" s="17">
        <v>71.62</v>
      </c>
      <c r="M35" s="14" t="s">
        <v>86</v>
      </c>
    </row>
    <row r="36" spans="1:13" x14ac:dyDescent="0.25">
      <c r="A36" s="14" t="s">
        <v>55</v>
      </c>
      <c r="B36" s="14" t="s">
        <v>603</v>
      </c>
      <c r="C36" s="14" t="s">
        <v>604</v>
      </c>
      <c r="D36" s="14" t="s">
        <v>72</v>
      </c>
      <c r="E36" s="14">
        <v>0</v>
      </c>
      <c r="F36" s="14">
        <v>0</v>
      </c>
      <c r="G36" s="14">
        <v>0</v>
      </c>
      <c r="H36" s="14">
        <v>0</v>
      </c>
      <c r="I36" s="14">
        <v>1</v>
      </c>
      <c r="J36" s="17">
        <v>0</v>
      </c>
      <c r="K36" s="14">
        <v>0</v>
      </c>
      <c r="L36" s="17">
        <v>160.78</v>
      </c>
      <c r="M36" s="14" t="s">
        <v>212</v>
      </c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7"/>
      <c r="K37" s="14"/>
      <c r="L37" s="17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7"/>
      <c r="K38" s="14"/>
      <c r="L38" s="17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7"/>
      <c r="K39" s="14"/>
      <c r="L39" s="17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7"/>
      <c r="K40" s="14"/>
      <c r="L40" s="17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7"/>
      <c r="K41" s="14"/>
      <c r="L41" s="17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7"/>
      <c r="K42" s="14"/>
      <c r="L42" s="17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7"/>
      <c r="K43" s="14"/>
      <c r="L43" s="17"/>
      <c r="M43" s="14"/>
    </row>
  </sheetData>
  <mergeCells count="2">
    <mergeCell ref="A2:M2"/>
    <mergeCell ref="A1:M1"/>
  </mergeCells>
  <dataValidations count="1">
    <dataValidation type="list" allowBlank="1" sqref="M4:M43" xr:uid="{00000000-0002-0000-0D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D00-000000000000}">
          <x14:formula1>
            <xm:f>Setup!$A$5:$A$16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0D00-000001000000}">
          <x14:formula1>
            <xm:f>Setup!$C$5:$C$30</xm:f>
          </x14:formula1>
          <xm:sqref>D4:D43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4" t="s">
        <v>605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</row>
    <row r="2" spans="1:24" ht="21.95" customHeight="1" x14ac:dyDescent="0.25">
      <c r="A2" s="43" t="s">
        <v>19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</row>
    <row r="3" spans="1:24" x14ac:dyDescent="0.25">
      <c r="A3" s="12" t="s">
        <v>79</v>
      </c>
      <c r="B3" s="12" t="s">
        <v>80</v>
      </c>
      <c r="C3" s="12" t="s">
        <v>81</v>
      </c>
      <c r="D3" s="12" t="s">
        <v>82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83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49</v>
      </c>
      <c r="B4" s="14" t="s">
        <v>606</v>
      </c>
      <c r="C4" s="14" t="s">
        <v>607</v>
      </c>
      <c r="D4" s="14" t="s">
        <v>67</v>
      </c>
      <c r="E4" s="14">
        <v>1</v>
      </c>
      <c r="F4" s="14">
        <v>0</v>
      </c>
      <c r="G4" s="14">
        <v>0</v>
      </c>
      <c r="H4" s="14">
        <v>0</v>
      </c>
      <c r="I4" s="14">
        <v>0</v>
      </c>
      <c r="J4" s="17">
        <v>16</v>
      </c>
      <c r="K4" s="14">
        <v>1</v>
      </c>
      <c r="L4" s="17">
        <v>0</v>
      </c>
      <c r="M4" s="14" t="s">
        <v>86</v>
      </c>
      <c r="P4" s="14" t="str">
        <f>Setup!$A$5</f>
        <v>Expert 01</v>
      </c>
      <c r="Q4" s="14">
        <f t="shared" ref="Q4:Q15" si="0">SUMIF($A$4:$A$43,$P4,E$4:E$43)</f>
        <v>0</v>
      </c>
      <c r="R4" s="14">
        <f t="shared" ref="R4:R15" si="1">SUMIF($A$4:$A$43,$P4,F$4:F$43)</f>
        <v>0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7">
        <f t="shared" ref="V4:V15" si="5">SUMIF($A$4:$A$43,$P4,J$4:J$43)</f>
        <v>0</v>
      </c>
      <c r="W4" s="14">
        <f t="shared" ref="W4:W15" si="6">SUMIF($A$4:$A$43,$P4,K$4:K$43)</f>
        <v>0</v>
      </c>
      <c r="X4" s="17">
        <f t="shared" ref="X4:X15" si="7">SUMIF($A$4:$A$43,$P4,L$4:L$43)</f>
        <v>0</v>
      </c>
    </row>
    <row r="5" spans="1:24" x14ac:dyDescent="0.25">
      <c r="A5" s="14" t="s">
        <v>45</v>
      </c>
      <c r="B5" s="14" t="s">
        <v>608</v>
      </c>
      <c r="C5" s="14" t="s">
        <v>609</v>
      </c>
      <c r="D5" s="14" t="s">
        <v>66</v>
      </c>
      <c r="E5" s="14">
        <v>1</v>
      </c>
      <c r="F5" s="14">
        <v>0</v>
      </c>
      <c r="G5" s="14">
        <v>0</v>
      </c>
      <c r="H5" s="14">
        <v>1</v>
      </c>
      <c r="I5" s="14">
        <v>0</v>
      </c>
      <c r="J5" s="17">
        <v>0</v>
      </c>
      <c r="K5" s="14">
        <v>1</v>
      </c>
      <c r="L5" s="17">
        <v>0</v>
      </c>
      <c r="M5" s="14" t="s">
        <v>86</v>
      </c>
      <c r="P5" s="14" t="str">
        <f>Setup!$A$6</f>
        <v>Expert 02</v>
      </c>
      <c r="Q5" s="14">
        <f t="shared" si="0"/>
        <v>1</v>
      </c>
      <c r="R5" s="14">
        <f t="shared" si="1"/>
        <v>2</v>
      </c>
      <c r="S5" s="14">
        <f t="shared" si="2"/>
        <v>0</v>
      </c>
      <c r="T5" s="14">
        <f t="shared" si="3"/>
        <v>0</v>
      </c>
      <c r="U5" s="14">
        <f t="shared" si="4"/>
        <v>0</v>
      </c>
      <c r="V5" s="17">
        <f t="shared" si="5"/>
        <v>24</v>
      </c>
      <c r="W5" s="14">
        <f t="shared" si="6"/>
        <v>3</v>
      </c>
      <c r="X5" s="17">
        <f t="shared" si="7"/>
        <v>171.99</v>
      </c>
    </row>
    <row r="6" spans="1:24" x14ac:dyDescent="0.25">
      <c r="A6" s="14" t="s">
        <v>59</v>
      </c>
      <c r="B6" s="14" t="s">
        <v>610</v>
      </c>
      <c r="C6" s="14" t="s">
        <v>611</v>
      </c>
      <c r="D6" s="14" t="s">
        <v>62</v>
      </c>
      <c r="E6" s="14">
        <v>1</v>
      </c>
      <c r="F6" s="14">
        <v>0</v>
      </c>
      <c r="G6" s="14">
        <v>0</v>
      </c>
      <c r="H6" s="14">
        <v>0</v>
      </c>
      <c r="I6" s="14">
        <v>0</v>
      </c>
      <c r="J6" s="17">
        <v>0</v>
      </c>
      <c r="K6" s="14">
        <v>1</v>
      </c>
      <c r="L6" s="17">
        <v>16.95</v>
      </c>
      <c r="M6" s="14" t="s">
        <v>86</v>
      </c>
      <c r="P6" s="14" t="str">
        <f>Setup!$A$7</f>
        <v>Expert 03</v>
      </c>
      <c r="Q6" s="14">
        <f t="shared" si="0"/>
        <v>1</v>
      </c>
      <c r="R6" s="14">
        <f t="shared" si="1"/>
        <v>0</v>
      </c>
      <c r="S6" s="14">
        <f t="shared" si="2"/>
        <v>0</v>
      </c>
      <c r="T6" s="14">
        <f t="shared" si="3"/>
        <v>0</v>
      </c>
      <c r="U6" s="14">
        <f t="shared" si="4"/>
        <v>0</v>
      </c>
      <c r="V6" s="17">
        <f t="shared" si="5"/>
        <v>15</v>
      </c>
      <c r="W6" s="14">
        <f t="shared" si="6"/>
        <v>1</v>
      </c>
      <c r="X6" s="17">
        <f t="shared" si="7"/>
        <v>108.86</v>
      </c>
    </row>
    <row r="7" spans="1:24" x14ac:dyDescent="0.25">
      <c r="A7" s="14" t="s">
        <v>59</v>
      </c>
      <c r="B7" s="14" t="s">
        <v>612</v>
      </c>
      <c r="C7" s="14" t="s">
        <v>613</v>
      </c>
      <c r="D7" s="14" t="s">
        <v>63</v>
      </c>
      <c r="E7" s="14">
        <v>1</v>
      </c>
      <c r="F7" s="14">
        <v>0</v>
      </c>
      <c r="G7" s="14">
        <v>1</v>
      </c>
      <c r="H7" s="14">
        <v>0</v>
      </c>
      <c r="I7" s="14">
        <v>0</v>
      </c>
      <c r="J7" s="17">
        <v>0</v>
      </c>
      <c r="K7" s="14">
        <v>1</v>
      </c>
      <c r="L7" s="17">
        <v>90.68</v>
      </c>
      <c r="M7" s="14" t="s">
        <v>86</v>
      </c>
      <c r="P7" s="14" t="str">
        <f>Setup!$A$8</f>
        <v>Expert 04</v>
      </c>
      <c r="Q7" s="14">
        <f t="shared" si="0"/>
        <v>4</v>
      </c>
      <c r="R7" s="14">
        <f t="shared" si="1"/>
        <v>0</v>
      </c>
      <c r="S7" s="14">
        <f t="shared" si="2"/>
        <v>0</v>
      </c>
      <c r="T7" s="14">
        <f t="shared" si="3"/>
        <v>1</v>
      </c>
      <c r="U7" s="14">
        <f t="shared" si="4"/>
        <v>0</v>
      </c>
      <c r="V7" s="17">
        <f t="shared" si="5"/>
        <v>18</v>
      </c>
      <c r="W7" s="14">
        <f t="shared" si="6"/>
        <v>3</v>
      </c>
      <c r="X7" s="17">
        <f t="shared" si="7"/>
        <v>0</v>
      </c>
    </row>
    <row r="8" spans="1:24" x14ac:dyDescent="0.25">
      <c r="A8" s="14" t="s">
        <v>61</v>
      </c>
      <c r="B8" s="14" t="s">
        <v>614</v>
      </c>
      <c r="C8" s="14" t="s">
        <v>615</v>
      </c>
      <c r="D8" s="14" t="s">
        <v>56</v>
      </c>
      <c r="E8" s="14">
        <v>0</v>
      </c>
      <c r="F8" s="14">
        <v>1</v>
      </c>
      <c r="G8" s="14">
        <v>0</v>
      </c>
      <c r="H8" s="14">
        <v>0</v>
      </c>
      <c r="I8" s="14">
        <v>0</v>
      </c>
      <c r="J8" s="17">
        <v>33</v>
      </c>
      <c r="K8" s="14">
        <v>1</v>
      </c>
      <c r="L8" s="17">
        <v>0</v>
      </c>
      <c r="M8" s="14" t="s">
        <v>212</v>
      </c>
      <c r="P8" s="14" t="str">
        <f>Setup!$A$9</f>
        <v>Expert 05</v>
      </c>
      <c r="Q8" s="14">
        <f t="shared" si="0"/>
        <v>1</v>
      </c>
      <c r="R8" s="14">
        <f t="shared" si="1"/>
        <v>0</v>
      </c>
      <c r="S8" s="14">
        <f t="shared" si="2"/>
        <v>0</v>
      </c>
      <c r="T8" s="14">
        <f t="shared" si="3"/>
        <v>0</v>
      </c>
      <c r="U8" s="14">
        <f t="shared" si="4"/>
        <v>0</v>
      </c>
      <c r="V8" s="17">
        <f t="shared" si="5"/>
        <v>0</v>
      </c>
      <c r="W8" s="14">
        <f t="shared" si="6"/>
        <v>1</v>
      </c>
      <c r="X8" s="17">
        <f t="shared" si="7"/>
        <v>0</v>
      </c>
    </row>
    <row r="9" spans="1:24" x14ac:dyDescent="0.25">
      <c r="A9" s="14" t="s">
        <v>41</v>
      </c>
      <c r="B9" s="14" t="s">
        <v>616</v>
      </c>
      <c r="C9" s="14" t="s">
        <v>617</v>
      </c>
      <c r="D9" s="14" t="s">
        <v>64</v>
      </c>
      <c r="E9" s="14">
        <v>0</v>
      </c>
      <c r="F9" s="14">
        <v>1</v>
      </c>
      <c r="G9" s="14">
        <v>0</v>
      </c>
      <c r="H9" s="14">
        <v>0</v>
      </c>
      <c r="I9" s="14">
        <v>0</v>
      </c>
      <c r="J9" s="17">
        <v>0</v>
      </c>
      <c r="K9" s="14">
        <v>1</v>
      </c>
      <c r="L9" s="17">
        <v>0</v>
      </c>
      <c r="M9" s="14" t="s">
        <v>86</v>
      </c>
      <c r="P9" s="14" t="str">
        <f>Setup!$A$10</f>
        <v>Expert 06</v>
      </c>
      <c r="Q9" s="14">
        <f t="shared" si="0"/>
        <v>2</v>
      </c>
      <c r="R9" s="14">
        <f t="shared" si="1"/>
        <v>1</v>
      </c>
      <c r="S9" s="14">
        <f t="shared" si="2"/>
        <v>1</v>
      </c>
      <c r="T9" s="14">
        <f t="shared" si="3"/>
        <v>0</v>
      </c>
      <c r="U9" s="14">
        <f t="shared" si="4"/>
        <v>0</v>
      </c>
      <c r="V9" s="17">
        <f t="shared" si="5"/>
        <v>89</v>
      </c>
      <c r="W9" s="14">
        <f t="shared" si="6"/>
        <v>4</v>
      </c>
      <c r="X9" s="17">
        <f t="shared" si="7"/>
        <v>174.37</v>
      </c>
    </row>
    <row r="10" spans="1:24" x14ac:dyDescent="0.25">
      <c r="A10" s="14" t="s">
        <v>61</v>
      </c>
      <c r="B10" s="14" t="s">
        <v>618</v>
      </c>
      <c r="C10" s="14" t="s">
        <v>619</v>
      </c>
      <c r="D10" s="14" t="s">
        <v>70</v>
      </c>
      <c r="E10" s="14">
        <v>1</v>
      </c>
      <c r="F10" s="14">
        <v>0</v>
      </c>
      <c r="G10" s="14">
        <v>0</v>
      </c>
      <c r="H10" s="14">
        <v>0</v>
      </c>
      <c r="I10" s="14">
        <v>0</v>
      </c>
      <c r="J10" s="17">
        <v>0</v>
      </c>
      <c r="K10" s="14">
        <v>1</v>
      </c>
      <c r="L10" s="17">
        <v>71.78</v>
      </c>
      <c r="M10" s="14" t="s">
        <v>212</v>
      </c>
      <c r="P10" s="14" t="str">
        <f>Setup!$A$11</f>
        <v>Expert 07</v>
      </c>
      <c r="Q10" s="14">
        <f t="shared" si="0"/>
        <v>0</v>
      </c>
      <c r="R10" s="14">
        <f t="shared" si="1"/>
        <v>0</v>
      </c>
      <c r="S10" s="14">
        <f t="shared" si="2"/>
        <v>0</v>
      </c>
      <c r="T10" s="14">
        <f t="shared" si="3"/>
        <v>0</v>
      </c>
      <c r="U10" s="14">
        <f t="shared" si="4"/>
        <v>0</v>
      </c>
      <c r="V10" s="17">
        <f t="shared" si="5"/>
        <v>0</v>
      </c>
      <c r="W10" s="14">
        <f t="shared" si="6"/>
        <v>0</v>
      </c>
      <c r="X10" s="17">
        <f t="shared" si="7"/>
        <v>0</v>
      </c>
    </row>
    <row r="11" spans="1:24" x14ac:dyDescent="0.25">
      <c r="A11" s="14" t="s">
        <v>53</v>
      </c>
      <c r="B11" s="14" t="s">
        <v>620</v>
      </c>
      <c r="C11" s="14" t="s">
        <v>621</v>
      </c>
      <c r="D11" s="14" t="s">
        <v>58</v>
      </c>
      <c r="E11" s="14">
        <v>1</v>
      </c>
      <c r="F11" s="14">
        <v>0</v>
      </c>
      <c r="G11" s="14">
        <v>0</v>
      </c>
      <c r="H11" s="14">
        <v>0</v>
      </c>
      <c r="I11" s="14">
        <v>0</v>
      </c>
      <c r="J11" s="17">
        <v>0</v>
      </c>
      <c r="K11" s="14">
        <v>1</v>
      </c>
      <c r="L11" s="17">
        <v>156.82</v>
      </c>
      <c r="M11" s="14" t="s">
        <v>86</v>
      </c>
      <c r="P11" s="14" t="str">
        <f>Setup!$A$12</f>
        <v>Expert 08</v>
      </c>
      <c r="Q11" s="14">
        <f t="shared" si="0"/>
        <v>2</v>
      </c>
      <c r="R11" s="14">
        <f t="shared" si="1"/>
        <v>0</v>
      </c>
      <c r="S11" s="14">
        <f t="shared" si="2"/>
        <v>0</v>
      </c>
      <c r="T11" s="14">
        <f t="shared" si="3"/>
        <v>0</v>
      </c>
      <c r="U11" s="14">
        <f t="shared" si="4"/>
        <v>0</v>
      </c>
      <c r="V11" s="17">
        <f t="shared" si="5"/>
        <v>48</v>
      </c>
      <c r="W11" s="14">
        <f t="shared" si="6"/>
        <v>3</v>
      </c>
      <c r="X11" s="17">
        <f t="shared" si="7"/>
        <v>187.79</v>
      </c>
    </row>
    <row r="12" spans="1:24" x14ac:dyDescent="0.25">
      <c r="A12" s="14" t="s">
        <v>49</v>
      </c>
      <c r="B12" s="14" t="s">
        <v>622</v>
      </c>
      <c r="C12" s="14" t="s">
        <v>623</v>
      </c>
      <c r="D12" s="14" t="s">
        <v>76</v>
      </c>
      <c r="E12" s="14">
        <v>0</v>
      </c>
      <c r="F12" s="14">
        <v>0</v>
      </c>
      <c r="G12" s="14">
        <v>0</v>
      </c>
      <c r="H12" s="14">
        <v>0</v>
      </c>
      <c r="I12" s="14">
        <v>0</v>
      </c>
      <c r="J12" s="17">
        <v>0</v>
      </c>
      <c r="K12" s="14">
        <v>0</v>
      </c>
      <c r="L12" s="17">
        <v>0</v>
      </c>
      <c r="M12" s="14" t="s">
        <v>86</v>
      </c>
      <c r="P12" s="14" t="str">
        <f>Setup!$A$13</f>
        <v>Expert 09</v>
      </c>
      <c r="Q12" s="14">
        <f t="shared" si="0"/>
        <v>0</v>
      </c>
      <c r="R12" s="14">
        <f t="shared" si="1"/>
        <v>0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7">
        <f t="shared" si="5"/>
        <v>0</v>
      </c>
      <c r="W12" s="14">
        <f t="shared" si="6"/>
        <v>0</v>
      </c>
      <c r="X12" s="17">
        <f t="shared" si="7"/>
        <v>0</v>
      </c>
    </row>
    <row r="13" spans="1:24" x14ac:dyDescent="0.25">
      <c r="A13" s="14" t="s">
        <v>49</v>
      </c>
      <c r="B13" s="14" t="s">
        <v>624</v>
      </c>
      <c r="C13" s="14" t="s">
        <v>625</v>
      </c>
      <c r="D13" s="14" t="s">
        <v>50</v>
      </c>
      <c r="E13" s="14">
        <v>0</v>
      </c>
      <c r="F13" s="14">
        <v>1</v>
      </c>
      <c r="G13" s="14">
        <v>0</v>
      </c>
      <c r="H13" s="14">
        <v>0</v>
      </c>
      <c r="I13" s="14">
        <v>0</v>
      </c>
      <c r="J13" s="17">
        <v>16</v>
      </c>
      <c r="K13" s="14">
        <v>1</v>
      </c>
      <c r="L13" s="17">
        <v>100.74</v>
      </c>
      <c r="M13" s="14" t="s">
        <v>212</v>
      </c>
      <c r="P13" s="14" t="str">
        <f>Setup!$A$14</f>
        <v>Expert 10</v>
      </c>
      <c r="Q13" s="14">
        <f t="shared" si="0"/>
        <v>1</v>
      </c>
      <c r="R13" s="14">
        <f t="shared" si="1"/>
        <v>2</v>
      </c>
      <c r="S13" s="14">
        <f t="shared" si="2"/>
        <v>0</v>
      </c>
      <c r="T13" s="14">
        <f t="shared" si="3"/>
        <v>1</v>
      </c>
      <c r="U13" s="14">
        <f t="shared" si="4"/>
        <v>0</v>
      </c>
      <c r="V13" s="17">
        <f t="shared" si="5"/>
        <v>0</v>
      </c>
      <c r="W13" s="14">
        <f t="shared" si="6"/>
        <v>3</v>
      </c>
      <c r="X13" s="17">
        <f t="shared" si="7"/>
        <v>168.35000000000002</v>
      </c>
    </row>
    <row r="14" spans="1:24" x14ac:dyDescent="0.25">
      <c r="A14" s="14" t="s">
        <v>61</v>
      </c>
      <c r="B14" s="14" t="s">
        <v>626</v>
      </c>
      <c r="C14" s="14" t="s">
        <v>627</v>
      </c>
      <c r="D14" s="14" t="s">
        <v>46</v>
      </c>
      <c r="E14" s="14">
        <v>0</v>
      </c>
      <c r="F14" s="14">
        <v>1</v>
      </c>
      <c r="G14" s="14">
        <v>0</v>
      </c>
      <c r="H14" s="14">
        <v>0</v>
      </c>
      <c r="I14" s="14">
        <v>0</v>
      </c>
      <c r="J14" s="17">
        <v>24</v>
      </c>
      <c r="K14" s="14">
        <v>1</v>
      </c>
      <c r="L14" s="17">
        <v>0</v>
      </c>
      <c r="M14" s="14" t="s">
        <v>86</v>
      </c>
      <c r="P14" s="14" t="str">
        <f>Setup!$A$15</f>
        <v>Expert 11</v>
      </c>
      <c r="Q14" s="14">
        <f t="shared" si="0"/>
        <v>2</v>
      </c>
      <c r="R14" s="14">
        <f t="shared" si="1"/>
        <v>0</v>
      </c>
      <c r="S14" s="14">
        <f t="shared" si="2"/>
        <v>1</v>
      </c>
      <c r="T14" s="14">
        <f t="shared" si="3"/>
        <v>0</v>
      </c>
      <c r="U14" s="14">
        <f t="shared" si="4"/>
        <v>0</v>
      </c>
      <c r="V14" s="17">
        <f t="shared" si="5"/>
        <v>0</v>
      </c>
      <c r="W14" s="14">
        <f t="shared" si="6"/>
        <v>2</v>
      </c>
      <c r="X14" s="17">
        <f t="shared" si="7"/>
        <v>107.63000000000001</v>
      </c>
    </row>
    <row r="15" spans="1:24" x14ac:dyDescent="0.25">
      <c r="A15" s="14" t="s">
        <v>57</v>
      </c>
      <c r="B15" s="14" t="s">
        <v>628</v>
      </c>
      <c r="C15" s="14" t="s">
        <v>629</v>
      </c>
      <c r="D15" s="14" t="s">
        <v>46</v>
      </c>
      <c r="E15" s="14">
        <v>0</v>
      </c>
      <c r="F15" s="14">
        <v>1</v>
      </c>
      <c r="G15" s="14">
        <v>0</v>
      </c>
      <c r="H15" s="14">
        <v>1</v>
      </c>
      <c r="I15" s="14">
        <v>0</v>
      </c>
      <c r="J15" s="17">
        <v>0</v>
      </c>
      <c r="K15" s="14">
        <v>1</v>
      </c>
      <c r="L15" s="17">
        <v>131.55000000000001</v>
      </c>
      <c r="M15" s="14" t="s">
        <v>86</v>
      </c>
      <c r="P15" s="14" t="str">
        <f>Setup!$A$16</f>
        <v>Expert 12</v>
      </c>
      <c r="Q15" s="14">
        <f t="shared" si="0"/>
        <v>1</v>
      </c>
      <c r="R15" s="14">
        <f t="shared" si="1"/>
        <v>2</v>
      </c>
      <c r="S15" s="14">
        <f t="shared" si="2"/>
        <v>0</v>
      </c>
      <c r="T15" s="14">
        <f t="shared" si="3"/>
        <v>0</v>
      </c>
      <c r="U15" s="14">
        <f t="shared" si="4"/>
        <v>0</v>
      </c>
      <c r="V15" s="17">
        <f t="shared" si="5"/>
        <v>105</v>
      </c>
      <c r="W15" s="14">
        <f t="shared" si="6"/>
        <v>4</v>
      </c>
      <c r="X15" s="17">
        <f t="shared" si="7"/>
        <v>102.98</v>
      </c>
    </row>
    <row r="16" spans="1:24" x14ac:dyDescent="0.25">
      <c r="A16" s="14" t="s">
        <v>41</v>
      </c>
      <c r="B16" s="14" t="s">
        <v>630</v>
      </c>
      <c r="C16" s="14" t="s">
        <v>631</v>
      </c>
      <c r="D16" s="14" t="s">
        <v>71</v>
      </c>
      <c r="E16" s="14">
        <v>1</v>
      </c>
      <c r="F16" s="14">
        <v>0</v>
      </c>
      <c r="G16" s="14">
        <v>0</v>
      </c>
      <c r="H16" s="14">
        <v>0</v>
      </c>
      <c r="I16" s="14">
        <v>0</v>
      </c>
      <c r="J16" s="17">
        <v>0</v>
      </c>
      <c r="K16" s="14">
        <v>1</v>
      </c>
      <c r="L16" s="17">
        <v>79.84</v>
      </c>
      <c r="M16" s="14" t="s">
        <v>86</v>
      </c>
      <c r="P16" s="18" t="s">
        <v>111</v>
      </c>
      <c r="Q16" s="19">
        <f t="shared" ref="Q16:X16" si="8">SUM(Q4:Q15)</f>
        <v>15</v>
      </c>
      <c r="R16" s="19">
        <f t="shared" si="8"/>
        <v>7</v>
      </c>
      <c r="S16" s="19">
        <f t="shared" si="8"/>
        <v>2</v>
      </c>
      <c r="T16" s="19">
        <f t="shared" si="8"/>
        <v>2</v>
      </c>
      <c r="U16" s="19">
        <f t="shared" si="8"/>
        <v>0</v>
      </c>
      <c r="V16" s="20">
        <f t="shared" si="8"/>
        <v>299</v>
      </c>
      <c r="W16" s="19">
        <f t="shared" si="8"/>
        <v>24</v>
      </c>
      <c r="X16" s="20">
        <f t="shared" si="8"/>
        <v>1021.97</v>
      </c>
    </row>
    <row r="17" spans="1:13" x14ac:dyDescent="0.25">
      <c r="A17" s="14" t="s">
        <v>45</v>
      </c>
      <c r="B17" s="14" t="s">
        <v>632</v>
      </c>
      <c r="C17" s="14" t="s">
        <v>633</v>
      </c>
      <c r="D17" s="14" t="s">
        <v>71</v>
      </c>
      <c r="E17" s="14">
        <v>1</v>
      </c>
      <c r="F17" s="14">
        <v>0</v>
      </c>
      <c r="G17" s="14">
        <v>0</v>
      </c>
      <c r="H17" s="14">
        <v>0</v>
      </c>
      <c r="I17" s="14">
        <v>0</v>
      </c>
      <c r="J17" s="17">
        <v>18</v>
      </c>
      <c r="K17" s="14">
        <v>1</v>
      </c>
      <c r="L17" s="17">
        <v>0</v>
      </c>
      <c r="M17" s="14" t="s">
        <v>86</v>
      </c>
    </row>
    <row r="18" spans="1:13" x14ac:dyDescent="0.25">
      <c r="A18" s="14" t="s">
        <v>57</v>
      </c>
      <c r="B18" s="14" t="s">
        <v>634</v>
      </c>
      <c r="C18" s="14" t="s">
        <v>635</v>
      </c>
      <c r="D18" s="14" t="s">
        <v>42</v>
      </c>
      <c r="E18" s="14">
        <v>0</v>
      </c>
      <c r="F18" s="14">
        <v>1</v>
      </c>
      <c r="G18" s="14">
        <v>0</v>
      </c>
      <c r="H18" s="14">
        <v>0</v>
      </c>
      <c r="I18" s="14">
        <v>0</v>
      </c>
      <c r="J18" s="17">
        <v>0</v>
      </c>
      <c r="K18" s="14">
        <v>1</v>
      </c>
      <c r="L18" s="17">
        <v>0</v>
      </c>
      <c r="M18" s="14" t="s">
        <v>86</v>
      </c>
    </row>
    <row r="19" spans="1:13" x14ac:dyDescent="0.25">
      <c r="A19" s="14" t="s">
        <v>47</v>
      </c>
      <c r="B19" s="14" t="s">
        <v>636</v>
      </c>
      <c r="C19" s="14" t="s">
        <v>637</v>
      </c>
      <c r="D19" s="14" t="s">
        <v>64</v>
      </c>
      <c r="E19" s="14">
        <v>1</v>
      </c>
      <c r="F19" s="14">
        <v>0</v>
      </c>
      <c r="G19" s="14">
        <v>0</v>
      </c>
      <c r="H19" s="14">
        <v>0</v>
      </c>
      <c r="I19" s="14">
        <v>0</v>
      </c>
      <c r="J19" s="17">
        <v>0</v>
      </c>
      <c r="K19" s="14">
        <v>1</v>
      </c>
      <c r="L19" s="17">
        <v>0</v>
      </c>
      <c r="M19" s="14" t="s">
        <v>86</v>
      </c>
    </row>
    <row r="20" spans="1:13" x14ac:dyDescent="0.25">
      <c r="A20" s="14" t="s">
        <v>41</v>
      </c>
      <c r="B20" s="14" t="s">
        <v>638</v>
      </c>
      <c r="C20" s="14" t="s">
        <v>639</v>
      </c>
      <c r="D20" s="14" t="s">
        <v>67</v>
      </c>
      <c r="E20" s="14">
        <v>0</v>
      </c>
      <c r="F20" s="14">
        <v>1</v>
      </c>
      <c r="G20" s="14">
        <v>0</v>
      </c>
      <c r="H20" s="14">
        <v>0</v>
      </c>
      <c r="I20" s="14">
        <v>0</v>
      </c>
      <c r="J20" s="17">
        <v>24</v>
      </c>
      <c r="K20" s="14">
        <v>1</v>
      </c>
      <c r="L20" s="17">
        <v>92.15</v>
      </c>
      <c r="M20" s="14" t="s">
        <v>86</v>
      </c>
    </row>
    <row r="21" spans="1:13" x14ac:dyDescent="0.25">
      <c r="A21" s="14" t="s">
        <v>45</v>
      </c>
      <c r="B21" s="14" t="s">
        <v>640</v>
      </c>
      <c r="C21" s="14" t="s">
        <v>641</v>
      </c>
      <c r="D21" s="14" t="s">
        <v>56</v>
      </c>
      <c r="E21" s="14">
        <v>1</v>
      </c>
      <c r="F21" s="14">
        <v>0</v>
      </c>
      <c r="G21" s="14">
        <v>0</v>
      </c>
      <c r="H21" s="14">
        <v>0</v>
      </c>
      <c r="I21" s="14">
        <v>0</v>
      </c>
      <c r="J21" s="17">
        <v>0</v>
      </c>
      <c r="K21" s="14">
        <v>1</v>
      </c>
      <c r="L21" s="17">
        <v>0</v>
      </c>
      <c r="M21" s="14" t="s">
        <v>86</v>
      </c>
    </row>
    <row r="22" spans="1:13" x14ac:dyDescent="0.25">
      <c r="A22" s="14" t="s">
        <v>57</v>
      </c>
      <c r="B22" s="14" t="s">
        <v>642</v>
      </c>
      <c r="C22" s="14" t="s">
        <v>643</v>
      </c>
      <c r="D22" s="14" t="s">
        <v>40</v>
      </c>
      <c r="E22" s="14">
        <v>1</v>
      </c>
      <c r="F22" s="14">
        <v>0</v>
      </c>
      <c r="G22" s="14">
        <v>0</v>
      </c>
      <c r="H22" s="14">
        <v>0</v>
      </c>
      <c r="I22" s="14">
        <v>0</v>
      </c>
      <c r="J22" s="17">
        <v>0</v>
      </c>
      <c r="K22" s="14">
        <v>1</v>
      </c>
      <c r="L22" s="17">
        <v>36.799999999999997</v>
      </c>
      <c r="M22" s="14" t="s">
        <v>86</v>
      </c>
    </row>
    <row r="23" spans="1:13" x14ac:dyDescent="0.25">
      <c r="A23" s="14" t="s">
        <v>61</v>
      </c>
      <c r="B23" s="14" t="s">
        <v>644</v>
      </c>
      <c r="C23" s="14" t="s">
        <v>645</v>
      </c>
      <c r="D23" s="14" t="s">
        <v>60</v>
      </c>
      <c r="E23" s="14">
        <v>0</v>
      </c>
      <c r="F23" s="14">
        <v>0</v>
      </c>
      <c r="G23" s="14">
        <v>0</v>
      </c>
      <c r="H23" s="14">
        <v>0</v>
      </c>
      <c r="I23" s="14">
        <v>0</v>
      </c>
      <c r="J23" s="17">
        <v>15</v>
      </c>
      <c r="K23" s="14">
        <v>1</v>
      </c>
      <c r="L23" s="17">
        <v>31.2</v>
      </c>
      <c r="M23" s="14" t="s">
        <v>86</v>
      </c>
    </row>
    <row r="24" spans="1:13" x14ac:dyDescent="0.25">
      <c r="A24" s="14" t="s">
        <v>45</v>
      </c>
      <c r="B24" s="14" t="s">
        <v>646</v>
      </c>
      <c r="C24" s="14" t="s">
        <v>647</v>
      </c>
      <c r="D24" s="14" t="s">
        <v>74</v>
      </c>
      <c r="E24" s="14">
        <v>1</v>
      </c>
      <c r="F24" s="14">
        <v>0</v>
      </c>
      <c r="G24" s="14">
        <v>0</v>
      </c>
      <c r="H24" s="14">
        <v>0</v>
      </c>
      <c r="I24" s="14">
        <v>0</v>
      </c>
      <c r="J24" s="17">
        <v>0</v>
      </c>
      <c r="K24" s="14">
        <v>0</v>
      </c>
      <c r="L24" s="17">
        <v>0</v>
      </c>
      <c r="M24" s="14" t="s">
        <v>86</v>
      </c>
    </row>
    <row r="25" spans="1:13" x14ac:dyDescent="0.25">
      <c r="A25" s="14" t="s">
        <v>49</v>
      </c>
      <c r="B25" s="14" t="s">
        <v>648</v>
      </c>
      <c r="C25" s="14" t="s">
        <v>649</v>
      </c>
      <c r="D25" s="14" t="s">
        <v>64</v>
      </c>
      <c r="E25" s="14">
        <v>0</v>
      </c>
      <c r="F25" s="14">
        <v>0</v>
      </c>
      <c r="G25" s="14">
        <v>1</v>
      </c>
      <c r="H25" s="14">
        <v>0</v>
      </c>
      <c r="I25" s="14">
        <v>0</v>
      </c>
      <c r="J25" s="17">
        <v>24</v>
      </c>
      <c r="K25" s="14">
        <v>1</v>
      </c>
      <c r="L25" s="17">
        <v>0</v>
      </c>
      <c r="M25" s="14" t="s">
        <v>86</v>
      </c>
    </row>
    <row r="26" spans="1:13" x14ac:dyDescent="0.25">
      <c r="A26" s="14" t="s">
        <v>53</v>
      </c>
      <c r="B26" s="14" t="s">
        <v>650</v>
      </c>
      <c r="C26" s="14" t="s">
        <v>651</v>
      </c>
      <c r="D26" s="14" t="s">
        <v>42</v>
      </c>
      <c r="E26" s="14">
        <v>1</v>
      </c>
      <c r="F26" s="14">
        <v>0</v>
      </c>
      <c r="G26" s="14">
        <v>0</v>
      </c>
      <c r="H26" s="14">
        <v>0</v>
      </c>
      <c r="I26" s="14">
        <v>0</v>
      </c>
      <c r="J26" s="17">
        <v>24</v>
      </c>
      <c r="K26" s="14">
        <v>1</v>
      </c>
      <c r="L26" s="17">
        <v>30.97</v>
      </c>
      <c r="M26" s="14" t="s">
        <v>86</v>
      </c>
    </row>
    <row r="27" spans="1:13" x14ac:dyDescent="0.25">
      <c r="A27" s="14" t="s">
        <v>43</v>
      </c>
      <c r="B27" s="14" t="s">
        <v>652</v>
      </c>
      <c r="C27" s="14" t="s">
        <v>653</v>
      </c>
      <c r="D27" s="14" t="s">
        <v>67</v>
      </c>
      <c r="E27" s="14">
        <v>1</v>
      </c>
      <c r="F27" s="14">
        <v>0</v>
      </c>
      <c r="G27" s="14">
        <v>0</v>
      </c>
      <c r="H27" s="14">
        <v>0</v>
      </c>
      <c r="I27" s="14">
        <v>0</v>
      </c>
      <c r="J27" s="17">
        <v>15</v>
      </c>
      <c r="K27" s="14">
        <v>1</v>
      </c>
      <c r="L27" s="17">
        <v>108.86</v>
      </c>
      <c r="M27" s="14" t="s">
        <v>86</v>
      </c>
    </row>
    <row r="28" spans="1:13" x14ac:dyDescent="0.25">
      <c r="A28" s="14" t="s">
        <v>61</v>
      </c>
      <c r="B28" s="14" t="s">
        <v>654</v>
      </c>
      <c r="C28" s="14" t="s">
        <v>655</v>
      </c>
      <c r="D28" s="14" t="s">
        <v>76</v>
      </c>
      <c r="E28" s="14">
        <v>0</v>
      </c>
      <c r="F28" s="14">
        <v>0</v>
      </c>
      <c r="G28" s="14">
        <v>0</v>
      </c>
      <c r="H28" s="14">
        <v>0</v>
      </c>
      <c r="I28" s="14">
        <v>0</v>
      </c>
      <c r="J28" s="17">
        <v>33</v>
      </c>
      <c r="K28" s="14">
        <v>0</v>
      </c>
      <c r="L28" s="17">
        <v>0</v>
      </c>
      <c r="M28" s="14" t="s">
        <v>86</v>
      </c>
    </row>
    <row r="29" spans="1:13" x14ac:dyDescent="0.25">
      <c r="A29" s="14" t="s">
        <v>53</v>
      </c>
      <c r="B29" s="14" t="s">
        <v>656</v>
      </c>
      <c r="C29" s="14" t="s">
        <v>657</v>
      </c>
      <c r="D29" s="14" t="s">
        <v>56</v>
      </c>
      <c r="E29" s="14">
        <v>0</v>
      </c>
      <c r="F29" s="14">
        <v>0</v>
      </c>
      <c r="G29" s="14">
        <v>0</v>
      </c>
      <c r="H29" s="14">
        <v>0</v>
      </c>
      <c r="I29" s="14">
        <v>0</v>
      </c>
      <c r="J29" s="17">
        <v>24</v>
      </c>
      <c r="K29" s="14">
        <v>1</v>
      </c>
      <c r="L29" s="17">
        <v>0</v>
      </c>
      <c r="M29" s="14" t="s">
        <v>86</v>
      </c>
    </row>
    <row r="30" spans="1:13" x14ac:dyDescent="0.25">
      <c r="A30" s="14" t="s">
        <v>49</v>
      </c>
      <c r="B30" s="14" t="s">
        <v>658</v>
      </c>
      <c r="C30" s="14" t="s">
        <v>659</v>
      </c>
      <c r="D30" s="14" t="s">
        <v>50</v>
      </c>
      <c r="E30" s="14">
        <v>1</v>
      </c>
      <c r="F30" s="14">
        <v>0</v>
      </c>
      <c r="G30" s="14">
        <v>0</v>
      </c>
      <c r="H30" s="14">
        <v>0</v>
      </c>
      <c r="I30" s="14">
        <v>0</v>
      </c>
      <c r="J30" s="17">
        <v>33</v>
      </c>
      <c r="K30" s="14">
        <v>1</v>
      </c>
      <c r="L30" s="17">
        <v>73.63</v>
      </c>
      <c r="M30" s="14" t="s">
        <v>86</v>
      </c>
    </row>
    <row r="31" spans="1:13" x14ac:dyDescent="0.25">
      <c r="A31" s="14"/>
      <c r="B31" s="14"/>
      <c r="C31" s="14"/>
      <c r="D31" s="14"/>
      <c r="E31" s="14"/>
      <c r="F31" s="14"/>
      <c r="G31" s="14"/>
      <c r="H31" s="14"/>
      <c r="I31" s="14"/>
      <c r="J31" s="17"/>
      <c r="K31" s="14"/>
      <c r="L31" s="17"/>
      <c r="M31" s="14"/>
    </row>
    <row r="32" spans="1:13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7"/>
      <c r="K32" s="14"/>
      <c r="L32" s="17"/>
      <c r="M32" s="14"/>
    </row>
    <row r="33" spans="1:13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7"/>
      <c r="K33" s="14"/>
      <c r="L33" s="17"/>
      <c r="M33" s="14"/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7"/>
      <c r="K34" s="14"/>
      <c r="L34" s="17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7"/>
      <c r="K35" s="14"/>
      <c r="L35" s="17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7"/>
      <c r="K36" s="14"/>
      <c r="L36" s="17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7"/>
      <c r="K37" s="14"/>
      <c r="L37" s="17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7"/>
      <c r="K38" s="14"/>
      <c r="L38" s="17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7"/>
      <c r="K39" s="14"/>
      <c r="L39" s="17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7"/>
      <c r="K40" s="14"/>
      <c r="L40" s="17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7"/>
      <c r="K41" s="14"/>
      <c r="L41" s="17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7"/>
      <c r="K42" s="14"/>
      <c r="L42" s="17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7"/>
      <c r="K43" s="14"/>
      <c r="L43" s="17"/>
      <c r="M43" s="14"/>
    </row>
  </sheetData>
  <mergeCells count="2">
    <mergeCell ref="A2:M2"/>
    <mergeCell ref="A1:M1"/>
  </mergeCells>
  <dataValidations count="1">
    <dataValidation type="list" allowBlank="1" sqref="M4:M43" xr:uid="{00000000-0002-0000-0E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E00-000000000000}">
          <x14:formula1>
            <xm:f>Setup!$A$5:$A$16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0E00-000001000000}">
          <x14:formula1>
            <xm:f>Setup!$C$5:$C$30</xm:f>
          </x14:formula1>
          <xm:sqref>D4:D43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4" t="s">
        <v>660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</row>
    <row r="2" spans="1:24" ht="21.95" customHeight="1" x14ac:dyDescent="0.25">
      <c r="A2" s="43" t="s">
        <v>19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</row>
    <row r="3" spans="1:24" x14ac:dyDescent="0.25">
      <c r="A3" s="12" t="s">
        <v>79</v>
      </c>
      <c r="B3" s="12" t="s">
        <v>80</v>
      </c>
      <c r="C3" s="12" t="s">
        <v>81</v>
      </c>
      <c r="D3" s="12" t="s">
        <v>82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83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53</v>
      </c>
      <c r="B4" s="14" t="s">
        <v>661</v>
      </c>
      <c r="C4" s="14" t="s">
        <v>662</v>
      </c>
      <c r="D4" s="14" t="s">
        <v>66</v>
      </c>
      <c r="E4" s="14">
        <v>0</v>
      </c>
      <c r="F4" s="14">
        <v>1</v>
      </c>
      <c r="G4" s="14">
        <v>0</v>
      </c>
      <c r="H4" s="14">
        <v>1</v>
      </c>
      <c r="I4" s="14">
        <v>0</v>
      </c>
      <c r="J4" s="17">
        <v>16</v>
      </c>
      <c r="K4" s="14">
        <v>1</v>
      </c>
      <c r="L4" s="17">
        <v>0</v>
      </c>
      <c r="M4" s="14" t="s">
        <v>86</v>
      </c>
      <c r="P4" s="14" t="str">
        <f>Setup!$A$5</f>
        <v>Expert 01</v>
      </c>
      <c r="Q4" s="14">
        <f t="shared" ref="Q4:Q15" si="0">SUMIF($A$4:$A$43,$P4,E$4:E$43)</f>
        <v>2</v>
      </c>
      <c r="R4" s="14">
        <f t="shared" ref="R4:R15" si="1">SUMIF($A$4:$A$43,$P4,F$4:F$43)</f>
        <v>0</v>
      </c>
      <c r="S4" s="14">
        <f t="shared" ref="S4:S15" si="2">SUMIF($A$4:$A$43,$P4,G$4:G$43)</f>
        <v>0</v>
      </c>
      <c r="T4" s="14">
        <f t="shared" ref="T4:T15" si="3">SUMIF($A$4:$A$43,$P4,H$4:H$43)</f>
        <v>1</v>
      </c>
      <c r="U4" s="14">
        <f t="shared" ref="U4:U15" si="4">SUMIF($A$4:$A$43,$P4,I$4:I$43)</f>
        <v>1</v>
      </c>
      <c r="V4" s="17">
        <f t="shared" ref="V4:V15" si="5">SUMIF($A$4:$A$43,$P4,J$4:J$43)</f>
        <v>18</v>
      </c>
      <c r="W4" s="14">
        <f t="shared" ref="W4:W15" si="6">SUMIF($A$4:$A$43,$P4,K$4:K$43)</f>
        <v>2</v>
      </c>
      <c r="X4" s="17">
        <f t="shared" ref="X4:X15" si="7">SUMIF($A$4:$A$43,$P4,L$4:L$43)</f>
        <v>157.01</v>
      </c>
    </row>
    <row r="5" spans="1:24" x14ac:dyDescent="0.25">
      <c r="A5" s="14" t="s">
        <v>43</v>
      </c>
      <c r="B5" s="14" t="s">
        <v>663</v>
      </c>
      <c r="C5" s="14" t="s">
        <v>664</v>
      </c>
      <c r="D5" s="14" t="s">
        <v>71</v>
      </c>
      <c r="E5" s="14">
        <v>1</v>
      </c>
      <c r="F5" s="14">
        <v>0</v>
      </c>
      <c r="G5" s="14">
        <v>0</v>
      </c>
      <c r="H5" s="14">
        <v>0</v>
      </c>
      <c r="I5" s="14">
        <v>0</v>
      </c>
      <c r="J5" s="17">
        <v>0</v>
      </c>
      <c r="K5" s="14">
        <v>1</v>
      </c>
      <c r="L5" s="17">
        <v>0</v>
      </c>
      <c r="M5" s="14" t="s">
        <v>86</v>
      </c>
      <c r="P5" s="14" t="str">
        <f>Setup!$A$6</f>
        <v>Expert 02</v>
      </c>
      <c r="Q5" s="14">
        <f t="shared" si="0"/>
        <v>0</v>
      </c>
      <c r="R5" s="14">
        <f t="shared" si="1"/>
        <v>0</v>
      </c>
      <c r="S5" s="14">
        <f t="shared" si="2"/>
        <v>0</v>
      </c>
      <c r="T5" s="14">
        <f t="shared" si="3"/>
        <v>1</v>
      </c>
      <c r="U5" s="14">
        <f t="shared" si="4"/>
        <v>0</v>
      </c>
      <c r="V5" s="17">
        <f t="shared" si="5"/>
        <v>32</v>
      </c>
      <c r="W5" s="14">
        <f t="shared" si="6"/>
        <v>0</v>
      </c>
      <c r="X5" s="17">
        <f t="shared" si="7"/>
        <v>112.99</v>
      </c>
    </row>
    <row r="6" spans="1:24" x14ac:dyDescent="0.25">
      <c r="A6" s="14" t="s">
        <v>53</v>
      </c>
      <c r="B6" s="14" t="s">
        <v>665</v>
      </c>
      <c r="C6" s="14" t="s">
        <v>666</v>
      </c>
      <c r="D6" s="14" t="s">
        <v>74</v>
      </c>
      <c r="E6" s="14">
        <v>1</v>
      </c>
      <c r="F6" s="14">
        <v>0</v>
      </c>
      <c r="G6" s="14">
        <v>0</v>
      </c>
      <c r="H6" s="14">
        <v>0</v>
      </c>
      <c r="I6" s="14">
        <v>0</v>
      </c>
      <c r="J6" s="17">
        <v>33</v>
      </c>
      <c r="K6" s="14">
        <v>0</v>
      </c>
      <c r="L6" s="17">
        <v>93.98</v>
      </c>
      <c r="M6" s="14" t="s">
        <v>86</v>
      </c>
      <c r="P6" s="14" t="str">
        <f>Setup!$A$7</f>
        <v>Expert 03</v>
      </c>
      <c r="Q6" s="14">
        <f t="shared" si="0"/>
        <v>1</v>
      </c>
      <c r="R6" s="14">
        <f t="shared" si="1"/>
        <v>0</v>
      </c>
      <c r="S6" s="14">
        <f t="shared" si="2"/>
        <v>0</v>
      </c>
      <c r="T6" s="14">
        <f t="shared" si="3"/>
        <v>0</v>
      </c>
      <c r="U6" s="14">
        <f t="shared" si="4"/>
        <v>0</v>
      </c>
      <c r="V6" s="17">
        <f t="shared" si="5"/>
        <v>18</v>
      </c>
      <c r="W6" s="14">
        <f t="shared" si="6"/>
        <v>1</v>
      </c>
      <c r="X6" s="17">
        <f t="shared" si="7"/>
        <v>61.66</v>
      </c>
    </row>
    <row r="7" spans="1:24" x14ac:dyDescent="0.25">
      <c r="A7" s="14" t="s">
        <v>57</v>
      </c>
      <c r="B7" s="14" t="s">
        <v>667</v>
      </c>
      <c r="C7" s="14" t="s">
        <v>668</v>
      </c>
      <c r="D7" s="14" t="s">
        <v>71</v>
      </c>
      <c r="E7" s="14">
        <v>0</v>
      </c>
      <c r="F7" s="14">
        <v>0</v>
      </c>
      <c r="G7" s="14">
        <v>0</v>
      </c>
      <c r="H7" s="14">
        <v>0</v>
      </c>
      <c r="I7" s="14">
        <v>0</v>
      </c>
      <c r="J7" s="17">
        <v>24</v>
      </c>
      <c r="K7" s="14">
        <v>1</v>
      </c>
      <c r="L7" s="17">
        <v>50.97</v>
      </c>
      <c r="M7" s="14" t="s">
        <v>86</v>
      </c>
      <c r="P7" s="14" t="str">
        <f>Setup!$A$8</f>
        <v>Expert 04</v>
      </c>
      <c r="Q7" s="14">
        <f t="shared" si="0"/>
        <v>0</v>
      </c>
      <c r="R7" s="14">
        <f t="shared" si="1"/>
        <v>0</v>
      </c>
      <c r="S7" s="14">
        <f t="shared" si="2"/>
        <v>0</v>
      </c>
      <c r="T7" s="14">
        <f t="shared" si="3"/>
        <v>0</v>
      </c>
      <c r="U7" s="14">
        <f t="shared" si="4"/>
        <v>1</v>
      </c>
      <c r="V7" s="17">
        <f t="shared" si="5"/>
        <v>15</v>
      </c>
      <c r="W7" s="14">
        <f t="shared" si="6"/>
        <v>0</v>
      </c>
      <c r="X7" s="17">
        <f t="shared" si="7"/>
        <v>75.88</v>
      </c>
    </row>
    <row r="8" spans="1:24" x14ac:dyDescent="0.25">
      <c r="A8" s="14" t="s">
        <v>43</v>
      </c>
      <c r="B8" s="14" t="s">
        <v>669</v>
      </c>
      <c r="C8" s="14" t="s">
        <v>670</v>
      </c>
      <c r="D8" s="14" t="s">
        <v>75</v>
      </c>
      <c r="E8" s="14">
        <v>0</v>
      </c>
      <c r="F8" s="14">
        <v>0</v>
      </c>
      <c r="G8" s="14">
        <v>0</v>
      </c>
      <c r="H8" s="14">
        <v>0</v>
      </c>
      <c r="I8" s="14">
        <v>0</v>
      </c>
      <c r="J8" s="17">
        <v>18</v>
      </c>
      <c r="K8" s="14">
        <v>0</v>
      </c>
      <c r="L8" s="17">
        <v>61.66</v>
      </c>
      <c r="M8" s="14" t="s">
        <v>86</v>
      </c>
      <c r="P8" s="14" t="str">
        <f>Setup!$A$9</f>
        <v>Expert 05</v>
      </c>
      <c r="Q8" s="14">
        <f t="shared" si="0"/>
        <v>0</v>
      </c>
      <c r="R8" s="14">
        <f t="shared" si="1"/>
        <v>2</v>
      </c>
      <c r="S8" s="14">
        <f t="shared" si="2"/>
        <v>0</v>
      </c>
      <c r="T8" s="14">
        <f t="shared" si="3"/>
        <v>0</v>
      </c>
      <c r="U8" s="14">
        <f t="shared" si="4"/>
        <v>1</v>
      </c>
      <c r="V8" s="17">
        <f t="shared" si="5"/>
        <v>0</v>
      </c>
      <c r="W8" s="14">
        <f t="shared" si="6"/>
        <v>1</v>
      </c>
      <c r="X8" s="17">
        <f t="shared" si="7"/>
        <v>115.96</v>
      </c>
    </row>
    <row r="9" spans="1:24" x14ac:dyDescent="0.25">
      <c r="A9" s="14" t="s">
        <v>45</v>
      </c>
      <c r="B9" s="14" t="s">
        <v>671</v>
      </c>
      <c r="C9" s="14" t="s">
        <v>672</v>
      </c>
      <c r="D9" s="14" t="s">
        <v>72</v>
      </c>
      <c r="E9" s="14">
        <v>0</v>
      </c>
      <c r="F9" s="14">
        <v>0</v>
      </c>
      <c r="G9" s="14">
        <v>0</v>
      </c>
      <c r="H9" s="14">
        <v>0</v>
      </c>
      <c r="I9" s="14">
        <v>1</v>
      </c>
      <c r="J9" s="17">
        <v>15</v>
      </c>
      <c r="K9" s="14">
        <v>0</v>
      </c>
      <c r="L9" s="17">
        <v>75.88</v>
      </c>
      <c r="M9" s="14" t="s">
        <v>86</v>
      </c>
      <c r="P9" s="14" t="str">
        <f>Setup!$A$10</f>
        <v>Expert 06</v>
      </c>
      <c r="Q9" s="14">
        <f t="shared" si="0"/>
        <v>1</v>
      </c>
      <c r="R9" s="14">
        <f t="shared" si="1"/>
        <v>2</v>
      </c>
      <c r="S9" s="14">
        <f t="shared" si="2"/>
        <v>1</v>
      </c>
      <c r="T9" s="14">
        <f t="shared" si="3"/>
        <v>0</v>
      </c>
      <c r="U9" s="14">
        <f t="shared" si="4"/>
        <v>0</v>
      </c>
      <c r="V9" s="17">
        <f t="shared" si="5"/>
        <v>78</v>
      </c>
      <c r="W9" s="14">
        <f t="shared" si="6"/>
        <v>4</v>
      </c>
      <c r="X9" s="17">
        <f t="shared" si="7"/>
        <v>157.30000000000001</v>
      </c>
    </row>
    <row r="10" spans="1:24" x14ac:dyDescent="0.25">
      <c r="A10" s="14" t="s">
        <v>49</v>
      </c>
      <c r="B10" s="14" t="s">
        <v>673</v>
      </c>
      <c r="C10" s="14" t="s">
        <v>674</v>
      </c>
      <c r="D10" s="14" t="s">
        <v>63</v>
      </c>
      <c r="E10" s="14">
        <v>0</v>
      </c>
      <c r="F10" s="14">
        <v>0</v>
      </c>
      <c r="G10" s="14">
        <v>0</v>
      </c>
      <c r="H10" s="14">
        <v>0</v>
      </c>
      <c r="I10" s="14">
        <v>0</v>
      </c>
      <c r="J10" s="17">
        <v>24</v>
      </c>
      <c r="K10" s="14">
        <v>1</v>
      </c>
      <c r="L10" s="17">
        <v>0</v>
      </c>
      <c r="M10" s="14" t="s">
        <v>86</v>
      </c>
      <c r="P10" s="14" t="str">
        <f>Setup!$A$11</f>
        <v>Expert 07</v>
      </c>
      <c r="Q10" s="14">
        <f t="shared" si="0"/>
        <v>1</v>
      </c>
      <c r="R10" s="14">
        <f t="shared" si="1"/>
        <v>0</v>
      </c>
      <c r="S10" s="14">
        <f t="shared" si="2"/>
        <v>1</v>
      </c>
      <c r="T10" s="14">
        <f t="shared" si="3"/>
        <v>0</v>
      </c>
      <c r="U10" s="14">
        <f t="shared" si="4"/>
        <v>0</v>
      </c>
      <c r="V10" s="17">
        <f t="shared" si="5"/>
        <v>0</v>
      </c>
      <c r="W10" s="14">
        <f t="shared" si="6"/>
        <v>1</v>
      </c>
      <c r="X10" s="17">
        <f t="shared" si="7"/>
        <v>64.760000000000005</v>
      </c>
    </row>
    <row r="11" spans="1:24" x14ac:dyDescent="0.25">
      <c r="A11" s="14" t="s">
        <v>53</v>
      </c>
      <c r="B11" s="14" t="s">
        <v>675</v>
      </c>
      <c r="C11" s="14" t="s">
        <v>676</v>
      </c>
      <c r="D11" s="14" t="s">
        <v>68</v>
      </c>
      <c r="E11" s="14">
        <v>0</v>
      </c>
      <c r="F11" s="14">
        <v>1</v>
      </c>
      <c r="G11" s="14">
        <v>0</v>
      </c>
      <c r="H11" s="14">
        <v>0</v>
      </c>
      <c r="I11" s="14">
        <v>0</v>
      </c>
      <c r="J11" s="17">
        <v>0</v>
      </c>
      <c r="K11" s="14">
        <v>1</v>
      </c>
      <c r="L11" s="17">
        <v>0</v>
      </c>
      <c r="M11" s="14" t="s">
        <v>86</v>
      </c>
      <c r="P11" s="14" t="str">
        <f>Setup!$A$12</f>
        <v>Expert 08</v>
      </c>
      <c r="Q11" s="14">
        <f t="shared" si="0"/>
        <v>1</v>
      </c>
      <c r="R11" s="14">
        <f t="shared" si="1"/>
        <v>2</v>
      </c>
      <c r="S11" s="14">
        <f t="shared" si="2"/>
        <v>0</v>
      </c>
      <c r="T11" s="14">
        <f t="shared" si="3"/>
        <v>1</v>
      </c>
      <c r="U11" s="14">
        <f t="shared" si="4"/>
        <v>0</v>
      </c>
      <c r="V11" s="17">
        <f t="shared" si="5"/>
        <v>82</v>
      </c>
      <c r="W11" s="14">
        <f t="shared" si="6"/>
        <v>3</v>
      </c>
      <c r="X11" s="17">
        <f t="shared" si="7"/>
        <v>93.98</v>
      </c>
    </row>
    <row r="12" spans="1:24" x14ac:dyDescent="0.25">
      <c r="A12" s="14" t="s">
        <v>61</v>
      </c>
      <c r="B12" s="14" t="s">
        <v>677</v>
      </c>
      <c r="C12" s="14" t="s">
        <v>678</v>
      </c>
      <c r="D12" s="14" t="s">
        <v>65</v>
      </c>
      <c r="E12" s="14">
        <v>0</v>
      </c>
      <c r="F12" s="14">
        <v>1</v>
      </c>
      <c r="G12" s="14">
        <v>0</v>
      </c>
      <c r="H12" s="14">
        <v>0</v>
      </c>
      <c r="I12" s="14">
        <v>0</v>
      </c>
      <c r="J12" s="17">
        <v>0</v>
      </c>
      <c r="K12" s="14">
        <v>1</v>
      </c>
      <c r="L12" s="17">
        <v>0</v>
      </c>
      <c r="M12" s="14" t="s">
        <v>86</v>
      </c>
      <c r="P12" s="14" t="str">
        <f>Setup!$A$13</f>
        <v>Expert 09</v>
      </c>
      <c r="Q12" s="14">
        <f t="shared" si="0"/>
        <v>0</v>
      </c>
      <c r="R12" s="14">
        <f t="shared" si="1"/>
        <v>1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7">
        <f t="shared" si="5"/>
        <v>33</v>
      </c>
      <c r="W12" s="14">
        <f t="shared" si="6"/>
        <v>3</v>
      </c>
      <c r="X12" s="17">
        <f t="shared" si="7"/>
        <v>130.49</v>
      </c>
    </row>
    <row r="13" spans="1:24" x14ac:dyDescent="0.25">
      <c r="A13" s="14" t="s">
        <v>55</v>
      </c>
      <c r="B13" s="14" t="s">
        <v>679</v>
      </c>
      <c r="C13" s="14" t="s">
        <v>680</v>
      </c>
      <c r="D13" s="14" t="s">
        <v>48</v>
      </c>
      <c r="E13" s="14">
        <v>0</v>
      </c>
      <c r="F13" s="14">
        <v>1</v>
      </c>
      <c r="G13" s="14">
        <v>0</v>
      </c>
      <c r="H13" s="14">
        <v>0</v>
      </c>
      <c r="I13" s="14">
        <v>0</v>
      </c>
      <c r="J13" s="17">
        <v>0</v>
      </c>
      <c r="K13" s="14">
        <v>1</v>
      </c>
      <c r="L13" s="17">
        <v>0</v>
      </c>
      <c r="M13" s="14" t="s">
        <v>86</v>
      </c>
      <c r="P13" s="14" t="str">
        <f>Setup!$A$14</f>
        <v>Expert 10</v>
      </c>
      <c r="Q13" s="14">
        <f t="shared" si="0"/>
        <v>1</v>
      </c>
      <c r="R13" s="14">
        <f t="shared" si="1"/>
        <v>0</v>
      </c>
      <c r="S13" s="14">
        <f t="shared" si="2"/>
        <v>0</v>
      </c>
      <c r="T13" s="14">
        <f t="shared" si="3"/>
        <v>0</v>
      </c>
      <c r="U13" s="14">
        <f t="shared" si="4"/>
        <v>0</v>
      </c>
      <c r="V13" s="17">
        <f t="shared" si="5"/>
        <v>24</v>
      </c>
      <c r="W13" s="14">
        <f t="shared" si="6"/>
        <v>2</v>
      </c>
      <c r="X13" s="17">
        <f t="shared" si="7"/>
        <v>153.1</v>
      </c>
    </row>
    <row r="14" spans="1:24" x14ac:dyDescent="0.25">
      <c r="A14" s="14" t="s">
        <v>49</v>
      </c>
      <c r="B14" s="14" t="s">
        <v>681</v>
      </c>
      <c r="C14" s="14" t="s">
        <v>682</v>
      </c>
      <c r="D14" s="14" t="s">
        <v>62</v>
      </c>
      <c r="E14" s="14">
        <v>0</v>
      </c>
      <c r="F14" s="14">
        <v>1</v>
      </c>
      <c r="G14" s="14">
        <v>0</v>
      </c>
      <c r="H14" s="14">
        <v>0</v>
      </c>
      <c r="I14" s="14">
        <v>0</v>
      </c>
      <c r="J14" s="17">
        <v>15</v>
      </c>
      <c r="K14" s="14">
        <v>1</v>
      </c>
      <c r="L14" s="17">
        <v>0</v>
      </c>
      <c r="M14" s="14" t="s">
        <v>86</v>
      </c>
      <c r="P14" s="14" t="str">
        <f>Setup!$A$15</f>
        <v>Expert 11</v>
      </c>
      <c r="Q14" s="14">
        <f t="shared" si="0"/>
        <v>2</v>
      </c>
      <c r="R14" s="14">
        <f t="shared" si="1"/>
        <v>0</v>
      </c>
      <c r="S14" s="14">
        <f t="shared" si="2"/>
        <v>0</v>
      </c>
      <c r="T14" s="14">
        <f t="shared" si="3"/>
        <v>0</v>
      </c>
      <c r="U14" s="14">
        <f t="shared" si="4"/>
        <v>0</v>
      </c>
      <c r="V14" s="17">
        <f t="shared" si="5"/>
        <v>33</v>
      </c>
      <c r="W14" s="14">
        <f t="shared" si="6"/>
        <v>2</v>
      </c>
      <c r="X14" s="17">
        <f t="shared" si="7"/>
        <v>48.65</v>
      </c>
    </row>
    <row r="15" spans="1:24" x14ac:dyDescent="0.25">
      <c r="A15" s="14" t="s">
        <v>61</v>
      </c>
      <c r="B15" s="14" t="s">
        <v>683</v>
      </c>
      <c r="C15" s="14" t="s">
        <v>684</v>
      </c>
      <c r="D15" s="14" t="s">
        <v>62</v>
      </c>
      <c r="E15" s="14">
        <v>1</v>
      </c>
      <c r="F15" s="14">
        <v>0</v>
      </c>
      <c r="G15" s="14">
        <v>0</v>
      </c>
      <c r="H15" s="14">
        <v>0</v>
      </c>
      <c r="I15" s="14">
        <v>0</v>
      </c>
      <c r="J15" s="17">
        <v>0</v>
      </c>
      <c r="K15" s="14">
        <v>1</v>
      </c>
      <c r="L15" s="17">
        <v>143.94</v>
      </c>
      <c r="M15" s="14" t="s">
        <v>86</v>
      </c>
      <c r="P15" s="14" t="str">
        <f>Setup!$A$16</f>
        <v>Expert 12</v>
      </c>
      <c r="Q15" s="14">
        <f t="shared" si="0"/>
        <v>1</v>
      </c>
      <c r="R15" s="14">
        <f t="shared" si="1"/>
        <v>1</v>
      </c>
      <c r="S15" s="14">
        <f t="shared" si="2"/>
        <v>0</v>
      </c>
      <c r="T15" s="14">
        <f t="shared" si="3"/>
        <v>0</v>
      </c>
      <c r="U15" s="14">
        <f t="shared" si="4"/>
        <v>0</v>
      </c>
      <c r="V15" s="17">
        <f t="shared" si="5"/>
        <v>0</v>
      </c>
      <c r="W15" s="14">
        <f t="shared" si="6"/>
        <v>2</v>
      </c>
      <c r="X15" s="17">
        <f t="shared" si="7"/>
        <v>143.94</v>
      </c>
    </row>
    <row r="16" spans="1:24" x14ac:dyDescent="0.25">
      <c r="A16" s="14" t="s">
        <v>39</v>
      </c>
      <c r="B16" s="14" t="s">
        <v>685</v>
      </c>
      <c r="C16" s="14" t="s">
        <v>686</v>
      </c>
      <c r="D16" s="14" t="s">
        <v>76</v>
      </c>
      <c r="E16" s="14">
        <v>0</v>
      </c>
      <c r="F16" s="14">
        <v>0</v>
      </c>
      <c r="G16" s="14">
        <v>0</v>
      </c>
      <c r="H16" s="14">
        <v>0</v>
      </c>
      <c r="I16" s="14">
        <v>0</v>
      </c>
      <c r="J16" s="17">
        <v>0</v>
      </c>
      <c r="K16" s="14">
        <v>0</v>
      </c>
      <c r="L16" s="17">
        <v>0</v>
      </c>
      <c r="M16" s="14" t="s">
        <v>86</v>
      </c>
      <c r="P16" s="18" t="s">
        <v>111</v>
      </c>
      <c r="Q16" s="19">
        <f t="shared" ref="Q16:X16" si="8">SUM(Q4:Q15)</f>
        <v>10</v>
      </c>
      <c r="R16" s="19">
        <f t="shared" si="8"/>
        <v>8</v>
      </c>
      <c r="S16" s="19">
        <f t="shared" si="8"/>
        <v>2</v>
      </c>
      <c r="T16" s="19">
        <f t="shared" si="8"/>
        <v>3</v>
      </c>
      <c r="U16" s="19">
        <f t="shared" si="8"/>
        <v>3</v>
      </c>
      <c r="V16" s="20">
        <f t="shared" si="8"/>
        <v>333</v>
      </c>
      <c r="W16" s="19">
        <f t="shared" si="8"/>
        <v>21</v>
      </c>
      <c r="X16" s="20">
        <f t="shared" si="8"/>
        <v>1315.72</v>
      </c>
    </row>
    <row r="17" spans="1:13" x14ac:dyDescent="0.25">
      <c r="A17" s="14" t="s">
        <v>59</v>
      </c>
      <c r="B17" s="14" t="s">
        <v>687</v>
      </c>
      <c r="C17" s="14" t="s">
        <v>688</v>
      </c>
      <c r="D17" s="14" t="s">
        <v>69</v>
      </c>
      <c r="E17" s="14">
        <v>1</v>
      </c>
      <c r="F17" s="14">
        <v>0</v>
      </c>
      <c r="G17" s="14">
        <v>0</v>
      </c>
      <c r="H17" s="14">
        <v>0</v>
      </c>
      <c r="I17" s="14">
        <v>0</v>
      </c>
      <c r="J17" s="17">
        <v>0</v>
      </c>
      <c r="K17" s="14">
        <v>1</v>
      </c>
      <c r="L17" s="17">
        <v>48.65</v>
      </c>
      <c r="M17" s="14" t="s">
        <v>86</v>
      </c>
    </row>
    <row r="18" spans="1:13" x14ac:dyDescent="0.25">
      <c r="A18" s="14" t="s">
        <v>53</v>
      </c>
      <c r="B18" s="14" t="s">
        <v>689</v>
      </c>
      <c r="C18" s="14" t="s">
        <v>690</v>
      </c>
      <c r="D18" s="14" t="s">
        <v>48</v>
      </c>
      <c r="E18" s="14">
        <v>0</v>
      </c>
      <c r="F18" s="14">
        <v>0</v>
      </c>
      <c r="G18" s="14">
        <v>0</v>
      </c>
      <c r="H18" s="14">
        <v>0</v>
      </c>
      <c r="I18" s="14">
        <v>0</v>
      </c>
      <c r="J18" s="17">
        <v>33</v>
      </c>
      <c r="K18" s="14">
        <v>1</v>
      </c>
      <c r="L18" s="17">
        <v>0</v>
      </c>
      <c r="M18" s="14" t="s">
        <v>86</v>
      </c>
    </row>
    <row r="19" spans="1:13" x14ac:dyDescent="0.25">
      <c r="A19" s="14" t="s">
        <v>47</v>
      </c>
      <c r="B19" s="14" t="s">
        <v>691</v>
      </c>
      <c r="C19" s="14" t="s">
        <v>692</v>
      </c>
      <c r="D19" s="14" t="s">
        <v>73</v>
      </c>
      <c r="E19" s="14">
        <v>0</v>
      </c>
      <c r="F19" s="14">
        <v>1</v>
      </c>
      <c r="G19" s="14">
        <v>0</v>
      </c>
      <c r="H19" s="14">
        <v>0</v>
      </c>
      <c r="I19" s="14">
        <v>1</v>
      </c>
      <c r="J19" s="17">
        <v>0</v>
      </c>
      <c r="K19" s="14">
        <v>0</v>
      </c>
      <c r="L19" s="17">
        <v>115.96</v>
      </c>
      <c r="M19" s="14" t="s">
        <v>86</v>
      </c>
    </row>
    <row r="20" spans="1:13" x14ac:dyDescent="0.25">
      <c r="A20" s="14" t="s">
        <v>39</v>
      </c>
      <c r="B20" s="14" t="s">
        <v>693</v>
      </c>
      <c r="C20" s="14" t="s">
        <v>694</v>
      </c>
      <c r="D20" s="14" t="s">
        <v>72</v>
      </c>
      <c r="E20" s="14">
        <v>0</v>
      </c>
      <c r="F20" s="14">
        <v>0</v>
      </c>
      <c r="G20" s="14">
        <v>0</v>
      </c>
      <c r="H20" s="14">
        <v>0</v>
      </c>
      <c r="I20" s="14">
        <v>1</v>
      </c>
      <c r="J20" s="17">
        <v>0</v>
      </c>
      <c r="K20" s="14">
        <v>0</v>
      </c>
      <c r="L20" s="17">
        <v>0</v>
      </c>
      <c r="M20" s="14" t="s">
        <v>86</v>
      </c>
    </row>
    <row r="21" spans="1:13" x14ac:dyDescent="0.25">
      <c r="A21" s="14" t="s">
        <v>51</v>
      </c>
      <c r="B21" s="14" t="s">
        <v>695</v>
      </c>
      <c r="C21" s="14" t="s">
        <v>696</v>
      </c>
      <c r="D21" s="14" t="s">
        <v>71</v>
      </c>
      <c r="E21" s="14">
        <v>1</v>
      </c>
      <c r="F21" s="14">
        <v>0</v>
      </c>
      <c r="G21" s="14">
        <v>1</v>
      </c>
      <c r="H21" s="14">
        <v>0</v>
      </c>
      <c r="I21" s="14">
        <v>0</v>
      </c>
      <c r="J21" s="17">
        <v>0</v>
      </c>
      <c r="K21" s="14">
        <v>1</v>
      </c>
      <c r="L21" s="17">
        <v>64.760000000000005</v>
      </c>
      <c r="M21" s="14" t="s">
        <v>86</v>
      </c>
    </row>
    <row r="22" spans="1:13" x14ac:dyDescent="0.25">
      <c r="A22" s="14" t="s">
        <v>41</v>
      </c>
      <c r="B22" s="14" t="s">
        <v>697</v>
      </c>
      <c r="C22" s="14" t="s">
        <v>698</v>
      </c>
      <c r="D22" s="14" t="s">
        <v>76</v>
      </c>
      <c r="E22" s="14">
        <v>0</v>
      </c>
      <c r="F22" s="14">
        <v>0</v>
      </c>
      <c r="G22" s="14">
        <v>0</v>
      </c>
      <c r="H22" s="14">
        <v>0</v>
      </c>
      <c r="I22" s="14">
        <v>0</v>
      </c>
      <c r="J22" s="17">
        <v>16</v>
      </c>
      <c r="K22" s="14">
        <v>0</v>
      </c>
      <c r="L22" s="17">
        <v>112.99</v>
      </c>
      <c r="M22" s="14" t="s">
        <v>86</v>
      </c>
    </row>
    <row r="23" spans="1:13" x14ac:dyDescent="0.25">
      <c r="A23" s="14" t="s">
        <v>59</v>
      </c>
      <c r="B23" s="14" t="s">
        <v>699</v>
      </c>
      <c r="C23" s="14" t="s">
        <v>700</v>
      </c>
      <c r="D23" s="14" t="s">
        <v>71</v>
      </c>
      <c r="E23" s="14">
        <v>1</v>
      </c>
      <c r="F23" s="14">
        <v>0</v>
      </c>
      <c r="G23" s="14">
        <v>0</v>
      </c>
      <c r="H23" s="14">
        <v>0</v>
      </c>
      <c r="I23" s="14">
        <v>0</v>
      </c>
      <c r="J23" s="17">
        <v>33</v>
      </c>
      <c r="K23" s="14">
        <v>1</v>
      </c>
      <c r="L23" s="17">
        <v>0</v>
      </c>
      <c r="M23" s="14" t="s">
        <v>86</v>
      </c>
    </row>
    <row r="24" spans="1:13" x14ac:dyDescent="0.25">
      <c r="A24" s="14" t="s">
        <v>39</v>
      </c>
      <c r="B24" s="14" t="s">
        <v>701</v>
      </c>
      <c r="C24" s="14" t="s">
        <v>702</v>
      </c>
      <c r="D24" s="14" t="s">
        <v>58</v>
      </c>
      <c r="E24" s="14">
        <v>1</v>
      </c>
      <c r="F24" s="14">
        <v>0</v>
      </c>
      <c r="G24" s="14">
        <v>0</v>
      </c>
      <c r="H24" s="14">
        <v>1</v>
      </c>
      <c r="I24" s="14">
        <v>0</v>
      </c>
      <c r="J24" s="17">
        <v>0</v>
      </c>
      <c r="K24" s="14">
        <v>1</v>
      </c>
      <c r="L24" s="17">
        <v>0</v>
      </c>
      <c r="M24" s="14" t="s">
        <v>86</v>
      </c>
    </row>
    <row r="25" spans="1:13" x14ac:dyDescent="0.25">
      <c r="A25" s="14" t="s">
        <v>47</v>
      </c>
      <c r="B25" s="14" t="s">
        <v>703</v>
      </c>
      <c r="C25" s="14" t="s">
        <v>704</v>
      </c>
      <c r="D25" s="14" t="s">
        <v>42</v>
      </c>
      <c r="E25" s="14">
        <v>0</v>
      </c>
      <c r="F25" s="14">
        <v>1</v>
      </c>
      <c r="G25" s="14">
        <v>0</v>
      </c>
      <c r="H25" s="14">
        <v>0</v>
      </c>
      <c r="I25" s="14">
        <v>0</v>
      </c>
      <c r="J25" s="17">
        <v>0</v>
      </c>
      <c r="K25" s="14">
        <v>1</v>
      </c>
      <c r="L25" s="17">
        <v>0</v>
      </c>
      <c r="M25" s="14" t="s">
        <v>86</v>
      </c>
    </row>
    <row r="26" spans="1:13" x14ac:dyDescent="0.25">
      <c r="A26" s="14" t="s">
        <v>55</v>
      </c>
      <c r="B26" s="14" t="s">
        <v>705</v>
      </c>
      <c r="C26" s="14" t="s">
        <v>706</v>
      </c>
      <c r="D26" s="14" t="s">
        <v>68</v>
      </c>
      <c r="E26" s="14">
        <v>0</v>
      </c>
      <c r="F26" s="14">
        <v>0</v>
      </c>
      <c r="G26" s="14">
        <v>0</v>
      </c>
      <c r="H26" s="14">
        <v>0</v>
      </c>
      <c r="I26" s="14">
        <v>0</v>
      </c>
      <c r="J26" s="17">
        <v>33</v>
      </c>
      <c r="K26" s="14">
        <v>1</v>
      </c>
      <c r="L26" s="17">
        <v>130.49</v>
      </c>
      <c r="M26" s="14" t="s">
        <v>86</v>
      </c>
    </row>
    <row r="27" spans="1:13" x14ac:dyDescent="0.25">
      <c r="A27" s="14" t="s">
        <v>55</v>
      </c>
      <c r="B27" s="14" t="s">
        <v>707</v>
      </c>
      <c r="C27" s="14" t="s">
        <v>708</v>
      </c>
      <c r="D27" s="14" t="s">
        <v>65</v>
      </c>
      <c r="E27" s="14">
        <v>0</v>
      </c>
      <c r="F27" s="14">
        <v>0</v>
      </c>
      <c r="G27" s="14">
        <v>0</v>
      </c>
      <c r="H27" s="14">
        <v>0</v>
      </c>
      <c r="I27" s="14">
        <v>0</v>
      </c>
      <c r="J27" s="17">
        <v>0</v>
      </c>
      <c r="K27" s="14">
        <v>1</v>
      </c>
      <c r="L27" s="17">
        <v>0</v>
      </c>
      <c r="M27" s="14" t="s">
        <v>86</v>
      </c>
    </row>
    <row r="28" spans="1:13" x14ac:dyDescent="0.25">
      <c r="A28" s="14" t="s">
        <v>57</v>
      </c>
      <c r="B28" s="14" t="s">
        <v>709</v>
      </c>
      <c r="C28" s="14" t="s">
        <v>710</v>
      </c>
      <c r="D28" s="14" t="s">
        <v>48</v>
      </c>
      <c r="E28" s="14">
        <v>1</v>
      </c>
      <c r="F28" s="14">
        <v>0</v>
      </c>
      <c r="G28" s="14">
        <v>0</v>
      </c>
      <c r="H28" s="14">
        <v>0</v>
      </c>
      <c r="I28" s="14">
        <v>0</v>
      </c>
      <c r="J28" s="17">
        <v>0</v>
      </c>
      <c r="K28" s="14">
        <v>1</v>
      </c>
      <c r="L28" s="17">
        <v>102.13</v>
      </c>
      <c r="M28" s="14" t="s">
        <v>86</v>
      </c>
    </row>
    <row r="29" spans="1:13" x14ac:dyDescent="0.25">
      <c r="A29" s="14" t="s">
        <v>49</v>
      </c>
      <c r="B29" s="14" t="s">
        <v>711</v>
      </c>
      <c r="C29" s="14" t="s">
        <v>712</v>
      </c>
      <c r="D29" s="14" t="s">
        <v>56</v>
      </c>
      <c r="E29" s="14">
        <v>0</v>
      </c>
      <c r="F29" s="14">
        <v>1</v>
      </c>
      <c r="G29" s="14">
        <v>1</v>
      </c>
      <c r="H29" s="14">
        <v>0</v>
      </c>
      <c r="I29" s="14">
        <v>0</v>
      </c>
      <c r="J29" s="17">
        <v>15</v>
      </c>
      <c r="K29" s="14">
        <v>1</v>
      </c>
      <c r="L29" s="17">
        <v>13.37</v>
      </c>
      <c r="M29" s="14" t="s">
        <v>86</v>
      </c>
    </row>
    <row r="30" spans="1:13" x14ac:dyDescent="0.25">
      <c r="A30" s="14" t="s">
        <v>39</v>
      </c>
      <c r="B30" s="14" t="s">
        <v>713</v>
      </c>
      <c r="C30" s="14" t="s">
        <v>714</v>
      </c>
      <c r="D30" s="14" t="s">
        <v>50</v>
      </c>
      <c r="E30" s="14">
        <v>1</v>
      </c>
      <c r="F30" s="14">
        <v>0</v>
      </c>
      <c r="G30" s="14">
        <v>0</v>
      </c>
      <c r="H30" s="14">
        <v>0</v>
      </c>
      <c r="I30" s="14">
        <v>0</v>
      </c>
      <c r="J30" s="17">
        <v>18</v>
      </c>
      <c r="K30" s="14">
        <v>1</v>
      </c>
      <c r="L30" s="17">
        <v>157.01</v>
      </c>
      <c r="M30" s="14" t="s">
        <v>86</v>
      </c>
    </row>
    <row r="31" spans="1:13" x14ac:dyDescent="0.25">
      <c r="A31" s="14" t="s">
        <v>49</v>
      </c>
      <c r="B31" s="14" t="s">
        <v>715</v>
      </c>
      <c r="C31" s="14" t="s">
        <v>716</v>
      </c>
      <c r="D31" s="14" t="s">
        <v>44</v>
      </c>
      <c r="E31" s="14">
        <v>1</v>
      </c>
      <c r="F31" s="14">
        <v>0</v>
      </c>
      <c r="G31" s="14">
        <v>0</v>
      </c>
      <c r="H31" s="14">
        <v>0</v>
      </c>
      <c r="I31" s="14">
        <v>0</v>
      </c>
      <c r="J31" s="17">
        <v>24</v>
      </c>
      <c r="K31" s="14">
        <v>1</v>
      </c>
      <c r="L31" s="17">
        <v>143.93</v>
      </c>
      <c r="M31" s="14" t="s">
        <v>86</v>
      </c>
    </row>
    <row r="32" spans="1:13" x14ac:dyDescent="0.25">
      <c r="A32" s="14" t="s">
        <v>41</v>
      </c>
      <c r="B32" s="14" t="s">
        <v>717</v>
      </c>
      <c r="C32" s="14" t="s">
        <v>718</v>
      </c>
      <c r="D32" s="14" t="s">
        <v>76</v>
      </c>
      <c r="E32" s="14">
        <v>0</v>
      </c>
      <c r="F32" s="14">
        <v>0</v>
      </c>
      <c r="G32" s="14">
        <v>0</v>
      </c>
      <c r="H32" s="14">
        <v>1</v>
      </c>
      <c r="I32" s="14">
        <v>0</v>
      </c>
      <c r="J32" s="17">
        <v>16</v>
      </c>
      <c r="K32" s="14">
        <v>0</v>
      </c>
      <c r="L32" s="17">
        <v>0</v>
      </c>
      <c r="M32" s="14" t="s">
        <v>212</v>
      </c>
    </row>
    <row r="33" spans="1:13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7"/>
      <c r="K33" s="14"/>
      <c r="L33" s="17"/>
      <c r="M33" s="14"/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7"/>
      <c r="K34" s="14"/>
      <c r="L34" s="17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7"/>
      <c r="K35" s="14"/>
      <c r="L35" s="17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7"/>
      <c r="K36" s="14"/>
      <c r="L36" s="17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7"/>
      <c r="K37" s="14"/>
      <c r="L37" s="17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7"/>
      <c r="K38" s="14"/>
      <c r="L38" s="17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7"/>
      <c r="K39" s="14"/>
      <c r="L39" s="17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7"/>
      <c r="K40" s="14"/>
      <c r="L40" s="17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7"/>
      <c r="K41" s="14"/>
      <c r="L41" s="17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7"/>
      <c r="K42" s="14"/>
      <c r="L42" s="17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7"/>
      <c r="K43" s="14"/>
      <c r="L43" s="17"/>
      <c r="M43" s="14"/>
    </row>
  </sheetData>
  <mergeCells count="2">
    <mergeCell ref="A2:M2"/>
    <mergeCell ref="A1:M1"/>
  </mergeCells>
  <dataValidations count="1">
    <dataValidation type="list" allowBlank="1" sqref="M4:M43" xr:uid="{00000000-0002-0000-0F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F00-000000000000}">
          <x14:formula1>
            <xm:f>Setup!$A$5:$A$16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0F00-000001000000}">
          <x14:formula1>
            <xm:f>Setup!$C$5:$C$30</xm:f>
          </x14:formula1>
          <xm:sqref>D4:D43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4" t="s">
        <v>719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</row>
    <row r="2" spans="1:24" ht="21.95" customHeight="1" x14ac:dyDescent="0.25">
      <c r="A2" s="43" t="s">
        <v>19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</row>
    <row r="3" spans="1:24" x14ac:dyDescent="0.25">
      <c r="A3" s="12" t="s">
        <v>79</v>
      </c>
      <c r="B3" s="12" t="s">
        <v>80</v>
      </c>
      <c r="C3" s="12" t="s">
        <v>81</v>
      </c>
      <c r="D3" s="12" t="s">
        <v>82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83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47</v>
      </c>
      <c r="B4" s="14" t="s">
        <v>720</v>
      </c>
      <c r="C4" s="14" t="s">
        <v>721</v>
      </c>
      <c r="D4" s="14" t="s">
        <v>50</v>
      </c>
      <c r="E4" s="14">
        <v>0</v>
      </c>
      <c r="F4" s="14">
        <v>1</v>
      </c>
      <c r="G4" s="14">
        <v>0</v>
      </c>
      <c r="H4" s="14">
        <v>0</v>
      </c>
      <c r="I4" s="14">
        <v>0</v>
      </c>
      <c r="J4" s="17">
        <v>18</v>
      </c>
      <c r="K4" s="14">
        <v>1</v>
      </c>
      <c r="L4" s="17">
        <v>115.26</v>
      </c>
      <c r="M4" s="14" t="s">
        <v>86</v>
      </c>
      <c r="P4" s="14" t="str">
        <f>Setup!$A$5</f>
        <v>Expert 01</v>
      </c>
      <c r="Q4" s="14">
        <f t="shared" ref="Q4:Q15" si="0">SUMIF($A$4:$A$43,$P4,E$4:E$43)</f>
        <v>0</v>
      </c>
      <c r="R4" s="14">
        <f t="shared" ref="R4:R15" si="1">SUMIF($A$4:$A$43,$P4,F$4:F$43)</f>
        <v>0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7">
        <f t="shared" ref="V4:V15" si="5">SUMIF($A$4:$A$43,$P4,J$4:J$43)</f>
        <v>0</v>
      </c>
      <c r="W4" s="14">
        <f t="shared" ref="W4:W15" si="6">SUMIF($A$4:$A$43,$P4,K$4:K$43)</f>
        <v>0</v>
      </c>
      <c r="X4" s="17">
        <f t="shared" ref="X4:X15" si="7">SUMIF($A$4:$A$43,$P4,L$4:L$43)</f>
        <v>0</v>
      </c>
    </row>
    <row r="5" spans="1:24" x14ac:dyDescent="0.25">
      <c r="A5" s="14" t="s">
        <v>45</v>
      </c>
      <c r="B5" s="14" t="s">
        <v>722</v>
      </c>
      <c r="C5" s="14" t="s">
        <v>723</v>
      </c>
      <c r="D5" s="14" t="s">
        <v>68</v>
      </c>
      <c r="E5" s="14">
        <v>1</v>
      </c>
      <c r="F5" s="14">
        <v>0</v>
      </c>
      <c r="G5" s="14">
        <v>0</v>
      </c>
      <c r="H5" s="14">
        <v>0</v>
      </c>
      <c r="I5" s="14">
        <v>0</v>
      </c>
      <c r="J5" s="17">
        <v>24</v>
      </c>
      <c r="K5" s="14">
        <v>1</v>
      </c>
      <c r="L5" s="17">
        <v>0</v>
      </c>
      <c r="M5" s="14" t="s">
        <v>86</v>
      </c>
      <c r="P5" s="14" t="str">
        <f>Setup!$A$6</f>
        <v>Expert 02</v>
      </c>
      <c r="Q5" s="14">
        <f t="shared" si="0"/>
        <v>2</v>
      </c>
      <c r="R5" s="14">
        <f t="shared" si="1"/>
        <v>0</v>
      </c>
      <c r="S5" s="14">
        <f t="shared" si="2"/>
        <v>2</v>
      </c>
      <c r="T5" s="14">
        <f t="shared" si="3"/>
        <v>0</v>
      </c>
      <c r="U5" s="14">
        <f t="shared" si="4"/>
        <v>0</v>
      </c>
      <c r="V5" s="17">
        <f t="shared" si="5"/>
        <v>33</v>
      </c>
      <c r="W5" s="14">
        <f t="shared" si="6"/>
        <v>1</v>
      </c>
      <c r="X5" s="17">
        <f t="shared" si="7"/>
        <v>0</v>
      </c>
    </row>
    <row r="6" spans="1:24" x14ac:dyDescent="0.25">
      <c r="A6" s="14" t="s">
        <v>47</v>
      </c>
      <c r="B6" s="14" t="s">
        <v>724</v>
      </c>
      <c r="C6" s="14" t="s">
        <v>725</v>
      </c>
      <c r="D6" s="14" t="s">
        <v>67</v>
      </c>
      <c r="E6" s="14">
        <v>1</v>
      </c>
      <c r="F6" s="14">
        <v>0</v>
      </c>
      <c r="G6" s="14">
        <v>0</v>
      </c>
      <c r="H6" s="14">
        <v>0</v>
      </c>
      <c r="I6" s="14">
        <v>0</v>
      </c>
      <c r="J6" s="17">
        <v>16</v>
      </c>
      <c r="K6" s="14">
        <v>1</v>
      </c>
      <c r="L6" s="17">
        <v>0</v>
      </c>
      <c r="M6" s="14" t="s">
        <v>86</v>
      </c>
      <c r="P6" s="14" t="str">
        <f>Setup!$A$7</f>
        <v>Expert 03</v>
      </c>
      <c r="Q6" s="14">
        <f t="shared" si="0"/>
        <v>0</v>
      </c>
      <c r="R6" s="14">
        <f t="shared" si="1"/>
        <v>0</v>
      </c>
      <c r="S6" s="14">
        <f t="shared" si="2"/>
        <v>0</v>
      </c>
      <c r="T6" s="14">
        <f t="shared" si="3"/>
        <v>0</v>
      </c>
      <c r="U6" s="14">
        <f t="shared" si="4"/>
        <v>0</v>
      </c>
      <c r="V6" s="17">
        <f t="shared" si="5"/>
        <v>0</v>
      </c>
      <c r="W6" s="14">
        <f t="shared" si="6"/>
        <v>0</v>
      </c>
      <c r="X6" s="17">
        <f t="shared" si="7"/>
        <v>0</v>
      </c>
    </row>
    <row r="7" spans="1:24" x14ac:dyDescent="0.25">
      <c r="A7" s="14" t="s">
        <v>49</v>
      </c>
      <c r="B7" s="14" t="s">
        <v>726</v>
      </c>
      <c r="C7" s="14" t="s">
        <v>727</v>
      </c>
      <c r="D7" s="14" t="s">
        <v>46</v>
      </c>
      <c r="E7" s="14">
        <v>0</v>
      </c>
      <c r="F7" s="14">
        <v>1</v>
      </c>
      <c r="G7" s="14">
        <v>0</v>
      </c>
      <c r="H7" s="14">
        <v>0</v>
      </c>
      <c r="I7" s="14">
        <v>0</v>
      </c>
      <c r="J7" s="17">
        <v>0</v>
      </c>
      <c r="K7" s="14">
        <v>1</v>
      </c>
      <c r="L7" s="17">
        <v>47.38</v>
      </c>
      <c r="M7" s="14" t="s">
        <v>86</v>
      </c>
      <c r="P7" s="14" t="str">
        <f>Setup!$A$8</f>
        <v>Expert 04</v>
      </c>
      <c r="Q7" s="14">
        <f t="shared" si="0"/>
        <v>1</v>
      </c>
      <c r="R7" s="14">
        <f t="shared" si="1"/>
        <v>1</v>
      </c>
      <c r="S7" s="14">
        <f t="shared" si="2"/>
        <v>0</v>
      </c>
      <c r="T7" s="14">
        <f t="shared" si="3"/>
        <v>0</v>
      </c>
      <c r="U7" s="14">
        <f t="shared" si="4"/>
        <v>0</v>
      </c>
      <c r="V7" s="17">
        <f t="shared" si="5"/>
        <v>57</v>
      </c>
      <c r="W7" s="14">
        <f t="shared" si="6"/>
        <v>2</v>
      </c>
      <c r="X7" s="17">
        <f t="shared" si="7"/>
        <v>0</v>
      </c>
    </row>
    <row r="8" spans="1:24" x14ac:dyDescent="0.25">
      <c r="A8" s="14" t="s">
        <v>57</v>
      </c>
      <c r="B8" s="14" t="s">
        <v>728</v>
      </c>
      <c r="C8" s="14" t="s">
        <v>729</v>
      </c>
      <c r="D8" s="14" t="s">
        <v>50</v>
      </c>
      <c r="E8" s="14">
        <v>0</v>
      </c>
      <c r="F8" s="14">
        <v>0</v>
      </c>
      <c r="G8" s="14">
        <v>0</v>
      </c>
      <c r="H8" s="14">
        <v>0</v>
      </c>
      <c r="I8" s="14">
        <v>0</v>
      </c>
      <c r="J8" s="17">
        <v>0</v>
      </c>
      <c r="K8" s="14">
        <v>1</v>
      </c>
      <c r="L8" s="17">
        <v>13.13</v>
      </c>
      <c r="M8" s="14" t="s">
        <v>86</v>
      </c>
      <c r="P8" s="14" t="str">
        <f>Setup!$A$9</f>
        <v>Expert 05</v>
      </c>
      <c r="Q8" s="14">
        <f t="shared" si="0"/>
        <v>1</v>
      </c>
      <c r="R8" s="14">
        <f t="shared" si="1"/>
        <v>1</v>
      </c>
      <c r="S8" s="14">
        <f t="shared" si="2"/>
        <v>0</v>
      </c>
      <c r="T8" s="14">
        <f t="shared" si="3"/>
        <v>0</v>
      </c>
      <c r="U8" s="14">
        <f t="shared" si="4"/>
        <v>0</v>
      </c>
      <c r="V8" s="17">
        <f t="shared" si="5"/>
        <v>58</v>
      </c>
      <c r="W8" s="14">
        <f t="shared" si="6"/>
        <v>3</v>
      </c>
      <c r="X8" s="17">
        <f t="shared" si="7"/>
        <v>115.26</v>
      </c>
    </row>
    <row r="9" spans="1:24" x14ac:dyDescent="0.25">
      <c r="A9" s="14" t="s">
        <v>59</v>
      </c>
      <c r="B9" s="14" t="s">
        <v>730</v>
      </c>
      <c r="C9" s="14" t="s">
        <v>731</v>
      </c>
      <c r="D9" s="14" t="s">
        <v>56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7">
        <v>0</v>
      </c>
      <c r="K9" s="14">
        <v>1</v>
      </c>
      <c r="L9" s="17">
        <v>160.88</v>
      </c>
      <c r="M9" s="14" t="s">
        <v>86</v>
      </c>
      <c r="P9" s="14" t="str">
        <f>Setup!$A$10</f>
        <v>Expert 06</v>
      </c>
      <c r="Q9" s="14">
        <f t="shared" si="0"/>
        <v>2</v>
      </c>
      <c r="R9" s="14">
        <f t="shared" si="1"/>
        <v>1</v>
      </c>
      <c r="S9" s="14">
        <f t="shared" si="2"/>
        <v>0</v>
      </c>
      <c r="T9" s="14">
        <f t="shared" si="3"/>
        <v>0</v>
      </c>
      <c r="U9" s="14">
        <f t="shared" si="4"/>
        <v>0</v>
      </c>
      <c r="V9" s="17">
        <f t="shared" si="5"/>
        <v>31</v>
      </c>
      <c r="W9" s="14">
        <f t="shared" si="6"/>
        <v>4</v>
      </c>
      <c r="X9" s="17">
        <f t="shared" si="7"/>
        <v>176.98</v>
      </c>
    </row>
    <row r="10" spans="1:24" x14ac:dyDescent="0.25">
      <c r="A10" s="14" t="s">
        <v>61</v>
      </c>
      <c r="B10" s="14" t="s">
        <v>732</v>
      </c>
      <c r="C10" s="14" t="s">
        <v>733</v>
      </c>
      <c r="D10" s="14" t="s">
        <v>56</v>
      </c>
      <c r="E10" s="14">
        <v>1</v>
      </c>
      <c r="F10" s="14">
        <v>0</v>
      </c>
      <c r="G10" s="14">
        <v>0</v>
      </c>
      <c r="H10" s="14">
        <v>0</v>
      </c>
      <c r="I10" s="14">
        <v>0</v>
      </c>
      <c r="J10" s="17">
        <v>16</v>
      </c>
      <c r="K10" s="14">
        <v>1</v>
      </c>
      <c r="L10" s="17">
        <v>19.79</v>
      </c>
      <c r="M10" s="14" t="s">
        <v>86</v>
      </c>
      <c r="P10" s="14" t="str">
        <f>Setup!$A$11</f>
        <v>Expert 07</v>
      </c>
      <c r="Q10" s="14">
        <f t="shared" si="0"/>
        <v>0</v>
      </c>
      <c r="R10" s="14">
        <f t="shared" si="1"/>
        <v>0</v>
      </c>
      <c r="S10" s="14">
        <f t="shared" si="2"/>
        <v>0</v>
      </c>
      <c r="T10" s="14">
        <f t="shared" si="3"/>
        <v>0</v>
      </c>
      <c r="U10" s="14">
        <f t="shared" si="4"/>
        <v>0</v>
      </c>
      <c r="V10" s="17">
        <f t="shared" si="5"/>
        <v>0</v>
      </c>
      <c r="W10" s="14">
        <f t="shared" si="6"/>
        <v>0</v>
      </c>
      <c r="X10" s="17">
        <f t="shared" si="7"/>
        <v>0</v>
      </c>
    </row>
    <row r="11" spans="1:24" x14ac:dyDescent="0.25">
      <c r="A11" s="14" t="s">
        <v>41</v>
      </c>
      <c r="B11" s="14" t="s">
        <v>734</v>
      </c>
      <c r="C11" s="14" t="s">
        <v>735</v>
      </c>
      <c r="D11" s="14" t="s">
        <v>68</v>
      </c>
      <c r="E11" s="14">
        <v>1</v>
      </c>
      <c r="F11" s="14">
        <v>0</v>
      </c>
      <c r="G11" s="14">
        <v>1</v>
      </c>
      <c r="H11" s="14">
        <v>0</v>
      </c>
      <c r="I11" s="14">
        <v>0</v>
      </c>
      <c r="J11" s="17">
        <v>33</v>
      </c>
      <c r="K11" s="14">
        <v>1</v>
      </c>
      <c r="L11" s="17">
        <v>0</v>
      </c>
      <c r="M11" s="14" t="s">
        <v>86</v>
      </c>
      <c r="P11" s="14" t="str">
        <f>Setup!$A$12</f>
        <v>Expert 08</v>
      </c>
      <c r="Q11" s="14">
        <f t="shared" si="0"/>
        <v>0</v>
      </c>
      <c r="R11" s="14">
        <f t="shared" si="1"/>
        <v>0</v>
      </c>
      <c r="S11" s="14">
        <f t="shared" si="2"/>
        <v>0</v>
      </c>
      <c r="T11" s="14">
        <f t="shared" si="3"/>
        <v>0</v>
      </c>
      <c r="U11" s="14">
        <f t="shared" si="4"/>
        <v>0</v>
      </c>
      <c r="V11" s="17">
        <f t="shared" si="5"/>
        <v>0</v>
      </c>
      <c r="W11" s="14">
        <f t="shared" si="6"/>
        <v>0</v>
      </c>
      <c r="X11" s="17">
        <f t="shared" si="7"/>
        <v>0</v>
      </c>
    </row>
    <row r="12" spans="1:24" x14ac:dyDescent="0.25">
      <c r="A12" s="14" t="s">
        <v>41</v>
      </c>
      <c r="B12" s="14" t="s">
        <v>736</v>
      </c>
      <c r="C12" s="14" t="s">
        <v>737</v>
      </c>
      <c r="D12" s="14" t="s">
        <v>74</v>
      </c>
      <c r="E12" s="14">
        <v>1</v>
      </c>
      <c r="F12" s="14">
        <v>0</v>
      </c>
      <c r="G12" s="14">
        <v>1</v>
      </c>
      <c r="H12" s="14">
        <v>0</v>
      </c>
      <c r="I12" s="14">
        <v>0</v>
      </c>
      <c r="J12" s="17">
        <v>0</v>
      </c>
      <c r="K12" s="14">
        <v>0</v>
      </c>
      <c r="L12" s="17">
        <v>0</v>
      </c>
      <c r="M12" s="14" t="s">
        <v>86</v>
      </c>
      <c r="P12" s="14" t="str">
        <f>Setup!$A$13</f>
        <v>Expert 09</v>
      </c>
      <c r="Q12" s="14">
        <f t="shared" si="0"/>
        <v>1</v>
      </c>
      <c r="R12" s="14">
        <f t="shared" si="1"/>
        <v>2</v>
      </c>
      <c r="S12" s="14">
        <f t="shared" si="2"/>
        <v>0</v>
      </c>
      <c r="T12" s="14">
        <f t="shared" si="3"/>
        <v>0</v>
      </c>
      <c r="U12" s="14">
        <f t="shared" si="4"/>
        <v>1</v>
      </c>
      <c r="V12" s="17">
        <f t="shared" si="5"/>
        <v>15</v>
      </c>
      <c r="W12" s="14">
        <f t="shared" si="6"/>
        <v>2</v>
      </c>
      <c r="X12" s="17">
        <f t="shared" si="7"/>
        <v>264.53000000000003</v>
      </c>
    </row>
    <row r="13" spans="1:24" x14ac:dyDescent="0.25">
      <c r="A13" s="14" t="s">
        <v>57</v>
      </c>
      <c r="B13" s="14" t="s">
        <v>738</v>
      </c>
      <c r="C13" s="14" t="s">
        <v>739</v>
      </c>
      <c r="D13" s="14" t="s">
        <v>50</v>
      </c>
      <c r="E13" s="14">
        <v>1</v>
      </c>
      <c r="F13" s="14">
        <v>0</v>
      </c>
      <c r="G13" s="14">
        <v>0</v>
      </c>
      <c r="H13" s="14">
        <v>0</v>
      </c>
      <c r="I13" s="14">
        <v>0</v>
      </c>
      <c r="J13" s="17">
        <v>0</v>
      </c>
      <c r="K13" s="14">
        <v>1</v>
      </c>
      <c r="L13" s="17">
        <v>68.819999999999993</v>
      </c>
      <c r="M13" s="14" t="s">
        <v>86</v>
      </c>
      <c r="P13" s="14" t="str">
        <f>Setup!$A$14</f>
        <v>Expert 10</v>
      </c>
      <c r="Q13" s="14">
        <f t="shared" si="0"/>
        <v>3</v>
      </c>
      <c r="R13" s="14">
        <f t="shared" si="1"/>
        <v>0</v>
      </c>
      <c r="S13" s="14">
        <f t="shared" si="2"/>
        <v>0</v>
      </c>
      <c r="T13" s="14">
        <f t="shared" si="3"/>
        <v>0</v>
      </c>
      <c r="U13" s="14">
        <f t="shared" si="4"/>
        <v>0</v>
      </c>
      <c r="V13" s="17">
        <f t="shared" si="5"/>
        <v>24</v>
      </c>
      <c r="W13" s="14">
        <f t="shared" si="6"/>
        <v>4</v>
      </c>
      <c r="X13" s="17">
        <f t="shared" si="7"/>
        <v>81.949999999999989</v>
      </c>
    </row>
    <row r="14" spans="1:24" x14ac:dyDescent="0.25">
      <c r="A14" s="14" t="s">
        <v>49</v>
      </c>
      <c r="B14" s="14" t="s">
        <v>740</v>
      </c>
      <c r="C14" s="14" t="s">
        <v>741</v>
      </c>
      <c r="D14" s="14" t="s">
        <v>50</v>
      </c>
      <c r="E14" s="14">
        <v>1</v>
      </c>
      <c r="F14" s="14">
        <v>0</v>
      </c>
      <c r="G14" s="14">
        <v>0</v>
      </c>
      <c r="H14" s="14">
        <v>0</v>
      </c>
      <c r="I14" s="14">
        <v>0</v>
      </c>
      <c r="J14" s="17">
        <v>15</v>
      </c>
      <c r="K14" s="14">
        <v>1</v>
      </c>
      <c r="L14" s="17">
        <v>0</v>
      </c>
      <c r="M14" s="14" t="s">
        <v>86</v>
      </c>
      <c r="P14" s="14" t="str">
        <f>Setup!$A$15</f>
        <v>Expert 11</v>
      </c>
      <c r="Q14" s="14">
        <f t="shared" si="0"/>
        <v>0</v>
      </c>
      <c r="R14" s="14">
        <f t="shared" si="1"/>
        <v>0</v>
      </c>
      <c r="S14" s="14">
        <f t="shared" si="2"/>
        <v>0</v>
      </c>
      <c r="T14" s="14">
        <f t="shared" si="3"/>
        <v>0</v>
      </c>
      <c r="U14" s="14">
        <f t="shared" si="4"/>
        <v>0</v>
      </c>
      <c r="V14" s="17">
        <f t="shared" si="5"/>
        <v>0</v>
      </c>
      <c r="W14" s="14">
        <f t="shared" si="6"/>
        <v>1</v>
      </c>
      <c r="X14" s="17">
        <f t="shared" si="7"/>
        <v>160.88</v>
      </c>
    </row>
    <row r="15" spans="1:24" x14ac:dyDescent="0.25">
      <c r="A15" s="14" t="s">
        <v>55</v>
      </c>
      <c r="B15" s="14" t="s">
        <v>742</v>
      </c>
      <c r="C15" s="14" t="s">
        <v>743</v>
      </c>
      <c r="D15" s="14" t="s">
        <v>60</v>
      </c>
      <c r="E15" s="14">
        <v>1</v>
      </c>
      <c r="F15" s="14">
        <v>0</v>
      </c>
      <c r="G15" s="14">
        <v>0</v>
      </c>
      <c r="H15" s="14">
        <v>0</v>
      </c>
      <c r="I15" s="14">
        <v>0</v>
      </c>
      <c r="J15" s="17">
        <v>0</v>
      </c>
      <c r="K15" s="14">
        <v>1</v>
      </c>
      <c r="L15" s="17">
        <v>66.680000000000007</v>
      </c>
      <c r="M15" s="14" t="s">
        <v>212</v>
      </c>
      <c r="P15" s="14" t="str">
        <f>Setup!$A$16</f>
        <v>Expert 12</v>
      </c>
      <c r="Q15" s="14">
        <f t="shared" si="0"/>
        <v>1</v>
      </c>
      <c r="R15" s="14">
        <f t="shared" si="1"/>
        <v>0</v>
      </c>
      <c r="S15" s="14">
        <f t="shared" si="2"/>
        <v>0</v>
      </c>
      <c r="T15" s="14">
        <f t="shared" si="3"/>
        <v>0</v>
      </c>
      <c r="U15" s="14">
        <f t="shared" si="4"/>
        <v>0</v>
      </c>
      <c r="V15" s="17">
        <f t="shared" si="5"/>
        <v>16</v>
      </c>
      <c r="W15" s="14">
        <f t="shared" si="6"/>
        <v>1</v>
      </c>
      <c r="X15" s="17">
        <f t="shared" si="7"/>
        <v>19.79</v>
      </c>
    </row>
    <row r="16" spans="1:24" x14ac:dyDescent="0.25">
      <c r="A16" s="14" t="s">
        <v>45</v>
      </c>
      <c r="B16" s="14" t="s">
        <v>744</v>
      </c>
      <c r="C16" s="14" t="s">
        <v>745</v>
      </c>
      <c r="D16" s="14" t="s">
        <v>44</v>
      </c>
      <c r="E16" s="14">
        <v>0</v>
      </c>
      <c r="F16" s="14">
        <v>1</v>
      </c>
      <c r="G16" s="14">
        <v>0</v>
      </c>
      <c r="H16" s="14">
        <v>0</v>
      </c>
      <c r="I16" s="14">
        <v>0</v>
      </c>
      <c r="J16" s="17">
        <v>33</v>
      </c>
      <c r="K16" s="14">
        <v>1</v>
      </c>
      <c r="L16" s="17">
        <v>0</v>
      </c>
      <c r="M16" s="14" t="s">
        <v>86</v>
      </c>
      <c r="P16" s="18" t="s">
        <v>111</v>
      </c>
      <c r="Q16" s="19">
        <f t="shared" ref="Q16:X16" si="8">SUM(Q4:Q15)</f>
        <v>11</v>
      </c>
      <c r="R16" s="19">
        <f t="shared" si="8"/>
        <v>5</v>
      </c>
      <c r="S16" s="19">
        <f t="shared" si="8"/>
        <v>2</v>
      </c>
      <c r="T16" s="19">
        <f t="shared" si="8"/>
        <v>0</v>
      </c>
      <c r="U16" s="19">
        <f t="shared" si="8"/>
        <v>1</v>
      </c>
      <c r="V16" s="20">
        <f t="shared" si="8"/>
        <v>234</v>
      </c>
      <c r="W16" s="19">
        <f t="shared" si="8"/>
        <v>18</v>
      </c>
      <c r="X16" s="20">
        <f t="shared" si="8"/>
        <v>819.39</v>
      </c>
    </row>
    <row r="17" spans="1:13" x14ac:dyDescent="0.25">
      <c r="A17" s="14" t="s">
        <v>57</v>
      </c>
      <c r="B17" s="14" t="s">
        <v>746</v>
      </c>
      <c r="C17" s="14" t="s">
        <v>747</v>
      </c>
      <c r="D17" s="14" t="s">
        <v>60</v>
      </c>
      <c r="E17" s="14">
        <v>1</v>
      </c>
      <c r="F17" s="14">
        <v>0</v>
      </c>
      <c r="G17" s="14">
        <v>0</v>
      </c>
      <c r="H17" s="14">
        <v>0</v>
      </c>
      <c r="I17" s="14">
        <v>0</v>
      </c>
      <c r="J17" s="17">
        <v>0</v>
      </c>
      <c r="K17" s="14">
        <v>1</v>
      </c>
      <c r="L17" s="17">
        <v>0</v>
      </c>
      <c r="M17" s="14" t="s">
        <v>212</v>
      </c>
    </row>
    <row r="18" spans="1:13" x14ac:dyDescent="0.25">
      <c r="A18" s="14" t="s">
        <v>49</v>
      </c>
      <c r="B18" s="14" t="s">
        <v>748</v>
      </c>
      <c r="C18" s="14" t="s">
        <v>749</v>
      </c>
      <c r="D18" s="14" t="s">
        <v>69</v>
      </c>
      <c r="E18" s="14">
        <v>0</v>
      </c>
      <c r="F18" s="14">
        <v>0</v>
      </c>
      <c r="G18" s="14">
        <v>0</v>
      </c>
      <c r="H18" s="14">
        <v>0</v>
      </c>
      <c r="I18" s="14">
        <v>0</v>
      </c>
      <c r="J18" s="17">
        <v>16</v>
      </c>
      <c r="K18" s="14">
        <v>1</v>
      </c>
      <c r="L18" s="17">
        <v>129.6</v>
      </c>
      <c r="M18" s="14" t="s">
        <v>212</v>
      </c>
    </row>
    <row r="19" spans="1:13" x14ac:dyDescent="0.25">
      <c r="A19" s="14" t="s">
        <v>57</v>
      </c>
      <c r="B19" s="14" t="s">
        <v>750</v>
      </c>
      <c r="C19" s="14" t="s">
        <v>751</v>
      </c>
      <c r="D19" s="14" t="s">
        <v>71</v>
      </c>
      <c r="E19" s="14">
        <v>1</v>
      </c>
      <c r="F19" s="14">
        <v>0</v>
      </c>
      <c r="G19" s="14">
        <v>0</v>
      </c>
      <c r="H19" s="14">
        <v>0</v>
      </c>
      <c r="I19" s="14">
        <v>0</v>
      </c>
      <c r="J19" s="17">
        <v>24</v>
      </c>
      <c r="K19" s="14">
        <v>1</v>
      </c>
      <c r="L19" s="17">
        <v>0</v>
      </c>
      <c r="M19" s="14" t="s">
        <v>86</v>
      </c>
    </row>
    <row r="20" spans="1:13" x14ac:dyDescent="0.25">
      <c r="A20" s="14" t="s">
        <v>55</v>
      </c>
      <c r="B20" s="14" t="s">
        <v>752</v>
      </c>
      <c r="C20" s="14" t="s">
        <v>753</v>
      </c>
      <c r="D20" s="14" t="s">
        <v>73</v>
      </c>
      <c r="E20" s="14">
        <v>0</v>
      </c>
      <c r="F20" s="14">
        <v>1</v>
      </c>
      <c r="G20" s="14">
        <v>0</v>
      </c>
      <c r="H20" s="14">
        <v>0</v>
      </c>
      <c r="I20" s="14">
        <v>1</v>
      </c>
      <c r="J20" s="17">
        <v>15</v>
      </c>
      <c r="K20" s="14">
        <v>0</v>
      </c>
      <c r="L20" s="17">
        <v>170.78</v>
      </c>
      <c r="M20" s="14" t="s">
        <v>86</v>
      </c>
    </row>
    <row r="21" spans="1:13" x14ac:dyDescent="0.25">
      <c r="A21" s="14" t="s">
        <v>49</v>
      </c>
      <c r="B21" s="14" t="s">
        <v>754</v>
      </c>
      <c r="C21" s="14" t="s">
        <v>755</v>
      </c>
      <c r="D21" s="14" t="s">
        <v>48</v>
      </c>
      <c r="E21" s="14">
        <v>1</v>
      </c>
      <c r="F21" s="14">
        <v>0</v>
      </c>
      <c r="G21" s="14">
        <v>0</v>
      </c>
      <c r="H21" s="14">
        <v>0</v>
      </c>
      <c r="I21" s="14">
        <v>0</v>
      </c>
      <c r="J21" s="17">
        <v>0</v>
      </c>
      <c r="K21" s="14">
        <v>1</v>
      </c>
      <c r="L21" s="17">
        <v>0</v>
      </c>
      <c r="M21" s="14" t="s">
        <v>86</v>
      </c>
    </row>
    <row r="22" spans="1:13" x14ac:dyDescent="0.25">
      <c r="A22" s="14" t="s">
        <v>55</v>
      </c>
      <c r="B22" s="14" t="s">
        <v>756</v>
      </c>
      <c r="C22" s="14" t="s">
        <v>757</v>
      </c>
      <c r="D22" s="14" t="s">
        <v>56</v>
      </c>
      <c r="E22" s="14">
        <v>0</v>
      </c>
      <c r="F22" s="14">
        <v>1</v>
      </c>
      <c r="G22" s="14">
        <v>0</v>
      </c>
      <c r="H22" s="14">
        <v>0</v>
      </c>
      <c r="I22" s="14">
        <v>0</v>
      </c>
      <c r="J22" s="17">
        <v>0</v>
      </c>
      <c r="K22" s="14">
        <v>1</v>
      </c>
      <c r="L22" s="17">
        <v>27.07</v>
      </c>
      <c r="M22" s="14" t="s">
        <v>86</v>
      </c>
    </row>
    <row r="23" spans="1:13" x14ac:dyDescent="0.25">
      <c r="A23" s="14" t="s">
        <v>47</v>
      </c>
      <c r="B23" s="14" t="s">
        <v>758</v>
      </c>
      <c r="C23" s="14" t="s">
        <v>759</v>
      </c>
      <c r="D23" s="14" t="s">
        <v>63</v>
      </c>
      <c r="E23" s="14">
        <v>0</v>
      </c>
      <c r="F23" s="14">
        <v>0</v>
      </c>
      <c r="G23" s="14">
        <v>0</v>
      </c>
      <c r="H23" s="14">
        <v>0</v>
      </c>
      <c r="I23" s="14">
        <v>0</v>
      </c>
      <c r="J23" s="17">
        <v>24</v>
      </c>
      <c r="K23" s="14">
        <v>1</v>
      </c>
      <c r="L23" s="17">
        <v>0</v>
      </c>
      <c r="M23" s="14" t="s">
        <v>86</v>
      </c>
    </row>
    <row r="24" spans="1:13" x14ac:dyDescent="0.25">
      <c r="A24" s="14"/>
      <c r="B24" s="14"/>
      <c r="C24" s="14"/>
      <c r="D24" s="14"/>
      <c r="E24" s="14"/>
      <c r="F24" s="14"/>
      <c r="G24" s="14"/>
      <c r="H24" s="14"/>
      <c r="I24" s="14"/>
      <c r="J24" s="17"/>
      <c r="K24" s="14"/>
      <c r="L24" s="17"/>
      <c r="M24" s="14"/>
    </row>
    <row r="25" spans="1:13" x14ac:dyDescent="0.25">
      <c r="A25" s="14"/>
      <c r="B25" s="14"/>
      <c r="C25" s="14"/>
      <c r="D25" s="14"/>
      <c r="E25" s="14"/>
      <c r="F25" s="14"/>
      <c r="G25" s="14"/>
      <c r="H25" s="14"/>
      <c r="I25" s="14"/>
      <c r="J25" s="17"/>
      <c r="K25" s="14"/>
      <c r="L25" s="17"/>
      <c r="M25" s="14"/>
    </row>
    <row r="26" spans="1:13" x14ac:dyDescent="0.25">
      <c r="A26" s="14"/>
      <c r="B26" s="14"/>
      <c r="C26" s="14"/>
      <c r="D26" s="14"/>
      <c r="E26" s="14"/>
      <c r="F26" s="14"/>
      <c r="G26" s="14"/>
      <c r="H26" s="14"/>
      <c r="I26" s="14"/>
      <c r="J26" s="17"/>
      <c r="K26" s="14"/>
      <c r="L26" s="17"/>
      <c r="M26" s="14"/>
    </row>
    <row r="27" spans="1:13" x14ac:dyDescent="0.25">
      <c r="A27" s="14"/>
      <c r="B27" s="14"/>
      <c r="C27" s="14"/>
      <c r="D27" s="14"/>
      <c r="E27" s="14"/>
      <c r="F27" s="14"/>
      <c r="G27" s="14"/>
      <c r="H27" s="14"/>
      <c r="I27" s="14"/>
      <c r="J27" s="17"/>
      <c r="K27" s="14"/>
      <c r="L27" s="17"/>
      <c r="M27" s="14"/>
    </row>
    <row r="28" spans="1:13" x14ac:dyDescent="0.25">
      <c r="A28" s="14"/>
      <c r="B28" s="14"/>
      <c r="C28" s="14"/>
      <c r="D28" s="14"/>
      <c r="E28" s="14"/>
      <c r="F28" s="14"/>
      <c r="G28" s="14"/>
      <c r="H28" s="14"/>
      <c r="I28" s="14"/>
      <c r="J28" s="17"/>
      <c r="K28" s="14"/>
      <c r="L28" s="17"/>
      <c r="M28" s="14"/>
    </row>
    <row r="29" spans="1:13" x14ac:dyDescent="0.25">
      <c r="A29" s="14"/>
      <c r="B29" s="14"/>
      <c r="C29" s="14"/>
      <c r="D29" s="14"/>
      <c r="E29" s="14"/>
      <c r="F29" s="14"/>
      <c r="G29" s="14"/>
      <c r="H29" s="14"/>
      <c r="I29" s="14"/>
      <c r="J29" s="17"/>
      <c r="K29" s="14"/>
      <c r="L29" s="17"/>
      <c r="M29" s="14"/>
    </row>
    <row r="30" spans="1:13" x14ac:dyDescent="0.25">
      <c r="A30" s="14"/>
      <c r="B30" s="14"/>
      <c r="C30" s="14"/>
      <c r="D30" s="14"/>
      <c r="E30" s="14"/>
      <c r="F30" s="14"/>
      <c r="G30" s="14"/>
      <c r="H30" s="14"/>
      <c r="I30" s="14"/>
      <c r="J30" s="17"/>
      <c r="K30" s="14"/>
      <c r="L30" s="17"/>
      <c r="M30" s="14"/>
    </row>
    <row r="31" spans="1:13" x14ac:dyDescent="0.25">
      <c r="A31" s="14"/>
      <c r="B31" s="14"/>
      <c r="C31" s="14"/>
      <c r="D31" s="14"/>
      <c r="E31" s="14"/>
      <c r="F31" s="14"/>
      <c r="G31" s="14"/>
      <c r="H31" s="14"/>
      <c r="I31" s="14"/>
      <c r="J31" s="17"/>
      <c r="K31" s="14"/>
      <c r="L31" s="17"/>
      <c r="M31" s="14"/>
    </row>
    <row r="32" spans="1:13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7"/>
      <c r="K32" s="14"/>
      <c r="L32" s="17"/>
      <c r="M32" s="14"/>
    </row>
    <row r="33" spans="1:13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7"/>
      <c r="K33" s="14"/>
      <c r="L33" s="17"/>
      <c r="M33" s="14"/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7"/>
      <c r="K34" s="14"/>
      <c r="L34" s="17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7"/>
      <c r="K35" s="14"/>
      <c r="L35" s="17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7"/>
      <c r="K36" s="14"/>
      <c r="L36" s="17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7"/>
      <c r="K37" s="14"/>
      <c r="L37" s="17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7"/>
      <c r="K38" s="14"/>
      <c r="L38" s="17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7"/>
      <c r="K39" s="14"/>
      <c r="L39" s="17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7"/>
      <c r="K40" s="14"/>
      <c r="L40" s="17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7"/>
      <c r="K41" s="14"/>
      <c r="L41" s="17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7"/>
      <c r="K42" s="14"/>
      <c r="L42" s="17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7"/>
      <c r="K43" s="14"/>
      <c r="L43" s="17"/>
      <c r="M43" s="14"/>
    </row>
  </sheetData>
  <mergeCells count="2">
    <mergeCell ref="A2:M2"/>
    <mergeCell ref="A1:M1"/>
  </mergeCells>
  <dataValidations count="1">
    <dataValidation type="list" allowBlank="1" sqref="M4:M43" xr:uid="{00000000-0002-0000-10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000-000000000000}">
          <x14:formula1>
            <xm:f>Setup!$A$5:$A$16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000-000001000000}">
          <x14:formula1>
            <xm:f>Setup!$C$5:$C$30</xm:f>
          </x14:formula1>
          <xm:sqref>D4:D43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4" t="s">
        <v>760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</row>
    <row r="2" spans="1:24" ht="21.95" customHeight="1" x14ac:dyDescent="0.25">
      <c r="A2" s="43" t="s">
        <v>19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</row>
    <row r="3" spans="1:24" x14ac:dyDescent="0.25">
      <c r="A3" s="12" t="s">
        <v>79</v>
      </c>
      <c r="B3" s="12" t="s">
        <v>80</v>
      </c>
      <c r="C3" s="12" t="s">
        <v>81</v>
      </c>
      <c r="D3" s="12" t="s">
        <v>82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83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39</v>
      </c>
      <c r="B4" s="14" t="s">
        <v>761</v>
      </c>
      <c r="C4" s="14" t="s">
        <v>762</v>
      </c>
      <c r="D4" s="14" t="s">
        <v>75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7">
        <v>0</v>
      </c>
      <c r="K4" s="14">
        <v>0</v>
      </c>
      <c r="L4" s="17">
        <v>0</v>
      </c>
      <c r="M4" s="14" t="s">
        <v>86</v>
      </c>
      <c r="P4" s="14" t="str">
        <f>Setup!$A$5</f>
        <v>Expert 01</v>
      </c>
      <c r="Q4" s="14">
        <f t="shared" ref="Q4:Q15" si="0">SUMIF($A$4:$A$43,$P4,E$4:E$43)</f>
        <v>1</v>
      </c>
      <c r="R4" s="14">
        <f t="shared" ref="R4:R15" si="1">SUMIF($A$4:$A$43,$P4,F$4:F$43)</f>
        <v>0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7">
        <f t="shared" ref="V4:V15" si="5">SUMIF($A$4:$A$43,$P4,J$4:J$43)</f>
        <v>16</v>
      </c>
      <c r="W4" s="14">
        <f t="shared" ref="W4:W15" si="6">SUMIF($A$4:$A$43,$P4,K$4:K$43)</f>
        <v>1</v>
      </c>
      <c r="X4" s="17">
        <f t="shared" ref="X4:X15" si="7">SUMIF($A$4:$A$43,$P4,L$4:L$43)</f>
        <v>0</v>
      </c>
    </row>
    <row r="5" spans="1:24" x14ac:dyDescent="0.25">
      <c r="A5" s="14" t="s">
        <v>53</v>
      </c>
      <c r="B5" s="14" t="s">
        <v>763</v>
      </c>
      <c r="C5" s="14" t="s">
        <v>764</v>
      </c>
      <c r="D5" s="14" t="s">
        <v>56</v>
      </c>
      <c r="E5" s="14">
        <v>0</v>
      </c>
      <c r="F5" s="14">
        <v>1</v>
      </c>
      <c r="G5" s="14">
        <v>0</v>
      </c>
      <c r="H5" s="14">
        <v>0</v>
      </c>
      <c r="I5" s="14">
        <v>0</v>
      </c>
      <c r="J5" s="17">
        <v>33</v>
      </c>
      <c r="K5" s="14">
        <v>1</v>
      </c>
      <c r="L5" s="17">
        <v>0</v>
      </c>
      <c r="M5" s="14" t="s">
        <v>86</v>
      </c>
      <c r="P5" s="14" t="str">
        <f>Setup!$A$6</f>
        <v>Expert 02</v>
      </c>
      <c r="Q5" s="14">
        <f t="shared" si="0"/>
        <v>1</v>
      </c>
      <c r="R5" s="14">
        <f t="shared" si="1"/>
        <v>0</v>
      </c>
      <c r="S5" s="14">
        <f t="shared" si="2"/>
        <v>0</v>
      </c>
      <c r="T5" s="14">
        <f t="shared" si="3"/>
        <v>0</v>
      </c>
      <c r="U5" s="14">
        <f t="shared" si="4"/>
        <v>0</v>
      </c>
      <c r="V5" s="17">
        <f t="shared" si="5"/>
        <v>34</v>
      </c>
      <c r="W5" s="14">
        <f t="shared" si="6"/>
        <v>2</v>
      </c>
      <c r="X5" s="17">
        <f t="shared" si="7"/>
        <v>0</v>
      </c>
    </row>
    <row r="6" spans="1:24" x14ac:dyDescent="0.25">
      <c r="A6" s="14" t="s">
        <v>47</v>
      </c>
      <c r="B6" s="14" t="s">
        <v>765</v>
      </c>
      <c r="C6" s="14" t="s">
        <v>766</v>
      </c>
      <c r="D6" s="14" t="s">
        <v>67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7">
        <v>18</v>
      </c>
      <c r="K6" s="14">
        <v>1</v>
      </c>
      <c r="L6" s="17">
        <v>177.11</v>
      </c>
      <c r="M6" s="14" t="s">
        <v>86</v>
      </c>
      <c r="P6" s="14" t="str">
        <f>Setup!$A$7</f>
        <v>Expert 03</v>
      </c>
      <c r="Q6" s="14">
        <f t="shared" si="0"/>
        <v>0</v>
      </c>
      <c r="R6" s="14">
        <f t="shared" si="1"/>
        <v>1</v>
      </c>
      <c r="S6" s="14">
        <f t="shared" si="2"/>
        <v>0</v>
      </c>
      <c r="T6" s="14">
        <f t="shared" si="3"/>
        <v>0</v>
      </c>
      <c r="U6" s="14">
        <f t="shared" si="4"/>
        <v>0</v>
      </c>
      <c r="V6" s="17">
        <f t="shared" si="5"/>
        <v>18</v>
      </c>
      <c r="W6" s="14">
        <f t="shared" si="6"/>
        <v>1</v>
      </c>
      <c r="X6" s="17">
        <f t="shared" si="7"/>
        <v>0</v>
      </c>
    </row>
    <row r="7" spans="1:24" x14ac:dyDescent="0.25">
      <c r="A7" s="14" t="s">
        <v>51</v>
      </c>
      <c r="B7" s="14" t="s">
        <v>767</v>
      </c>
      <c r="C7" s="14" t="s">
        <v>768</v>
      </c>
      <c r="D7" s="14" t="s">
        <v>58</v>
      </c>
      <c r="E7" s="14">
        <v>0</v>
      </c>
      <c r="F7" s="14">
        <v>0</v>
      </c>
      <c r="G7" s="14">
        <v>0</v>
      </c>
      <c r="H7" s="14">
        <v>0</v>
      </c>
      <c r="I7" s="14">
        <v>0</v>
      </c>
      <c r="J7" s="17">
        <v>33</v>
      </c>
      <c r="K7" s="14">
        <v>1</v>
      </c>
      <c r="L7" s="17">
        <v>95.65</v>
      </c>
      <c r="M7" s="14" t="s">
        <v>86</v>
      </c>
      <c r="P7" s="14" t="str">
        <f>Setup!$A$8</f>
        <v>Expert 04</v>
      </c>
      <c r="Q7" s="14">
        <f t="shared" si="0"/>
        <v>1</v>
      </c>
      <c r="R7" s="14">
        <f t="shared" si="1"/>
        <v>0</v>
      </c>
      <c r="S7" s="14">
        <f t="shared" si="2"/>
        <v>0</v>
      </c>
      <c r="T7" s="14">
        <f t="shared" si="3"/>
        <v>0</v>
      </c>
      <c r="U7" s="14">
        <f t="shared" si="4"/>
        <v>0</v>
      </c>
      <c r="V7" s="17">
        <f t="shared" si="5"/>
        <v>0</v>
      </c>
      <c r="W7" s="14">
        <f t="shared" si="6"/>
        <v>1</v>
      </c>
      <c r="X7" s="17">
        <f t="shared" si="7"/>
        <v>116.41</v>
      </c>
    </row>
    <row r="8" spans="1:24" x14ac:dyDescent="0.25">
      <c r="A8" s="14" t="s">
        <v>55</v>
      </c>
      <c r="B8" s="14" t="s">
        <v>769</v>
      </c>
      <c r="C8" s="14" t="s">
        <v>770</v>
      </c>
      <c r="D8" s="14" t="s">
        <v>69</v>
      </c>
      <c r="E8" s="14">
        <v>0</v>
      </c>
      <c r="F8" s="14">
        <v>1</v>
      </c>
      <c r="G8" s="14">
        <v>0</v>
      </c>
      <c r="H8" s="14">
        <v>0</v>
      </c>
      <c r="I8" s="14">
        <v>0</v>
      </c>
      <c r="J8" s="17">
        <v>0</v>
      </c>
      <c r="K8" s="14">
        <v>1</v>
      </c>
      <c r="L8" s="17">
        <v>0</v>
      </c>
      <c r="M8" s="14" t="s">
        <v>86</v>
      </c>
      <c r="P8" s="14" t="str">
        <f>Setup!$A$9</f>
        <v>Expert 05</v>
      </c>
      <c r="Q8" s="14">
        <f t="shared" si="0"/>
        <v>1</v>
      </c>
      <c r="R8" s="14">
        <f t="shared" si="1"/>
        <v>0</v>
      </c>
      <c r="S8" s="14">
        <f t="shared" si="2"/>
        <v>0</v>
      </c>
      <c r="T8" s="14">
        <f t="shared" si="3"/>
        <v>0</v>
      </c>
      <c r="U8" s="14">
        <f t="shared" si="4"/>
        <v>0</v>
      </c>
      <c r="V8" s="17">
        <f t="shared" si="5"/>
        <v>51</v>
      </c>
      <c r="W8" s="14">
        <f t="shared" si="6"/>
        <v>4</v>
      </c>
      <c r="X8" s="17">
        <f t="shared" si="7"/>
        <v>492.49</v>
      </c>
    </row>
    <row r="9" spans="1:24" x14ac:dyDescent="0.25">
      <c r="A9" s="14" t="s">
        <v>53</v>
      </c>
      <c r="B9" s="14" t="s">
        <v>771</v>
      </c>
      <c r="C9" s="14" t="s">
        <v>772</v>
      </c>
      <c r="D9" s="14" t="s">
        <v>48</v>
      </c>
      <c r="E9" s="14">
        <v>1</v>
      </c>
      <c r="F9" s="14">
        <v>0</v>
      </c>
      <c r="G9" s="14">
        <v>0</v>
      </c>
      <c r="H9" s="14">
        <v>0</v>
      </c>
      <c r="I9" s="14">
        <v>0</v>
      </c>
      <c r="J9" s="17">
        <v>24</v>
      </c>
      <c r="K9" s="14">
        <v>1</v>
      </c>
      <c r="L9" s="17">
        <v>0</v>
      </c>
      <c r="M9" s="14" t="s">
        <v>86</v>
      </c>
      <c r="P9" s="14" t="str">
        <f>Setup!$A$10</f>
        <v>Expert 06</v>
      </c>
      <c r="Q9" s="14">
        <f t="shared" si="0"/>
        <v>0</v>
      </c>
      <c r="R9" s="14">
        <f t="shared" si="1"/>
        <v>0</v>
      </c>
      <c r="S9" s="14">
        <f t="shared" si="2"/>
        <v>0</v>
      </c>
      <c r="T9" s="14">
        <f t="shared" si="3"/>
        <v>0</v>
      </c>
      <c r="U9" s="14">
        <f t="shared" si="4"/>
        <v>0</v>
      </c>
      <c r="V9" s="17">
        <f t="shared" si="5"/>
        <v>0</v>
      </c>
      <c r="W9" s="14">
        <f t="shared" si="6"/>
        <v>0</v>
      </c>
      <c r="X9" s="17">
        <f t="shared" si="7"/>
        <v>0</v>
      </c>
    </row>
    <row r="10" spans="1:24" x14ac:dyDescent="0.25">
      <c r="A10" s="14" t="s">
        <v>47</v>
      </c>
      <c r="B10" s="14" t="s">
        <v>773</v>
      </c>
      <c r="C10" s="14" t="s">
        <v>774</v>
      </c>
      <c r="D10" s="14" t="s">
        <v>71</v>
      </c>
      <c r="E10" s="14">
        <v>1</v>
      </c>
      <c r="F10" s="14">
        <v>0</v>
      </c>
      <c r="G10" s="14">
        <v>0</v>
      </c>
      <c r="H10" s="14">
        <v>0</v>
      </c>
      <c r="I10" s="14">
        <v>0</v>
      </c>
      <c r="J10" s="17">
        <v>18</v>
      </c>
      <c r="K10" s="14">
        <v>1</v>
      </c>
      <c r="L10" s="17">
        <v>140.59</v>
      </c>
      <c r="M10" s="14" t="s">
        <v>212</v>
      </c>
      <c r="P10" s="14" t="str">
        <f>Setup!$A$11</f>
        <v>Expert 07</v>
      </c>
      <c r="Q10" s="14">
        <f t="shared" si="0"/>
        <v>2</v>
      </c>
      <c r="R10" s="14">
        <f t="shared" si="1"/>
        <v>0</v>
      </c>
      <c r="S10" s="14">
        <f t="shared" si="2"/>
        <v>1</v>
      </c>
      <c r="T10" s="14">
        <f t="shared" si="3"/>
        <v>0</v>
      </c>
      <c r="U10" s="14">
        <f t="shared" si="4"/>
        <v>0</v>
      </c>
      <c r="V10" s="17">
        <f t="shared" si="5"/>
        <v>33</v>
      </c>
      <c r="W10" s="14">
        <f t="shared" si="6"/>
        <v>3</v>
      </c>
      <c r="X10" s="17">
        <f t="shared" si="7"/>
        <v>264.75</v>
      </c>
    </row>
    <row r="11" spans="1:24" x14ac:dyDescent="0.25">
      <c r="A11" s="14" t="s">
        <v>61</v>
      </c>
      <c r="B11" s="14" t="s">
        <v>775</v>
      </c>
      <c r="C11" s="14" t="s">
        <v>776</v>
      </c>
      <c r="D11" s="14" t="s">
        <v>62</v>
      </c>
      <c r="E11" s="14">
        <v>0</v>
      </c>
      <c r="F11" s="14">
        <v>0</v>
      </c>
      <c r="G11" s="14">
        <v>0</v>
      </c>
      <c r="H11" s="14">
        <v>1</v>
      </c>
      <c r="I11" s="14">
        <v>0</v>
      </c>
      <c r="J11" s="17">
        <v>0</v>
      </c>
      <c r="K11" s="14">
        <v>1</v>
      </c>
      <c r="L11" s="17">
        <v>0</v>
      </c>
      <c r="M11" s="14" t="s">
        <v>86</v>
      </c>
      <c r="P11" s="14" t="str">
        <f>Setup!$A$12</f>
        <v>Expert 08</v>
      </c>
      <c r="Q11" s="14">
        <f t="shared" si="0"/>
        <v>2</v>
      </c>
      <c r="R11" s="14">
        <f t="shared" si="1"/>
        <v>1</v>
      </c>
      <c r="S11" s="14">
        <f t="shared" si="2"/>
        <v>0</v>
      </c>
      <c r="T11" s="14">
        <f t="shared" si="3"/>
        <v>0</v>
      </c>
      <c r="U11" s="14">
        <f t="shared" si="4"/>
        <v>0</v>
      </c>
      <c r="V11" s="17">
        <f t="shared" si="5"/>
        <v>73</v>
      </c>
      <c r="W11" s="14">
        <f t="shared" si="6"/>
        <v>3</v>
      </c>
      <c r="X11" s="17">
        <f t="shared" si="7"/>
        <v>153.33000000000001</v>
      </c>
    </row>
    <row r="12" spans="1:24" x14ac:dyDescent="0.25">
      <c r="A12" s="14" t="s">
        <v>51</v>
      </c>
      <c r="B12" s="14" t="s">
        <v>777</v>
      </c>
      <c r="C12" s="14" t="s">
        <v>778</v>
      </c>
      <c r="D12" s="14" t="s">
        <v>42</v>
      </c>
      <c r="E12" s="14">
        <v>1</v>
      </c>
      <c r="F12" s="14">
        <v>0</v>
      </c>
      <c r="G12" s="14">
        <v>1</v>
      </c>
      <c r="H12" s="14">
        <v>0</v>
      </c>
      <c r="I12" s="14">
        <v>0</v>
      </c>
      <c r="J12" s="17">
        <v>0</v>
      </c>
      <c r="K12" s="14">
        <v>1</v>
      </c>
      <c r="L12" s="17">
        <v>3.26</v>
      </c>
      <c r="M12" s="14" t="s">
        <v>86</v>
      </c>
      <c r="P12" s="14" t="str">
        <f>Setup!$A$13</f>
        <v>Expert 09</v>
      </c>
      <c r="Q12" s="14">
        <f t="shared" si="0"/>
        <v>2</v>
      </c>
      <c r="R12" s="14">
        <f t="shared" si="1"/>
        <v>1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7">
        <f t="shared" si="5"/>
        <v>16</v>
      </c>
      <c r="W12" s="14">
        <f t="shared" si="6"/>
        <v>3</v>
      </c>
      <c r="X12" s="17">
        <f t="shared" si="7"/>
        <v>105.77</v>
      </c>
    </row>
    <row r="13" spans="1:24" x14ac:dyDescent="0.25">
      <c r="A13" s="14" t="s">
        <v>59</v>
      </c>
      <c r="B13" s="14" t="s">
        <v>779</v>
      </c>
      <c r="C13" s="14" t="s">
        <v>780</v>
      </c>
      <c r="D13" s="14" t="s">
        <v>69</v>
      </c>
      <c r="E13" s="14">
        <v>0</v>
      </c>
      <c r="F13" s="14">
        <v>1</v>
      </c>
      <c r="G13" s="14">
        <v>0</v>
      </c>
      <c r="H13" s="14">
        <v>0</v>
      </c>
      <c r="I13" s="14">
        <v>0</v>
      </c>
      <c r="J13" s="17">
        <v>33</v>
      </c>
      <c r="K13" s="14">
        <v>1</v>
      </c>
      <c r="L13" s="17">
        <v>0</v>
      </c>
      <c r="M13" s="14" t="s">
        <v>86</v>
      </c>
      <c r="P13" s="14" t="str">
        <f>Setup!$A$14</f>
        <v>Expert 10</v>
      </c>
      <c r="Q13" s="14">
        <f t="shared" si="0"/>
        <v>0</v>
      </c>
      <c r="R13" s="14">
        <f t="shared" si="1"/>
        <v>0</v>
      </c>
      <c r="S13" s="14">
        <f t="shared" si="2"/>
        <v>0</v>
      </c>
      <c r="T13" s="14">
        <f t="shared" si="3"/>
        <v>0</v>
      </c>
      <c r="U13" s="14">
        <f t="shared" si="4"/>
        <v>0</v>
      </c>
      <c r="V13" s="17">
        <f t="shared" si="5"/>
        <v>0</v>
      </c>
      <c r="W13" s="14">
        <f t="shared" si="6"/>
        <v>0</v>
      </c>
      <c r="X13" s="17">
        <f t="shared" si="7"/>
        <v>0</v>
      </c>
    </row>
    <row r="14" spans="1:24" x14ac:dyDescent="0.25">
      <c r="A14" s="14" t="s">
        <v>53</v>
      </c>
      <c r="B14" s="14" t="s">
        <v>781</v>
      </c>
      <c r="C14" s="14" t="s">
        <v>782</v>
      </c>
      <c r="D14" s="14" t="s">
        <v>54</v>
      </c>
      <c r="E14" s="14">
        <v>0</v>
      </c>
      <c r="F14" s="14">
        <v>0</v>
      </c>
      <c r="G14" s="14">
        <v>0</v>
      </c>
      <c r="H14" s="14">
        <v>0</v>
      </c>
      <c r="I14" s="14">
        <v>0</v>
      </c>
      <c r="J14" s="17">
        <v>16</v>
      </c>
      <c r="K14" s="14">
        <v>1</v>
      </c>
      <c r="L14" s="17">
        <v>153.33000000000001</v>
      </c>
      <c r="M14" s="14" t="s">
        <v>86</v>
      </c>
      <c r="P14" s="14" t="str">
        <f>Setup!$A$15</f>
        <v>Expert 11</v>
      </c>
      <c r="Q14" s="14">
        <f t="shared" si="0"/>
        <v>2</v>
      </c>
      <c r="R14" s="14">
        <f t="shared" si="1"/>
        <v>3</v>
      </c>
      <c r="S14" s="14">
        <f t="shared" si="2"/>
        <v>0</v>
      </c>
      <c r="T14" s="14">
        <f t="shared" si="3"/>
        <v>0</v>
      </c>
      <c r="U14" s="14">
        <f t="shared" si="4"/>
        <v>1</v>
      </c>
      <c r="V14" s="17">
        <f t="shared" si="5"/>
        <v>82</v>
      </c>
      <c r="W14" s="14">
        <f t="shared" si="6"/>
        <v>6</v>
      </c>
      <c r="X14" s="17">
        <f t="shared" si="7"/>
        <v>222.29000000000002</v>
      </c>
    </row>
    <row r="15" spans="1:24" x14ac:dyDescent="0.25">
      <c r="A15" s="14" t="s">
        <v>55</v>
      </c>
      <c r="B15" s="14" t="s">
        <v>783</v>
      </c>
      <c r="C15" s="14" t="s">
        <v>784</v>
      </c>
      <c r="D15" s="14" t="s">
        <v>58</v>
      </c>
      <c r="E15" s="14">
        <v>1</v>
      </c>
      <c r="F15" s="14">
        <v>0</v>
      </c>
      <c r="G15" s="14">
        <v>0</v>
      </c>
      <c r="H15" s="14">
        <v>0</v>
      </c>
      <c r="I15" s="14">
        <v>0</v>
      </c>
      <c r="J15" s="17">
        <v>0</v>
      </c>
      <c r="K15" s="14">
        <v>1</v>
      </c>
      <c r="L15" s="17">
        <v>0</v>
      </c>
      <c r="M15" s="14" t="s">
        <v>86</v>
      </c>
      <c r="P15" s="14" t="str">
        <f>Setup!$A$16</f>
        <v>Expert 12</v>
      </c>
      <c r="Q15" s="14">
        <f t="shared" si="0"/>
        <v>2</v>
      </c>
      <c r="R15" s="14">
        <f t="shared" si="1"/>
        <v>0</v>
      </c>
      <c r="S15" s="14">
        <f t="shared" si="2"/>
        <v>0</v>
      </c>
      <c r="T15" s="14">
        <f t="shared" si="3"/>
        <v>1</v>
      </c>
      <c r="U15" s="14">
        <f t="shared" si="4"/>
        <v>0</v>
      </c>
      <c r="V15" s="17">
        <f t="shared" si="5"/>
        <v>0</v>
      </c>
      <c r="W15" s="14">
        <f t="shared" si="6"/>
        <v>3</v>
      </c>
      <c r="X15" s="17">
        <f t="shared" si="7"/>
        <v>0</v>
      </c>
    </row>
    <row r="16" spans="1:24" x14ac:dyDescent="0.25">
      <c r="A16" s="14" t="s">
        <v>59</v>
      </c>
      <c r="B16" s="14" t="s">
        <v>785</v>
      </c>
      <c r="C16" s="14" t="s">
        <v>786</v>
      </c>
      <c r="D16" s="14" t="s">
        <v>72</v>
      </c>
      <c r="E16" s="14">
        <v>0</v>
      </c>
      <c r="F16" s="14">
        <v>0</v>
      </c>
      <c r="G16" s="14">
        <v>0</v>
      </c>
      <c r="H16" s="14">
        <v>0</v>
      </c>
      <c r="I16" s="14">
        <v>1</v>
      </c>
      <c r="J16" s="17">
        <v>0</v>
      </c>
      <c r="K16" s="14">
        <v>0</v>
      </c>
      <c r="L16" s="17">
        <v>109.32</v>
      </c>
      <c r="M16" s="14" t="s">
        <v>86</v>
      </c>
      <c r="P16" s="18" t="s">
        <v>111</v>
      </c>
      <c r="Q16" s="19">
        <f t="shared" ref="Q16:X16" si="8">SUM(Q4:Q15)</f>
        <v>14</v>
      </c>
      <c r="R16" s="19">
        <f t="shared" si="8"/>
        <v>6</v>
      </c>
      <c r="S16" s="19">
        <f t="shared" si="8"/>
        <v>1</v>
      </c>
      <c r="T16" s="19">
        <f t="shared" si="8"/>
        <v>1</v>
      </c>
      <c r="U16" s="19">
        <f t="shared" si="8"/>
        <v>1</v>
      </c>
      <c r="V16" s="20">
        <f t="shared" si="8"/>
        <v>323</v>
      </c>
      <c r="W16" s="19">
        <f t="shared" si="8"/>
        <v>27</v>
      </c>
      <c r="X16" s="20">
        <f t="shared" si="8"/>
        <v>1355.04</v>
      </c>
    </row>
    <row r="17" spans="1:13" x14ac:dyDescent="0.25">
      <c r="A17" s="14" t="s">
        <v>41</v>
      </c>
      <c r="B17" s="14" t="s">
        <v>787</v>
      </c>
      <c r="C17" s="14" t="s">
        <v>788</v>
      </c>
      <c r="D17" s="14" t="s">
        <v>66</v>
      </c>
      <c r="E17" s="14">
        <v>1</v>
      </c>
      <c r="F17" s="14">
        <v>0</v>
      </c>
      <c r="G17" s="14">
        <v>0</v>
      </c>
      <c r="H17" s="14">
        <v>0</v>
      </c>
      <c r="I17" s="14">
        <v>0</v>
      </c>
      <c r="J17" s="17">
        <v>18</v>
      </c>
      <c r="K17" s="14">
        <v>1</v>
      </c>
      <c r="L17" s="17">
        <v>0</v>
      </c>
      <c r="M17" s="14" t="s">
        <v>86</v>
      </c>
    </row>
    <row r="18" spans="1:13" x14ac:dyDescent="0.25">
      <c r="A18" s="14" t="s">
        <v>59</v>
      </c>
      <c r="B18" s="14" t="s">
        <v>789</v>
      </c>
      <c r="C18" s="14" t="s">
        <v>790</v>
      </c>
      <c r="D18" s="14" t="s">
        <v>58</v>
      </c>
      <c r="E18" s="14">
        <v>1</v>
      </c>
      <c r="F18" s="14">
        <v>0</v>
      </c>
      <c r="G18" s="14">
        <v>0</v>
      </c>
      <c r="H18" s="14">
        <v>0</v>
      </c>
      <c r="I18" s="14">
        <v>0</v>
      </c>
      <c r="J18" s="17">
        <v>0</v>
      </c>
      <c r="K18" s="14">
        <v>1</v>
      </c>
      <c r="L18" s="17">
        <v>0</v>
      </c>
      <c r="M18" s="14" t="s">
        <v>86</v>
      </c>
    </row>
    <row r="19" spans="1:13" x14ac:dyDescent="0.25">
      <c r="A19" s="14" t="s">
        <v>59</v>
      </c>
      <c r="B19" s="14" t="s">
        <v>791</v>
      </c>
      <c r="C19" s="14" t="s">
        <v>792</v>
      </c>
      <c r="D19" s="14" t="s">
        <v>50</v>
      </c>
      <c r="E19" s="14">
        <v>0</v>
      </c>
      <c r="F19" s="14">
        <v>1</v>
      </c>
      <c r="G19" s="14">
        <v>0</v>
      </c>
      <c r="H19" s="14">
        <v>0</v>
      </c>
      <c r="I19" s="14">
        <v>0</v>
      </c>
      <c r="J19" s="17">
        <v>16</v>
      </c>
      <c r="K19" s="14">
        <v>1</v>
      </c>
      <c r="L19" s="17">
        <v>83.61</v>
      </c>
      <c r="M19" s="14" t="s">
        <v>212</v>
      </c>
    </row>
    <row r="20" spans="1:13" x14ac:dyDescent="0.25">
      <c r="A20" s="14" t="s">
        <v>59</v>
      </c>
      <c r="B20" s="14" t="s">
        <v>793</v>
      </c>
      <c r="C20" s="14" t="s">
        <v>794</v>
      </c>
      <c r="D20" s="14" t="s">
        <v>64</v>
      </c>
      <c r="E20" s="14">
        <v>0</v>
      </c>
      <c r="F20" s="14">
        <v>1</v>
      </c>
      <c r="G20" s="14">
        <v>0</v>
      </c>
      <c r="H20" s="14">
        <v>0</v>
      </c>
      <c r="I20" s="14">
        <v>0</v>
      </c>
      <c r="J20" s="17">
        <v>33</v>
      </c>
      <c r="K20" s="14">
        <v>1</v>
      </c>
      <c r="L20" s="17">
        <v>29.36</v>
      </c>
      <c r="M20" s="14" t="s">
        <v>86</v>
      </c>
    </row>
    <row r="21" spans="1:13" x14ac:dyDescent="0.25">
      <c r="A21" s="14" t="s">
        <v>53</v>
      </c>
      <c r="B21" s="14" t="s">
        <v>795</v>
      </c>
      <c r="C21" s="14" t="s">
        <v>796</v>
      </c>
      <c r="D21" s="14" t="s">
        <v>74</v>
      </c>
      <c r="E21" s="14">
        <v>1</v>
      </c>
      <c r="F21" s="14">
        <v>0</v>
      </c>
      <c r="G21" s="14">
        <v>0</v>
      </c>
      <c r="H21" s="14">
        <v>0</v>
      </c>
      <c r="I21" s="14">
        <v>0</v>
      </c>
      <c r="J21" s="17">
        <v>0</v>
      </c>
      <c r="K21" s="14">
        <v>0</v>
      </c>
      <c r="L21" s="17">
        <v>0</v>
      </c>
      <c r="M21" s="14" t="s">
        <v>86</v>
      </c>
    </row>
    <row r="22" spans="1:13" x14ac:dyDescent="0.25">
      <c r="A22" s="14" t="s">
        <v>51</v>
      </c>
      <c r="B22" s="14" t="s">
        <v>797</v>
      </c>
      <c r="C22" s="14" t="s">
        <v>798</v>
      </c>
      <c r="D22" s="14" t="s">
        <v>67</v>
      </c>
      <c r="E22" s="14">
        <v>1</v>
      </c>
      <c r="F22" s="14">
        <v>0</v>
      </c>
      <c r="G22" s="14">
        <v>0</v>
      </c>
      <c r="H22" s="14">
        <v>0</v>
      </c>
      <c r="I22" s="14">
        <v>0</v>
      </c>
      <c r="J22" s="17">
        <v>0</v>
      </c>
      <c r="K22" s="14">
        <v>1</v>
      </c>
      <c r="L22" s="17">
        <v>165.84</v>
      </c>
      <c r="M22" s="14" t="s">
        <v>86</v>
      </c>
    </row>
    <row r="23" spans="1:13" x14ac:dyDescent="0.25">
      <c r="A23" s="14" t="s">
        <v>61</v>
      </c>
      <c r="B23" s="14" t="s">
        <v>799</v>
      </c>
      <c r="C23" s="14" t="s">
        <v>800</v>
      </c>
      <c r="D23" s="14" t="s">
        <v>67</v>
      </c>
      <c r="E23" s="14">
        <v>1</v>
      </c>
      <c r="F23" s="14">
        <v>0</v>
      </c>
      <c r="G23" s="14">
        <v>0</v>
      </c>
      <c r="H23" s="14">
        <v>0</v>
      </c>
      <c r="I23" s="14">
        <v>0</v>
      </c>
      <c r="J23" s="17">
        <v>0</v>
      </c>
      <c r="K23" s="14">
        <v>1</v>
      </c>
      <c r="L23" s="17">
        <v>0</v>
      </c>
      <c r="M23" s="14" t="s">
        <v>86</v>
      </c>
    </row>
    <row r="24" spans="1:13" x14ac:dyDescent="0.25">
      <c r="A24" s="14" t="s">
        <v>55</v>
      </c>
      <c r="B24" s="14" t="s">
        <v>801</v>
      </c>
      <c r="C24" s="14" t="s">
        <v>802</v>
      </c>
      <c r="D24" s="14" t="s">
        <v>69</v>
      </c>
      <c r="E24" s="14">
        <v>1</v>
      </c>
      <c r="F24" s="14">
        <v>0</v>
      </c>
      <c r="G24" s="14">
        <v>0</v>
      </c>
      <c r="H24" s="14">
        <v>0</v>
      </c>
      <c r="I24" s="14">
        <v>0</v>
      </c>
      <c r="J24" s="17">
        <v>16</v>
      </c>
      <c r="K24" s="14">
        <v>1</v>
      </c>
      <c r="L24" s="17">
        <v>105.77</v>
      </c>
      <c r="M24" s="14" t="s">
        <v>86</v>
      </c>
    </row>
    <row r="25" spans="1:13" x14ac:dyDescent="0.25">
      <c r="A25" s="14" t="s">
        <v>39</v>
      </c>
      <c r="B25" s="14" t="s">
        <v>803</v>
      </c>
      <c r="C25" s="14" t="s">
        <v>804</v>
      </c>
      <c r="D25" s="14" t="s">
        <v>71</v>
      </c>
      <c r="E25" s="14">
        <v>1</v>
      </c>
      <c r="F25" s="14">
        <v>0</v>
      </c>
      <c r="G25" s="14">
        <v>0</v>
      </c>
      <c r="H25" s="14">
        <v>0</v>
      </c>
      <c r="I25" s="14">
        <v>0</v>
      </c>
      <c r="J25" s="17">
        <v>16</v>
      </c>
      <c r="K25" s="14">
        <v>1</v>
      </c>
      <c r="L25" s="17">
        <v>0</v>
      </c>
      <c r="M25" s="14" t="s">
        <v>86</v>
      </c>
    </row>
    <row r="26" spans="1:13" x14ac:dyDescent="0.25">
      <c r="A26" s="14" t="s">
        <v>43</v>
      </c>
      <c r="B26" s="14" t="s">
        <v>805</v>
      </c>
      <c r="C26" s="14" t="s">
        <v>806</v>
      </c>
      <c r="D26" s="14" t="s">
        <v>42</v>
      </c>
      <c r="E26" s="14">
        <v>0</v>
      </c>
      <c r="F26" s="14">
        <v>1</v>
      </c>
      <c r="G26" s="14">
        <v>0</v>
      </c>
      <c r="H26" s="14">
        <v>0</v>
      </c>
      <c r="I26" s="14">
        <v>0</v>
      </c>
      <c r="J26" s="17">
        <v>18</v>
      </c>
      <c r="K26" s="14">
        <v>1</v>
      </c>
      <c r="L26" s="17">
        <v>0</v>
      </c>
      <c r="M26" s="14" t="s">
        <v>86</v>
      </c>
    </row>
    <row r="27" spans="1:13" x14ac:dyDescent="0.25">
      <c r="A27" s="14" t="s">
        <v>59</v>
      </c>
      <c r="B27" s="14" t="s">
        <v>807</v>
      </c>
      <c r="C27" s="14" t="s">
        <v>808</v>
      </c>
      <c r="D27" s="14" t="s">
        <v>56</v>
      </c>
      <c r="E27" s="14">
        <v>0</v>
      </c>
      <c r="F27" s="14">
        <v>0</v>
      </c>
      <c r="G27" s="14">
        <v>0</v>
      </c>
      <c r="H27" s="14">
        <v>0</v>
      </c>
      <c r="I27" s="14">
        <v>0</v>
      </c>
      <c r="J27" s="17">
        <v>0</v>
      </c>
      <c r="K27" s="14">
        <v>1</v>
      </c>
      <c r="L27" s="17">
        <v>0</v>
      </c>
      <c r="M27" s="14" t="s">
        <v>86</v>
      </c>
    </row>
    <row r="28" spans="1:13" x14ac:dyDescent="0.25">
      <c r="A28" s="14" t="s">
        <v>47</v>
      </c>
      <c r="B28" s="14" t="s">
        <v>809</v>
      </c>
      <c r="C28" s="14" t="s">
        <v>810</v>
      </c>
      <c r="D28" s="14" t="s">
        <v>56</v>
      </c>
      <c r="E28" s="14">
        <v>0</v>
      </c>
      <c r="F28" s="14">
        <v>0</v>
      </c>
      <c r="G28" s="14">
        <v>0</v>
      </c>
      <c r="H28" s="14">
        <v>0</v>
      </c>
      <c r="I28" s="14">
        <v>0</v>
      </c>
      <c r="J28" s="17">
        <v>15</v>
      </c>
      <c r="K28" s="14">
        <v>1</v>
      </c>
      <c r="L28" s="17">
        <v>0</v>
      </c>
      <c r="M28" s="14" t="s">
        <v>212</v>
      </c>
    </row>
    <row r="29" spans="1:13" x14ac:dyDescent="0.25">
      <c r="A29" s="14" t="s">
        <v>59</v>
      </c>
      <c r="B29" s="14" t="s">
        <v>811</v>
      </c>
      <c r="C29" s="14" t="s">
        <v>812</v>
      </c>
      <c r="D29" s="14" t="s">
        <v>63</v>
      </c>
      <c r="E29" s="14">
        <v>1</v>
      </c>
      <c r="F29" s="14">
        <v>0</v>
      </c>
      <c r="G29" s="14">
        <v>0</v>
      </c>
      <c r="H29" s="14">
        <v>0</v>
      </c>
      <c r="I29" s="14">
        <v>0</v>
      </c>
      <c r="J29" s="17">
        <v>0</v>
      </c>
      <c r="K29" s="14">
        <v>1</v>
      </c>
      <c r="L29" s="17">
        <v>0</v>
      </c>
      <c r="M29" s="14" t="s">
        <v>86</v>
      </c>
    </row>
    <row r="30" spans="1:13" x14ac:dyDescent="0.25">
      <c r="A30" s="14" t="s">
        <v>47</v>
      </c>
      <c r="B30" s="14" t="s">
        <v>813</v>
      </c>
      <c r="C30" s="14" t="s">
        <v>814</v>
      </c>
      <c r="D30" s="14" t="s">
        <v>56</v>
      </c>
      <c r="E30" s="14">
        <v>0</v>
      </c>
      <c r="F30" s="14">
        <v>0</v>
      </c>
      <c r="G30" s="14">
        <v>0</v>
      </c>
      <c r="H30" s="14">
        <v>0</v>
      </c>
      <c r="I30" s="14">
        <v>0</v>
      </c>
      <c r="J30" s="17">
        <v>0</v>
      </c>
      <c r="K30" s="14">
        <v>1</v>
      </c>
      <c r="L30" s="17">
        <v>174.79</v>
      </c>
      <c r="M30" s="14" t="s">
        <v>86</v>
      </c>
    </row>
    <row r="31" spans="1:13" x14ac:dyDescent="0.25">
      <c r="A31" s="14" t="s">
        <v>41</v>
      </c>
      <c r="B31" s="14" t="s">
        <v>815</v>
      </c>
      <c r="C31" s="14" t="s">
        <v>816</v>
      </c>
      <c r="D31" s="14" t="s">
        <v>65</v>
      </c>
      <c r="E31" s="14">
        <v>0</v>
      </c>
      <c r="F31" s="14">
        <v>0</v>
      </c>
      <c r="G31" s="14">
        <v>0</v>
      </c>
      <c r="H31" s="14">
        <v>0</v>
      </c>
      <c r="I31" s="14">
        <v>0</v>
      </c>
      <c r="J31" s="17">
        <v>16</v>
      </c>
      <c r="K31" s="14">
        <v>1</v>
      </c>
      <c r="L31" s="17">
        <v>0</v>
      </c>
      <c r="M31" s="14" t="s">
        <v>86</v>
      </c>
    </row>
    <row r="32" spans="1:13" x14ac:dyDescent="0.25">
      <c r="A32" s="14" t="s">
        <v>61</v>
      </c>
      <c r="B32" s="14" t="s">
        <v>817</v>
      </c>
      <c r="C32" s="14" t="s">
        <v>818</v>
      </c>
      <c r="D32" s="14" t="s">
        <v>40</v>
      </c>
      <c r="E32" s="14">
        <v>1</v>
      </c>
      <c r="F32" s="14">
        <v>0</v>
      </c>
      <c r="G32" s="14">
        <v>0</v>
      </c>
      <c r="H32" s="14">
        <v>0</v>
      </c>
      <c r="I32" s="14">
        <v>0</v>
      </c>
      <c r="J32" s="17">
        <v>0</v>
      </c>
      <c r="K32" s="14">
        <v>1</v>
      </c>
      <c r="L32" s="17">
        <v>0</v>
      </c>
      <c r="M32" s="14" t="s">
        <v>86</v>
      </c>
    </row>
    <row r="33" spans="1:13" x14ac:dyDescent="0.25">
      <c r="A33" s="14" t="s">
        <v>45</v>
      </c>
      <c r="B33" s="14" t="s">
        <v>819</v>
      </c>
      <c r="C33" s="14" t="s">
        <v>820</v>
      </c>
      <c r="D33" s="14" t="s">
        <v>67</v>
      </c>
      <c r="E33" s="14">
        <v>1</v>
      </c>
      <c r="F33" s="14">
        <v>0</v>
      </c>
      <c r="G33" s="14">
        <v>0</v>
      </c>
      <c r="H33" s="14">
        <v>0</v>
      </c>
      <c r="I33" s="14">
        <v>0</v>
      </c>
      <c r="J33" s="17">
        <v>0</v>
      </c>
      <c r="K33" s="14">
        <v>1</v>
      </c>
      <c r="L33" s="17">
        <v>116.41</v>
      </c>
      <c r="M33" s="14" t="s">
        <v>86</v>
      </c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7"/>
      <c r="K34" s="14"/>
      <c r="L34" s="17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7"/>
      <c r="K35" s="14"/>
      <c r="L35" s="17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7"/>
      <c r="K36" s="14"/>
      <c r="L36" s="17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7"/>
      <c r="K37" s="14"/>
      <c r="L37" s="17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7"/>
      <c r="K38" s="14"/>
      <c r="L38" s="17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7"/>
      <c r="K39" s="14"/>
      <c r="L39" s="17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7"/>
      <c r="K40" s="14"/>
      <c r="L40" s="17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7"/>
      <c r="K41" s="14"/>
      <c r="L41" s="17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7"/>
      <c r="K42" s="14"/>
      <c r="L42" s="17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7"/>
      <c r="K43" s="14"/>
      <c r="L43" s="17"/>
      <c r="M43" s="14"/>
    </row>
  </sheetData>
  <mergeCells count="2">
    <mergeCell ref="A2:M2"/>
    <mergeCell ref="A1:M1"/>
  </mergeCells>
  <dataValidations count="1">
    <dataValidation type="list" allowBlank="1" sqref="M4:M43" xr:uid="{00000000-0002-0000-11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100-000000000000}">
          <x14:formula1>
            <xm:f>Setup!$A$5:$A$16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100-000001000000}">
          <x14:formula1>
            <xm:f>Setup!$C$5:$C$30</xm:f>
          </x14:formula1>
          <xm:sqref>D4:D43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4" t="s">
        <v>821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</row>
    <row r="2" spans="1:24" ht="21.95" customHeight="1" x14ac:dyDescent="0.25">
      <c r="A2" s="43" t="s">
        <v>19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</row>
    <row r="3" spans="1:24" x14ac:dyDescent="0.25">
      <c r="A3" s="12" t="s">
        <v>79</v>
      </c>
      <c r="B3" s="12" t="s">
        <v>80</v>
      </c>
      <c r="C3" s="12" t="s">
        <v>81</v>
      </c>
      <c r="D3" s="12" t="s">
        <v>82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83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41</v>
      </c>
      <c r="B4" s="14" t="s">
        <v>822</v>
      </c>
      <c r="C4" s="14" t="s">
        <v>823</v>
      </c>
      <c r="D4" s="14" t="s">
        <v>69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7">
        <v>0</v>
      </c>
      <c r="K4" s="14">
        <v>1</v>
      </c>
      <c r="L4" s="17">
        <v>87.75</v>
      </c>
      <c r="M4" s="14" t="s">
        <v>86</v>
      </c>
      <c r="P4" s="14" t="str">
        <f>Setup!$A$5</f>
        <v>Expert 01</v>
      </c>
      <c r="Q4" s="14">
        <f t="shared" ref="Q4:Q15" si="0">SUMIF($A$4:$A$43,$P4,E$4:E$43)</f>
        <v>1</v>
      </c>
      <c r="R4" s="14">
        <f t="shared" ref="R4:R15" si="1">SUMIF($A$4:$A$43,$P4,F$4:F$43)</f>
        <v>0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7">
        <f t="shared" ref="V4:V15" si="5">SUMIF($A$4:$A$43,$P4,J$4:J$43)</f>
        <v>16</v>
      </c>
      <c r="W4" s="14">
        <f t="shared" ref="W4:W15" si="6">SUMIF($A$4:$A$43,$P4,K$4:K$43)</f>
        <v>3</v>
      </c>
      <c r="X4" s="17">
        <f t="shared" ref="X4:X15" si="7">SUMIF($A$4:$A$43,$P4,L$4:L$43)</f>
        <v>224.23</v>
      </c>
    </row>
    <row r="5" spans="1:24" x14ac:dyDescent="0.25">
      <c r="A5" s="14" t="s">
        <v>39</v>
      </c>
      <c r="B5" s="14" t="s">
        <v>824</v>
      </c>
      <c r="C5" s="14" t="s">
        <v>825</v>
      </c>
      <c r="D5" s="14" t="s">
        <v>52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7">
        <v>16</v>
      </c>
      <c r="K5" s="14">
        <v>1</v>
      </c>
      <c r="L5" s="17">
        <v>134.76</v>
      </c>
      <c r="M5" s="14" t="s">
        <v>86</v>
      </c>
      <c r="P5" s="14" t="str">
        <f>Setup!$A$6</f>
        <v>Expert 02</v>
      </c>
      <c r="Q5" s="14">
        <f t="shared" si="0"/>
        <v>0</v>
      </c>
      <c r="R5" s="14">
        <f t="shared" si="1"/>
        <v>2</v>
      </c>
      <c r="S5" s="14">
        <f t="shared" si="2"/>
        <v>1</v>
      </c>
      <c r="T5" s="14">
        <f t="shared" si="3"/>
        <v>0</v>
      </c>
      <c r="U5" s="14">
        <f t="shared" si="4"/>
        <v>0</v>
      </c>
      <c r="V5" s="17">
        <f t="shared" si="5"/>
        <v>16</v>
      </c>
      <c r="W5" s="14">
        <f t="shared" si="6"/>
        <v>2</v>
      </c>
      <c r="X5" s="17">
        <f t="shared" si="7"/>
        <v>91.37</v>
      </c>
    </row>
    <row r="6" spans="1:24" x14ac:dyDescent="0.25">
      <c r="A6" s="14" t="s">
        <v>53</v>
      </c>
      <c r="B6" s="14" t="s">
        <v>826</v>
      </c>
      <c r="C6" s="14" t="s">
        <v>827</v>
      </c>
      <c r="D6" s="14" t="s">
        <v>65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7">
        <v>18</v>
      </c>
      <c r="K6" s="14">
        <v>1</v>
      </c>
      <c r="L6" s="17">
        <v>0</v>
      </c>
      <c r="M6" s="14" t="s">
        <v>86</v>
      </c>
      <c r="P6" s="14" t="str">
        <f>Setup!$A$7</f>
        <v>Expert 03</v>
      </c>
      <c r="Q6" s="14">
        <f t="shared" si="0"/>
        <v>0</v>
      </c>
      <c r="R6" s="14">
        <f t="shared" si="1"/>
        <v>1</v>
      </c>
      <c r="S6" s="14">
        <f t="shared" si="2"/>
        <v>0</v>
      </c>
      <c r="T6" s="14">
        <f t="shared" si="3"/>
        <v>0</v>
      </c>
      <c r="U6" s="14">
        <f t="shared" si="4"/>
        <v>0</v>
      </c>
      <c r="V6" s="17">
        <f t="shared" si="5"/>
        <v>18</v>
      </c>
      <c r="W6" s="14">
        <f t="shared" si="6"/>
        <v>2</v>
      </c>
      <c r="X6" s="17">
        <f t="shared" si="7"/>
        <v>154.51999999999998</v>
      </c>
    </row>
    <row r="7" spans="1:24" x14ac:dyDescent="0.25">
      <c r="A7" s="14" t="s">
        <v>49</v>
      </c>
      <c r="B7" s="14" t="s">
        <v>828</v>
      </c>
      <c r="C7" s="14" t="s">
        <v>829</v>
      </c>
      <c r="D7" s="14" t="s">
        <v>69</v>
      </c>
      <c r="E7" s="14">
        <v>0</v>
      </c>
      <c r="F7" s="14">
        <v>0</v>
      </c>
      <c r="G7" s="14">
        <v>0</v>
      </c>
      <c r="H7" s="14">
        <v>0</v>
      </c>
      <c r="I7" s="14">
        <v>0</v>
      </c>
      <c r="J7" s="17">
        <v>0</v>
      </c>
      <c r="K7" s="14">
        <v>1</v>
      </c>
      <c r="L7" s="17">
        <v>0</v>
      </c>
      <c r="M7" s="14" t="s">
        <v>212</v>
      </c>
      <c r="P7" s="14" t="str">
        <f>Setup!$A$8</f>
        <v>Expert 04</v>
      </c>
      <c r="Q7" s="14">
        <f t="shared" si="0"/>
        <v>2</v>
      </c>
      <c r="R7" s="14">
        <f t="shared" si="1"/>
        <v>0</v>
      </c>
      <c r="S7" s="14">
        <f t="shared" si="2"/>
        <v>0</v>
      </c>
      <c r="T7" s="14">
        <f t="shared" si="3"/>
        <v>0</v>
      </c>
      <c r="U7" s="14">
        <f t="shared" si="4"/>
        <v>0</v>
      </c>
      <c r="V7" s="17">
        <f t="shared" si="5"/>
        <v>18</v>
      </c>
      <c r="W7" s="14">
        <f t="shared" si="6"/>
        <v>2</v>
      </c>
      <c r="X7" s="17">
        <f t="shared" si="7"/>
        <v>0</v>
      </c>
    </row>
    <row r="8" spans="1:24" x14ac:dyDescent="0.25">
      <c r="A8" s="14" t="s">
        <v>45</v>
      </c>
      <c r="B8" s="14" t="s">
        <v>830</v>
      </c>
      <c r="C8" s="14" t="s">
        <v>831</v>
      </c>
      <c r="D8" s="14" t="s">
        <v>76</v>
      </c>
      <c r="E8" s="14">
        <v>0</v>
      </c>
      <c r="F8" s="14">
        <v>0</v>
      </c>
      <c r="G8" s="14">
        <v>0</v>
      </c>
      <c r="H8" s="14">
        <v>0</v>
      </c>
      <c r="I8" s="14">
        <v>0</v>
      </c>
      <c r="J8" s="17">
        <v>0</v>
      </c>
      <c r="K8" s="14">
        <v>0</v>
      </c>
      <c r="L8" s="17">
        <v>0</v>
      </c>
      <c r="M8" s="14" t="s">
        <v>86</v>
      </c>
      <c r="P8" s="14" t="str">
        <f>Setup!$A$9</f>
        <v>Expert 05</v>
      </c>
      <c r="Q8" s="14">
        <f t="shared" si="0"/>
        <v>1</v>
      </c>
      <c r="R8" s="14">
        <f t="shared" si="1"/>
        <v>0</v>
      </c>
      <c r="S8" s="14">
        <f t="shared" si="2"/>
        <v>0</v>
      </c>
      <c r="T8" s="14">
        <f t="shared" si="3"/>
        <v>1</v>
      </c>
      <c r="U8" s="14">
        <f t="shared" si="4"/>
        <v>0</v>
      </c>
      <c r="V8" s="17">
        <f t="shared" si="5"/>
        <v>15</v>
      </c>
      <c r="W8" s="14">
        <f t="shared" si="6"/>
        <v>1</v>
      </c>
      <c r="X8" s="17">
        <f t="shared" si="7"/>
        <v>165</v>
      </c>
    </row>
    <row r="9" spans="1:24" x14ac:dyDescent="0.25">
      <c r="A9" s="14" t="s">
        <v>45</v>
      </c>
      <c r="B9" s="14" t="s">
        <v>832</v>
      </c>
      <c r="C9" s="14" t="s">
        <v>833</v>
      </c>
      <c r="D9" s="14" t="s">
        <v>64</v>
      </c>
      <c r="E9" s="14">
        <v>1</v>
      </c>
      <c r="F9" s="14">
        <v>0</v>
      </c>
      <c r="G9" s="14">
        <v>0</v>
      </c>
      <c r="H9" s="14">
        <v>0</v>
      </c>
      <c r="I9" s="14">
        <v>0</v>
      </c>
      <c r="J9" s="17">
        <v>0</v>
      </c>
      <c r="K9" s="14">
        <v>1</v>
      </c>
      <c r="L9" s="17">
        <v>0</v>
      </c>
      <c r="M9" s="14" t="s">
        <v>212</v>
      </c>
      <c r="P9" s="14" t="str">
        <f>Setup!$A$10</f>
        <v>Expert 06</v>
      </c>
      <c r="Q9" s="14">
        <f t="shared" si="0"/>
        <v>1</v>
      </c>
      <c r="R9" s="14">
        <f t="shared" si="1"/>
        <v>2</v>
      </c>
      <c r="S9" s="14">
        <f t="shared" si="2"/>
        <v>0</v>
      </c>
      <c r="T9" s="14">
        <f t="shared" si="3"/>
        <v>0</v>
      </c>
      <c r="U9" s="14">
        <f t="shared" si="4"/>
        <v>0</v>
      </c>
      <c r="V9" s="17">
        <f t="shared" si="5"/>
        <v>49</v>
      </c>
      <c r="W9" s="14">
        <f t="shared" si="6"/>
        <v>5</v>
      </c>
      <c r="X9" s="17">
        <f t="shared" si="7"/>
        <v>295.36</v>
      </c>
    </row>
    <row r="10" spans="1:24" x14ac:dyDescent="0.25">
      <c r="A10" s="14" t="s">
        <v>59</v>
      </c>
      <c r="B10" s="14" t="s">
        <v>834</v>
      </c>
      <c r="C10" s="14" t="s">
        <v>835</v>
      </c>
      <c r="D10" s="14" t="s">
        <v>66</v>
      </c>
      <c r="E10" s="14">
        <v>1</v>
      </c>
      <c r="F10" s="14">
        <v>0</v>
      </c>
      <c r="G10" s="14">
        <v>0</v>
      </c>
      <c r="H10" s="14">
        <v>0</v>
      </c>
      <c r="I10" s="14">
        <v>0</v>
      </c>
      <c r="J10" s="17">
        <v>0</v>
      </c>
      <c r="K10" s="14">
        <v>1</v>
      </c>
      <c r="L10" s="17">
        <v>0</v>
      </c>
      <c r="M10" s="14" t="s">
        <v>86</v>
      </c>
      <c r="P10" s="14" t="str">
        <f>Setup!$A$11</f>
        <v>Expert 07</v>
      </c>
      <c r="Q10" s="14">
        <f t="shared" si="0"/>
        <v>1</v>
      </c>
      <c r="R10" s="14">
        <f t="shared" si="1"/>
        <v>0</v>
      </c>
      <c r="S10" s="14">
        <f t="shared" si="2"/>
        <v>0</v>
      </c>
      <c r="T10" s="14">
        <f t="shared" si="3"/>
        <v>0</v>
      </c>
      <c r="U10" s="14">
        <f t="shared" si="4"/>
        <v>0</v>
      </c>
      <c r="V10" s="17">
        <f t="shared" si="5"/>
        <v>0</v>
      </c>
      <c r="W10" s="14">
        <f t="shared" si="6"/>
        <v>1</v>
      </c>
      <c r="X10" s="17">
        <f t="shared" si="7"/>
        <v>44.97</v>
      </c>
    </row>
    <row r="11" spans="1:24" x14ac:dyDescent="0.25">
      <c r="A11" s="14" t="s">
        <v>39</v>
      </c>
      <c r="B11" s="14" t="s">
        <v>836</v>
      </c>
      <c r="C11" s="14" t="s">
        <v>837</v>
      </c>
      <c r="D11" s="14" t="s">
        <v>71</v>
      </c>
      <c r="E11" s="14">
        <v>1</v>
      </c>
      <c r="F11" s="14">
        <v>0</v>
      </c>
      <c r="G11" s="14">
        <v>0</v>
      </c>
      <c r="H11" s="14">
        <v>0</v>
      </c>
      <c r="I11" s="14">
        <v>0</v>
      </c>
      <c r="J11" s="17">
        <v>0</v>
      </c>
      <c r="K11" s="14">
        <v>1</v>
      </c>
      <c r="L11" s="17">
        <v>0</v>
      </c>
      <c r="M11" s="14" t="s">
        <v>86</v>
      </c>
      <c r="P11" s="14" t="str">
        <f>Setup!$A$12</f>
        <v>Expert 08</v>
      </c>
      <c r="Q11" s="14">
        <f t="shared" si="0"/>
        <v>1</v>
      </c>
      <c r="R11" s="14">
        <f t="shared" si="1"/>
        <v>0</v>
      </c>
      <c r="S11" s="14">
        <f t="shared" si="2"/>
        <v>0</v>
      </c>
      <c r="T11" s="14">
        <f t="shared" si="3"/>
        <v>0</v>
      </c>
      <c r="U11" s="14">
        <f t="shared" si="4"/>
        <v>0</v>
      </c>
      <c r="V11" s="17">
        <f t="shared" si="5"/>
        <v>36</v>
      </c>
      <c r="W11" s="14">
        <f t="shared" si="6"/>
        <v>2</v>
      </c>
      <c r="X11" s="17">
        <f t="shared" si="7"/>
        <v>0</v>
      </c>
    </row>
    <row r="12" spans="1:24" x14ac:dyDescent="0.25">
      <c r="A12" s="14" t="s">
        <v>51</v>
      </c>
      <c r="B12" s="14" t="s">
        <v>838</v>
      </c>
      <c r="C12" s="14" t="s">
        <v>839</v>
      </c>
      <c r="D12" s="14" t="s">
        <v>65</v>
      </c>
      <c r="E12" s="14">
        <v>1</v>
      </c>
      <c r="F12" s="14">
        <v>0</v>
      </c>
      <c r="G12" s="14">
        <v>0</v>
      </c>
      <c r="H12" s="14">
        <v>0</v>
      </c>
      <c r="I12" s="14">
        <v>0</v>
      </c>
      <c r="J12" s="17">
        <v>0</v>
      </c>
      <c r="K12" s="14">
        <v>1</v>
      </c>
      <c r="L12" s="17">
        <v>44.97</v>
      </c>
      <c r="M12" s="14" t="s">
        <v>86</v>
      </c>
      <c r="P12" s="14" t="str">
        <f>Setup!$A$13</f>
        <v>Expert 09</v>
      </c>
      <c r="Q12" s="14">
        <f t="shared" si="0"/>
        <v>0</v>
      </c>
      <c r="R12" s="14">
        <f t="shared" si="1"/>
        <v>0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7">
        <f t="shared" si="5"/>
        <v>0</v>
      </c>
      <c r="W12" s="14">
        <f t="shared" si="6"/>
        <v>0</v>
      </c>
      <c r="X12" s="17">
        <f t="shared" si="7"/>
        <v>0</v>
      </c>
    </row>
    <row r="13" spans="1:24" x14ac:dyDescent="0.25">
      <c r="A13" s="14" t="s">
        <v>41</v>
      </c>
      <c r="B13" s="14" t="s">
        <v>840</v>
      </c>
      <c r="C13" s="14" t="s">
        <v>841</v>
      </c>
      <c r="D13" s="14" t="s">
        <v>76</v>
      </c>
      <c r="E13" s="14">
        <v>0</v>
      </c>
      <c r="F13" s="14">
        <v>1</v>
      </c>
      <c r="G13" s="14">
        <v>0</v>
      </c>
      <c r="H13" s="14">
        <v>0</v>
      </c>
      <c r="I13" s="14">
        <v>0</v>
      </c>
      <c r="J13" s="17">
        <v>16</v>
      </c>
      <c r="K13" s="14">
        <v>0</v>
      </c>
      <c r="L13" s="17">
        <v>0</v>
      </c>
      <c r="M13" s="14" t="s">
        <v>86</v>
      </c>
      <c r="P13" s="14" t="str">
        <f>Setup!$A$14</f>
        <v>Expert 10</v>
      </c>
      <c r="Q13" s="14">
        <f t="shared" si="0"/>
        <v>1</v>
      </c>
      <c r="R13" s="14">
        <f t="shared" si="1"/>
        <v>0</v>
      </c>
      <c r="S13" s="14">
        <f t="shared" si="2"/>
        <v>0</v>
      </c>
      <c r="T13" s="14">
        <f t="shared" si="3"/>
        <v>0</v>
      </c>
      <c r="U13" s="14">
        <f t="shared" si="4"/>
        <v>0</v>
      </c>
      <c r="V13" s="17">
        <f t="shared" si="5"/>
        <v>0</v>
      </c>
      <c r="W13" s="14">
        <f t="shared" si="6"/>
        <v>1</v>
      </c>
      <c r="X13" s="17">
        <f t="shared" si="7"/>
        <v>0</v>
      </c>
    </row>
    <row r="14" spans="1:24" x14ac:dyDescent="0.25">
      <c r="A14" s="14" t="s">
        <v>39</v>
      </c>
      <c r="B14" s="14" t="s">
        <v>842</v>
      </c>
      <c r="C14" s="14" t="s">
        <v>843</v>
      </c>
      <c r="D14" s="14" t="s">
        <v>64</v>
      </c>
      <c r="E14" s="14">
        <v>0</v>
      </c>
      <c r="F14" s="14">
        <v>0</v>
      </c>
      <c r="G14" s="14">
        <v>0</v>
      </c>
      <c r="H14" s="14">
        <v>0</v>
      </c>
      <c r="I14" s="14">
        <v>0</v>
      </c>
      <c r="J14" s="17">
        <v>0</v>
      </c>
      <c r="K14" s="14">
        <v>1</v>
      </c>
      <c r="L14" s="17">
        <v>89.47</v>
      </c>
      <c r="M14" s="14" t="s">
        <v>86</v>
      </c>
      <c r="P14" s="14" t="str">
        <f>Setup!$A$15</f>
        <v>Expert 11</v>
      </c>
      <c r="Q14" s="14">
        <f t="shared" si="0"/>
        <v>1</v>
      </c>
      <c r="R14" s="14">
        <f t="shared" si="1"/>
        <v>0</v>
      </c>
      <c r="S14" s="14">
        <f t="shared" si="2"/>
        <v>0</v>
      </c>
      <c r="T14" s="14">
        <f t="shared" si="3"/>
        <v>0</v>
      </c>
      <c r="U14" s="14">
        <f t="shared" si="4"/>
        <v>0</v>
      </c>
      <c r="V14" s="17">
        <f t="shared" si="5"/>
        <v>0</v>
      </c>
      <c r="W14" s="14">
        <f t="shared" si="6"/>
        <v>1</v>
      </c>
      <c r="X14" s="17">
        <f t="shared" si="7"/>
        <v>0</v>
      </c>
    </row>
    <row r="15" spans="1:24" x14ac:dyDescent="0.25">
      <c r="A15" s="14" t="s">
        <v>49</v>
      </c>
      <c r="B15" s="14" t="s">
        <v>844</v>
      </c>
      <c r="C15" s="14" t="s">
        <v>845</v>
      </c>
      <c r="D15" s="14" t="s">
        <v>56</v>
      </c>
      <c r="E15" s="14">
        <v>1</v>
      </c>
      <c r="F15" s="14">
        <v>0</v>
      </c>
      <c r="G15" s="14">
        <v>0</v>
      </c>
      <c r="H15" s="14">
        <v>0</v>
      </c>
      <c r="I15" s="14">
        <v>0</v>
      </c>
      <c r="J15" s="17">
        <v>33</v>
      </c>
      <c r="K15" s="14">
        <v>1</v>
      </c>
      <c r="L15" s="17">
        <v>149.58000000000001</v>
      </c>
      <c r="M15" s="14" t="s">
        <v>86</v>
      </c>
      <c r="P15" s="14" t="str">
        <f>Setup!$A$16</f>
        <v>Expert 12</v>
      </c>
      <c r="Q15" s="14">
        <f t="shared" si="0"/>
        <v>2</v>
      </c>
      <c r="R15" s="14">
        <f t="shared" si="1"/>
        <v>0</v>
      </c>
      <c r="S15" s="14">
        <f t="shared" si="2"/>
        <v>0</v>
      </c>
      <c r="T15" s="14">
        <f t="shared" si="3"/>
        <v>0</v>
      </c>
      <c r="U15" s="14">
        <f t="shared" si="4"/>
        <v>0</v>
      </c>
      <c r="V15" s="17">
        <f t="shared" si="5"/>
        <v>0</v>
      </c>
      <c r="W15" s="14">
        <f t="shared" si="6"/>
        <v>2</v>
      </c>
      <c r="X15" s="17">
        <f t="shared" si="7"/>
        <v>32.82</v>
      </c>
    </row>
    <row r="16" spans="1:24" x14ac:dyDescent="0.25">
      <c r="A16" s="14" t="s">
        <v>57</v>
      </c>
      <c r="B16" s="14" t="s">
        <v>846</v>
      </c>
      <c r="C16" s="14" t="s">
        <v>847</v>
      </c>
      <c r="D16" s="14" t="s">
        <v>54</v>
      </c>
      <c r="E16" s="14">
        <v>1</v>
      </c>
      <c r="F16" s="14">
        <v>0</v>
      </c>
      <c r="G16" s="14">
        <v>0</v>
      </c>
      <c r="H16" s="14">
        <v>0</v>
      </c>
      <c r="I16" s="14">
        <v>0</v>
      </c>
      <c r="J16" s="17">
        <v>0</v>
      </c>
      <c r="K16" s="14">
        <v>1</v>
      </c>
      <c r="L16" s="17">
        <v>0</v>
      </c>
      <c r="M16" s="14" t="s">
        <v>86</v>
      </c>
      <c r="P16" s="18" t="s">
        <v>111</v>
      </c>
      <c r="Q16" s="19">
        <f t="shared" ref="Q16:X16" si="8">SUM(Q4:Q15)</f>
        <v>11</v>
      </c>
      <c r="R16" s="19">
        <f t="shared" si="8"/>
        <v>5</v>
      </c>
      <c r="S16" s="19">
        <f t="shared" si="8"/>
        <v>1</v>
      </c>
      <c r="T16" s="19">
        <f t="shared" si="8"/>
        <v>1</v>
      </c>
      <c r="U16" s="19">
        <f t="shared" si="8"/>
        <v>0</v>
      </c>
      <c r="V16" s="20">
        <f t="shared" si="8"/>
        <v>168</v>
      </c>
      <c r="W16" s="19">
        <f t="shared" si="8"/>
        <v>22</v>
      </c>
      <c r="X16" s="20">
        <f t="shared" si="8"/>
        <v>1008.2700000000001</v>
      </c>
    </row>
    <row r="17" spans="1:13" x14ac:dyDescent="0.25">
      <c r="A17" s="14" t="s">
        <v>61</v>
      </c>
      <c r="B17" s="14" t="s">
        <v>848</v>
      </c>
      <c r="C17" s="14" t="s">
        <v>849</v>
      </c>
      <c r="D17" s="14" t="s">
        <v>63</v>
      </c>
      <c r="E17" s="14">
        <v>1</v>
      </c>
      <c r="F17" s="14">
        <v>0</v>
      </c>
      <c r="G17" s="14">
        <v>0</v>
      </c>
      <c r="H17" s="14">
        <v>0</v>
      </c>
      <c r="I17" s="14">
        <v>0</v>
      </c>
      <c r="J17" s="17">
        <v>0</v>
      </c>
      <c r="K17" s="14">
        <v>1</v>
      </c>
      <c r="L17" s="17">
        <v>0</v>
      </c>
      <c r="M17" s="14" t="s">
        <v>86</v>
      </c>
    </row>
    <row r="18" spans="1:13" x14ac:dyDescent="0.25">
      <c r="A18" s="14" t="s">
        <v>43</v>
      </c>
      <c r="B18" s="14" t="s">
        <v>850</v>
      </c>
      <c r="C18" s="14" t="s">
        <v>851</v>
      </c>
      <c r="D18" s="14" t="s">
        <v>60</v>
      </c>
      <c r="E18" s="14">
        <v>0</v>
      </c>
      <c r="F18" s="14">
        <v>1</v>
      </c>
      <c r="G18" s="14">
        <v>0</v>
      </c>
      <c r="H18" s="14">
        <v>0</v>
      </c>
      <c r="I18" s="14">
        <v>0</v>
      </c>
      <c r="J18" s="17">
        <v>0</v>
      </c>
      <c r="K18" s="14">
        <v>1</v>
      </c>
      <c r="L18" s="17">
        <v>74.989999999999995</v>
      </c>
      <c r="M18" s="14" t="s">
        <v>86</v>
      </c>
    </row>
    <row r="19" spans="1:13" x14ac:dyDescent="0.25">
      <c r="A19" s="14" t="s">
        <v>47</v>
      </c>
      <c r="B19" s="14" t="s">
        <v>852</v>
      </c>
      <c r="C19" s="14" t="s">
        <v>853</v>
      </c>
      <c r="D19" s="14" t="s">
        <v>46</v>
      </c>
      <c r="E19" s="14">
        <v>1</v>
      </c>
      <c r="F19" s="14">
        <v>0</v>
      </c>
      <c r="G19" s="14">
        <v>0</v>
      </c>
      <c r="H19" s="14">
        <v>1</v>
      </c>
      <c r="I19" s="14">
        <v>0</v>
      </c>
      <c r="J19" s="17">
        <v>15</v>
      </c>
      <c r="K19" s="14">
        <v>1</v>
      </c>
      <c r="L19" s="17">
        <v>165</v>
      </c>
      <c r="M19" s="14" t="s">
        <v>86</v>
      </c>
    </row>
    <row r="20" spans="1:13" x14ac:dyDescent="0.25">
      <c r="A20" s="14" t="s">
        <v>49</v>
      </c>
      <c r="B20" s="14" t="s">
        <v>854</v>
      </c>
      <c r="C20" s="14" t="s">
        <v>855</v>
      </c>
      <c r="D20" s="14" t="s">
        <v>70</v>
      </c>
      <c r="E20" s="14">
        <v>0</v>
      </c>
      <c r="F20" s="14">
        <v>1</v>
      </c>
      <c r="G20" s="14">
        <v>0</v>
      </c>
      <c r="H20" s="14">
        <v>0</v>
      </c>
      <c r="I20" s="14">
        <v>0</v>
      </c>
      <c r="J20" s="17">
        <v>16</v>
      </c>
      <c r="K20" s="14">
        <v>1</v>
      </c>
      <c r="L20" s="17">
        <v>0</v>
      </c>
      <c r="M20" s="14" t="s">
        <v>86</v>
      </c>
    </row>
    <row r="21" spans="1:13" x14ac:dyDescent="0.25">
      <c r="A21" s="14" t="s">
        <v>43</v>
      </c>
      <c r="B21" s="14" t="s">
        <v>856</v>
      </c>
      <c r="C21" s="14" t="s">
        <v>857</v>
      </c>
      <c r="D21" s="14" t="s">
        <v>67</v>
      </c>
      <c r="E21" s="14">
        <v>0</v>
      </c>
      <c r="F21" s="14">
        <v>0</v>
      </c>
      <c r="G21" s="14">
        <v>0</v>
      </c>
      <c r="H21" s="14">
        <v>0</v>
      </c>
      <c r="I21" s="14">
        <v>0</v>
      </c>
      <c r="J21" s="17">
        <v>18</v>
      </c>
      <c r="K21" s="14">
        <v>1</v>
      </c>
      <c r="L21" s="17">
        <v>79.53</v>
      </c>
      <c r="M21" s="14" t="s">
        <v>212</v>
      </c>
    </row>
    <row r="22" spans="1:13" x14ac:dyDescent="0.25">
      <c r="A22" s="14" t="s">
        <v>61</v>
      </c>
      <c r="B22" s="14" t="s">
        <v>858</v>
      </c>
      <c r="C22" s="14" t="s">
        <v>859</v>
      </c>
      <c r="D22" s="14" t="s">
        <v>44</v>
      </c>
      <c r="E22" s="14">
        <v>1</v>
      </c>
      <c r="F22" s="14">
        <v>0</v>
      </c>
      <c r="G22" s="14">
        <v>0</v>
      </c>
      <c r="H22" s="14">
        <v>0</v>
      </c>
      <c r="I22" s="14">
        <v>0</v>
      </c>
      <c r="J22" s="17">
        <v>0</v>
      </c>
      <c r="K22" s="14">
        <v>1</v>
      </c>
      <c r="L22" s="17">
        <v>32.82</v>
      </c>
      <c r="M22" s="14" t="s">
        <v>86</v>
      </c>
    </row>
    <row r="23" spans="1:13" x14ac:dyDescent="0.25">
      <c r="A23" s="14" t="s">
        <v>49</v>
      </c>
      <c r="B23" s="14" t="s">
        <v>860</v>
      </c>
      <c r="C23" s="14" t="s">
        <v>861</v>
      </c>
      <c r="D23" s="14" t="s">
        <v>48</v>
      </c>
      <c r="E23" s="14">
        <v>0</v>
      </c>
      <c r="F23" s="14">
        <v>0</v>
      </c>
      <c r="G23" s="14">
        <v>0</v>
      </c>
      <c r="H23" s="14">
        <v>0</v>
      </c>
      <c r="I23" s="14">
        <v>0</v>
      </c>
      <c r="J23" s="17">
        <v>0</v>
      </c>
      <c r="K23" s="14">
        <v>1</v>
      </c>
      <c r="L23" s="17">
        <v>145.78</v>
      </c>
      <c r="M23" s="14" t="s">
        <v>86</v>
      </c>
    </row>
    <row r="24" spans="1:13" x14ac:dyDescent="0.25">
      <c r="A24" s="14" t="s">
        <v>41</v>
      </c>
      <c r="B24" s="14" t="s">
        <v>862</v>
      </c>
      <c r="C24" s="14" t="s">
        <v>863</v>
      </c>
      <c r="D24" s="14" t="s">
        <v>40</v>
      </c>
      <c r="E24" s="14">
        <v>0</v>
      </c>
      <c r="F24" s="14">
        <v>1</v>
      </c>
      <c r="G24" s="14">
        <v>1</v>
      </c>
      <c r="H24" s="14">
        <v>0</v>
      </c>
      <c r="I24" s="14">
        <v>0</v>
      </c>
      <c r="J24" s="17">
        <v>0</v>
      </c>
      <c r="K24" s="14">
        <v>1</v>
      </c>
      <c r="L24" s="17">
        <v>3.62</v>
      </c>
      <c r="M24" s="14" t="s">
        <v>86</v>
      </c>
    </row>
    <row r="25" spans="1:13" x14ac:dyDescent="0.25">
      <c r="A25" s="14" t="s">
        <v>49</v>
      </c>
      <c r="B25" s="14" t="s">
        <v>864</v>
      </c>
      <c r="C25" s="14" t="s">
        <v>865</v>
      </c>
      <c r="D25" s="14" t="s">
        <v>40</v>
      </c>
      <c r="E25" s="14">
        <v>0</v>
      </c>
      <c r="F25" s="14">
        <v>1</v>
      </c>
      <c r="G25" s="14">
        <v>0</v>
      </c>
      <c r="H25" s="14">
        <v>0</v>
      </c>
      <c r="I25" s="14">
        <v>0</v>
      </c>
      <c r="J25" s="17">
        <v>0</v>
      </c>
      <c r="K25" s="14">
        <v>1</v>
      </c>
      <c r="L25" s="17">
        <v>0</v>
      </c>
      <c r="M25" s="14" t="s">
        <v>86</v>
      </c>
    </row>
    <row r="26" spans="1:13" x14ac:dyDescent="0.25">
      <c r="A26" s="14" t="s">
        <v>45</v>
      </c>
      <c r="B26" s="14" t="s">
        <v>866</v>
      </c>
      <c r="C26" s="14" t="s">
        <v>867</v>
      </c>
      <c r="D26" s="14" t="s">
        <v>42</v>
      </c>
      <c r="E26" s="14">
        <v>1</v>
      </c>
      <c r="F26" s="14">
        <v>0</v>
      </c>
      <c r="G26" s="14">
        <v>0</v>
      </c>
      <c r="H26" s="14">
        <v>0</v>
      </c>
      <c r="I26" s="14">
        <v>0</v>
      </c>
      <c r="J26" s="17">
        <v>18</v>
      </c>
      <c r="K26" s="14">
        <v>1</v>
      </c>
      <c r="L26" s="17">
        <v>0</v>
      </c>
      <c r="M26" s="14" t="s">
        <v>86</v>
      </c>
    </row>
    <row r="27" spans="1:13" x14ac:dyDescent="0.25">
      <c r="A27" s="14" t="s">
        <v>53</v>
      </c>
      <c r="B27" s="14" t="s">
        <v>868</v>
      </c>
      <c r="C27" s="14" t="s">
        <v>869</v>
      </c>
      <c r="D27" s="14" t="s">
        <v>52</v>
      </c>
      <c r="E27" s="14">
        <v>1</v>
      </c>
      <c r="F27" s="14">
        <v>0</v>
      </c>
      <c r="G27" s="14">
        <v>0</v>
      </c>
      <c r="H27" s="14">
        <v>0</v>
      </c>
      <c r="I27" s="14">
        <v>0</v>
      </c>
      <c r="J27" s="17">
        <v>18</v>
      </c>
      <c r="K27" s="14">
        <v>1</v>
      </c>
      <c r="L27" s="17">
        <v>0</v>
      </c>
      <c r="M27" s="14" t="s">
        <v>86</v>
      </c>
    </row>
    <row r="28" spans="1:13" x14ac:dyDescent="0.25">
      <c r="A28" s="14"/>
      <c r="B28" s="14"/>
      <c r="C28" s="14"/>
      <c r="D28" s="14"/>
      <c r="E28" s="14"/>
      <c r="F28" s="14"/>
      <c r="G28" s="14"/>
      <c r="H28" s="14"/>
      <c r="I28" s="14"/>
      <c r="J28" s="17"/>
      <c r="K28" s="14"/>
      <c r="L28" s="17"/>
      <c r="M28" s="14"/>
    </row>
    <row r="29" spans="1:13" x14ac:dyDescent="0.25">
      <c r="A29" s="14"/>
      <c r="B29" s="14"/>
      <c r="C29" s="14"/>
      <c r="D29" s="14"/>
      <c r="E29" s="14"/>
      <c r="F29" s="14"/>
      <c r="G29" s="14"/>
      <c r="H29" s="14"/>
      <c r="I29" s="14"/>
      <c r="J29" s="17"/>
      <c r="K29" s="14"/>
      <c r="L29" s="17"/>
      <c r="M29" s="14"/>
    </row>
    <row r="30" spans="1:13" x14ac:dyDescent="0.25">
      <c r="A30" s="14"/>
      <c r="B30" s="14"/>
      <c r="C30" s="14"/>
      <c r="D30" s="14"/>
      <c r="E30" s="14"/>
      <c r="F30" s="14"/>
      <c r="G30" s="14"/>
      <c r="H30" s="14"/>
      <c r="I30" s="14"/>
      <c r="J30" s="17"/>
      <c r="K30" s="14"/>
      <c r="L30" s="17"/>
      <c r="M30" s="14"/>
    </row>
    <row r="31" spans="1:13" x14ac:dyDescent="0.25">
      <c r="A31" s="14"/>
      <c r="B31" s="14"/>
      <c r="C31" s="14"/>
      <c r="D31" s="14"/>
      <c r="E31" s="14"/>
      <c r="F31" s="14"/>
      <c r="G31" s="14"/>
      <c r="H31" s="14"/>
      <c r="I31" s="14"/>
      <c r="J31" s="17"/>
      <c r="K31" s="14"/>
      <c r="L31" s="17"/>
      <c r="M31" s="14"/>
    </row>
    <row r="32" spans="1:13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7"/>
      <c r="K32" s="14"/>
      <c r="L32" s="17"/>
      <c r="M32" s="14"/>
    </row>
    <row r="33" spans="1:13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7"/>
      <c r="K33" s="14"/>
      <c r="L33" s="17"/>
      <c r="M33" s="14"/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7"/>
      <c r="K34" s="14"/>
      <c r="L34" s="17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7"/>
      <c r="K35" s="14"/>
      <c r="L35" s="17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7"/>
      <c r="K36" s="14"/>
      <c r="L36" s="17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7"/>
      <c r="K37" s="14"/>
      <c r="L37" s="17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7"/>
      <c r="K38" s="14"/>
      <c r="L38" s="17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7"/>
      <c r="K39" s="14"/>
      <c r="L39" s="17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7"/>
      <c r="K40" s="14"/>
      <c r="L40" s="17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7"/>
      <c r="K41" s="14"/>
      <c r="L41" s="17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7"/>
      <c r="K42" s="14"/>
      <c r="L42" s="17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7"/>
      <c r="K43" s="14"/>
      <c r="L43" s="17"/>
      <c r="M43" s="14"/>
    </row>
  </sheetData>
  <mergeCells count="2">
    <mergeCell ref="A2:M2"/>
    <mergeCell ref="A1:M1"/>
  </mergeCells>
  <dataValidations count="1">
    <dataValidation type="list" allowBlank="1" sqref="M4:M43" xr:uid="{00000000-0002-0000-12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200-000000000000}">
          <x14:formula1>
            <xm:f>Setup!$A$5:$A$16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200-000001000000}">
          <x14:formula1>
            <xm:f>Setup!$C$5:$C$30</xm:f>
          </x14:formula1>
          <xm:sqref>D4:D43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4" t="s">
        <v>870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</row>
    <row r="2" spans="1:24" ht="21.95" customHeight="1" x14ac:dyDescent="0.25">
      <c r="A2" s="43" t="s">
        <v>19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</row>
    <row r="3" spans="1:24" x14ac:dyDescent="0.25">
      <c r="A3" s="12" t="s">
        <v>79</v>
      </c>
      <c r="B3" s="12" t="s">
        <v>80</v>
      </c>
      <c r="C3" s="12" t="s">
        <v>81</v>
      </c>
      <c r="D3" s="12" t="s">
        <v>82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83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59</v>
      </c>
      <c r="B4" s="14" t="s">
        <v>871</v>
      </c>
      <c r="C4" s="14" t="s">
        <v>872</v>
      </c>
      <c r="D4" s="14" t="s">
        <v>62</v>
      </c>
      <c r="E4" s="14">
        <v>0</v>
      </c>
      <c r="F4" s="14">
        <v>1</v>
      </c>
      <c r="G4" s="14">
        <v>0</v>
      </c>
      <c r="H4" s="14">
        <v>0</v>
      </c>
      <c r="I4" s="14">
        <v>0</v>
      </c>
      <c r="J4" s="17">
        <v>15</v>
      </c>
      <c r="K4" s="14">
        <v>1</v>
      </c>
      <c r="L4" s="17">
        <v>58.73</v>
      </c>
      <c r="M4" s="14" t="s">
        <v>86</v>
      </c>
      <c r="P4" s="14" t="str">
        <f>Setup!$A$5</f>
        <v>Expert 01</v>
      </c>
      <c r="Q4" s="14">
        <f t="shared" ref="Q4:Q15" si="0">SUMIF($A$4:$A$43,$P4,E$4:E$43)</f>
        <v>0</v>
      </c>
      <c r="R4" s="14">
        <f t="shared" ref="R4:R15" si="1">SUMIF($A$4:$A$43,$P4,F$4:F$43)</f>
        <v>0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1</v>
      </c>
      <c r="V4" s="17">
        <f t="shared" ref="V4:V15" si="5">SUMIF($A$4:$A$43,$P4,J$4:J$43)</f>
        <v>0</v>
      </c>
      <c r="W4" s="14">
        <f t="shared" ref="W4:W15" si="6">SUMIF($A$4:$A$43,$P4,K$4:K$43)</f>
        <v>0</v>
      </c>
      <c r="X4" s="17">
        <f t="shared" ref="X4:X15" si="7">SUMIF($A$4:$A$43,$P4,L$4:L$43)</f>
        <v>150.13999999999999</v>
      </c>
    </row>
    <row r="5" spans="1:24" x14ac:dyDescent="0.25">
      <c r="A5" s="14" t="s">
        <v>43</v>
      </c>
      <c r="B5" s="14" t="s">
        <v>873</v>
      </c>
      <c r="C5" s="14" t="s">
        <v>874</v>
      </c>
      <c r="D5" s="14" t="s">
        <v>75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7">
        <v>15</v>
      </c>
      <c r="K5" s="14">
        <v>0</v>
      </c>
      <c r="L5" s="17">
        <v>0</v>
      </c>
      <c r="M5" s="14" t="s">
        <v>86</v>
      </c>
      <c r="P5" s="14" t="str">
        <f>Setup!$A$6</f>
        <v>Expert 02</v>
      </c>
      <c r="Q5" s="14">
        <f t="shared" si="0"/>
        <v>0</v>
      </c>
      <c r="R5" s="14">
        <f t="shared" si="1"/>
        <v>0</v>
      </c>
      <c r="S5" s="14">
        <f t="shared" si="2"/>
        <v>0</v>
      </c>
      <c r="T5" s="14">
        <f t="shared" si="3"/>
        <v>0</v>
      </c>
      <c r="U5" s="14">
        <f t="shared" si="4"/>
        <v>0</v>
      </c>
      <c r="V5" s="17">
        <f t="shared" si="5"/>
        <v>0</v>
      </c>
      <c r="W5" s="14">
        <f t="shared" si="6"/>
        <v>1</v>
      </c>
      <c r="X5" s="17">
        <f t="shared" si="7"/>
        <v>0</v>
      </c>
    </row>
    <row r="6" spans="1:24" x14ac:dyDescent="0.25">
      <c r="A6" s="14" t="s">
        <v>45</v>
      </c>
      <c r="B6" s="14" t="s">
        <v>875</v>
      </c>
      <c r="C6" s="14" t="s">
        <v>876</v>
      </c>
      <c r="D6" s="14" t="s">
        <v>46</v>
      </c>
      <c r="E6" s="14">
        <v>0</v>
      </c>
      <c r="F6" s="14">
        <v>1</v>
      </c>
      <c r="G6" s="14">
        <v>0</v>
      </c>
      <c r="H6" s="14">
        <v>0</v>
      </c>
      <c r="I6" s="14">
        <v>0</v>
      </c>
      <c r="J6" s="17">
        <v>0</v>
      </c>
      <c r="K6" s="14">
        <v>1</v>
      </c>
      <c r="L6" s="17">
        <v>7.42</v>
      </c>
      <c r="M6" s="14" t="s">
        <v>86</v>
      </c>
      <c r="P6" s="14" t="str">
        <f>Setup!$A$7</f>
        <v>Expert 03</v>
      </c>
      <c r="Q6" s="14">
        <f t="shared" si="0"/>
        <v>1</v>
      </c>
      <c r="R6" s="14">
        <f t="shared" si="1"/>
        <v>0</v>
      </c>
      <c r="S6" s="14">
        <f t="shared" si="2"/>
        <v>0</v>
      </c>
      <c r="T6" s="14">
        <f t="shared" si="3"/>
        <v>0</v>
      </c>
      <c r="U6" s="14">
        <f t="shared" si="4"/>
        <v>1</v>
      </c>
      <c r="V6" s="17">
        <f t="shared" si="5"/>
        <v>55</v>
      </c>
      <c r="W6" s="14">
        <f t="shared" si="6"/>
        <v>1</v>
      </c>
      <c r="X6" s="17">
        <f t="shared" si="7"/>
        <v>156.80000000000001</v>
      </c>
    </row>
    <row r="7" spans="1:24" x14ac:dyDescent="0.25">
      <c r="A7" s="14" t="s">
        <v>47</v>
      </c>
      <c r="B7" s="14" t="s">
        <v>877</v>
      </c>
      <c r="C7" s="14" t="s">
        <v>878</v>
      </c>
      <c r="D7" s="14" t="s">
        <v>50</v>
      </c>
      <c r="E7" s="14">
        <v>0</v>
      </c>
      <c r="F7" s="14">
        <v>0</v>
      </c>
      <c r="G7" s="14">
        <v>0</v>
      </c>
      <c r="H7" s="14">
        <v>0</v>
      </c>
      <c r="I7" s="14">
        <v>0</v>
      </c>
      <c r="J7" s="17">
        <v>0</v>
      </c>
      <c r="K7" s="14">
        <v>1</v>
      </c>
      <c r="L7" s="17">
        <v>46.34</v>
      </c>
      <c r="M7" s="14" t="s">
        <v>86</v>
      </c>
      <c r="P7" s="14" t="str">
        <f>Setup!$A$8</f>
        <v>Expert 04</v>
      </c>
      <c r="Q7" s="14">
        <f t="shared" si="0"/>
        <v>2</v>
      </c>
      <c r="R7" s="14">
        <f t="shared" si="1"/>
        <v>1</v>
      </c>
      <c r="S7" s="14">
        <f t="shared" si="2"/>
        <v>0</v>
      </c>
      <c r="T7" s="14">
        <f t="shared" si="3"/>
        <v>0</v>
      </c>
      <c r="U7" s="14">
        <f t="shared" si="4"/>
        <v>0</v>
      </c>
      <c r="V7" s="17">
        <f t="shared" si="5"/>
        <v>66</v>
      </c>
      <c r="W7" s="14">
        <f t="shared" si="6"/>
        <v>3</v>
      </c>
      <c r="X7" s="17">
        <f t="shared" si="7"/>
        <v>154.69</v>
      </c>
    </row>
    <row r="8" spans="1:24" x14ac:dyDescent="0.25">
      <c r="A8" s="14" t="s">
        <v>49</v>
      </c>
      <c r="B8" s="14" t="s">
        <v>879</v>
      </c>
      <c r="C8" s="14" t="s">
        <v>880</v>
      </c>
      <c r="D8" s="14" t="s">
        <v>40</v>
      </c>
      <c r="E8" s="14">
        <v>0</v>
      </c>
      <c r="F8" s="14">
        <v>1</v>
      </c>
      <c r="G8" s="14">
        <v>0</v>
      </c>
      <c r="H8" s="14">
        <v>0</v>
      </c>
      <c r="I8" s="14">
        <v>0</v>
      </c>
      <c r="J8" s="17">
        <v>0</v>
      </c>
      <c r="K8" s="14">
        <v>1</v>
      </c>
      <c r="L8" s="17">
        <v>0</v>
      </c>
      <c r="M8" s="14" t="s">
        <v>86</v>
      </c>
      <c r="P8" s="14" t="str">
        <f>Setup!$A$9</f>
        <v>Expert 05</v>
      </c>
      <c r="Q8" s="14">
        <f t="shared" si="0"/>
        <v>3</v>
      </c>
      <c r="R8" s="14">
        <f t="shared" si="1"/>
        <v>0</v>
      </c>
      <c r="S8" s="14">
        <f t="shared" si="2"/>
        <v>0</v>
      </c>
      <c r="T8" s="14">
        <f t="shared" si="3"/>
        <v>0</v>
      </c>
      <c r="U8" s="14">
        <f t="shared" si="4"/>
        <v>0</v>
      </c>
      <c r="V8" s="17">
        <f t="shared" si="5"/>
        <v>49</v>
      </c>
      <c r="W8" s="14">
        <f t="shared" si="6"/>
        <v>5</v>
      </c>
      <c r="X8" s="17">
        <f t="shared" si="7"/>
        <v>357.15999999999997</v>
      </c>
    </row>
    <row r="9" spans="1:24" x14ac:dyDescent="0.25">
      <c r="A9" s="14" t="s">
        <v>57</v>
      </c>
      <c r="B9" s="14" t="s">
        <v>881</v>
      </c>
      <c r="C9" s="14" t="s">
        <v>882</v>
      </c>
      <c r="D9" s="14" t="s">
        <v>56</v>
      </c>
      <c r="E9" s="14">
        <v>1</v>
      </c>
      <c r="F9" s="14">
        <v>0</v>
      </c>
      <c r="G9" s="14">
        <v>0</v>
      </c>
      <c r="H9" s="14">
        <v>0</v>
      </c>
      <c r="I9" s="14">
        <v>0</v>
      </c>
      <c r="J9" s="17">
        <v>0</v>
      </c>
      <c r="K9" s="14">
        <v>1</v>
      </c>
      <c r="L9" s="17">
        <v>0</v>
      </c>
      <c r="M9" s="14" t="s">
        <v>86</v>
      </c>
      <c r="P9" s="14" t="str">
        <f>Setup!$A$10</f>
        <v>Expert 06</v>
      </c>
      <c r="Q9" s="14">
        <f t="shared" si="0"/>
        <v>2</v>
      </c>
      <c r="R9" s="14">
        <f t="shared" si="1"/>
        <v>1</v>
      </c>
      <c r="S9" s="14">
        <f t="shared" si="2"/>
        <v>0</v>
      </c>
      <c r="T9" s="14">
        <f t="shared" si="3"/>
        <v>0</v>
      </c>
      <c r="U9" s="14">
        <f t="shared" si="4"/>
        <v>1</v>
      </c>
      <c r="V9" s="17">
        <f t="shared" si="5"/>
        <v>16</v>
      </c>
      <c r="W9" s="14">
        <f t="shared" si="6"/>
        <v>4</v>
      </c>
      <c r="X9" s="17">
        <f t="shared" si="7"/>
        <v>213.85999999999999</v>
      </c>
    </row>
    <row r="10" spans="1:24" x14ac:dyDescent="0.25">
      <c r="A10" s="14" t="s">
        <v>43</v>
      </c>
      <c r="B10" s="14" t="s">
        <v>883</v>
      </c>
      <c r="C10" s="14" t="s">
        <v>884</v>
      </c>
      <c r="D10" s="14" t="s">
        <v>52</v>
      </c>
      <c r="E10" s="14">
        <v>1</v>
      </c>
      <c r="F10" s="14">
        <v>0</v>
      </c>
      <c r="G10" s="14">
        <v>0</v>
      </c>
      <c r="H10" s="14">
        <v>0</v>
      </c>
      <c r="I10" s="14">
        <v>0</v>
      </c>
      <c r="J10" s="17">
        <v>24</v>
      </c>
      <c r="K10" s="14">
        <v>1</v>
      </c>
      <c r="L10" s="17">
        <v>0</v>
      </c>
      <c r="M10" s="14" t="s">
        <v>212</v>
      </c>
      <c r="P10" s="14" t="str">
        <f>Setup!$A$11</f>
        <v>Expert 07</v>
      </c>
      <c r="Q10" s="14">
        <f t="shared" si="0"/>
        <v>0</v>
      </c>
      <c r="R10" s="14">
        <f t="shared" si="1"/>
        <v>0</v>
      </c>
      <c r="S10" s="14">
        <f t="shared" si="2"/>
        <v>0</v>
      </c>
      <c r="T10" s="14">
        <f t="shared" si="3"/>
        <v>0</v>
      </c>
      <c r="U10" s="14">
        <f t="shared" si="4"/>
        <v>0</v>
      </c>
      <c r="V10" s="17">
        <f t="shared" si="5"/>
        <v>0</v>
      </c>
      <c r="W10" s="14">
        <f t="shared" si="6"/>
        <v>0</v>
      </c>
      <c r="X10" s="17">
        <f t="shared" si="7"/>
        <v>0</v>
      </c>
    </row>
    <row r="11" spans="1:24" x14ac:dyDescent="0.25">
      <c r="A11" s="14" t="s">
        <v>53</v>
      </c>
      <c r="B11" s="14" t="s">
        <v>885</v>
      </c>
      <c r="C11" s="14" t="s">
        <v>886</v>
      </c>
      <c r="D11" s="14" t="s">
        <v>50</v>
      </c>
      <c r="E11" s="14">
        <v>1</v>
      </c>
      <c r="F11" s="14">
        <v>0</v>
      </c>
      <c r="G11" s="14">
        <v>0</v>
      </c>
      <c r="H11" s="14">
        <v>0</v>
      </c>
      <c r="I11" s="14">
        <v>0</v>
      </c>
      <c r="J11" s="17">
        <v>0</v>
      </c>
      <c r="K11" s="14">
        <v>1</v>
      </c>
      <c r="L11" s="17">
        <v>40.35</v>
      </c>
      <c r="M11" s="14" t="s">
        <v>86</v>
      </c>
      <c r="P11" s="14" t="str">
        <f>Setup!$A$12</f>
        <v>Expert 08</v>
      </c>
      <c r="Q11" s="14">
        <f t="shared" si="0"/>
        <v>2</v>
      </c>
      <c r="R11" s="14">
        <f t="shared" si="1"/>
        <v>0</v>
      </c>
      <c r="S11" s="14">
        <f t="shared" si="2"/>
        <v>0</v>
      </c>
      <c r="T11" s="14">
        <f t="shared" si="3"/>
        <v>0</v>
      </c>
      <c r="U11" s="14">
        <f t="shared" si="4"/>
        <v>0</v>
      </c>
      <c r="V11" s="17">
        <f t="shared" si="5"/>
        <v>24</v>
      </c>
      <c r="W11" s="14">
        <f t="shared" si="6"/>
        <v>3</v>
      </c>
      <c r="X11" s="17">
        <f t="shared" si="7"/>
        <v>329.02</v>
      </c>
    </row>
    <row r="12" spans="1:24" x14ac:dyDescent="0.25">
      <c r="A12" s="14" t="s">
        <v>49</v>
      </c>
      <c r="B12" s="14" t="s">
        <v>887</v>
      </c>
      <c r="C12" s="14" t="s">
        <v>888</v>
      </c>
      <c r="D12" s="14" t="s">
        <v>73</v>
      </c>
      <c r="E12" s="14">
        <v>0</v>
      </c>
      <c r="F12" s="14">
        <v>0</v>
      </c>
      <c r="G12" s="14">
        <v>0</v>
      </c>
      <c r="H12" s="14">
        <v>0</v>
      </c>
      <c r="I12" s="14">
        <v>1</v>
      </c>
      <c r="J12" s="17">
        <v>0</v>
      </c>
      <c r="K12" s="14">
        <v>0</v>
      </c>
      <c r="L12" s="17">
        <v>39.06</v>
      </c>
      <c r="M12" s="14" t="s">
        <v>86</v>
      </c>
      <c r="P12" s="14" t="str">
        <f>Setup!$A$13</f>
        <v>Expert 09</v>
      </c>
      <c r="Q12" s="14">
        <f t="shared" si="0"/>
        <v>0</v>
      </c>
      <c r="R12" s="14">
        <f t="shared" si="1"/>
        <v>0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7">
        <f t="shared" si="5"/>
        <v>0</v>
      </c>
      <c r="W12" s="14">
        <f t="shared" si="6"/>
        <v>0</v>
      </c>
      <c r="X12" s="17">
        <f t="shared" si="7"/>
        <v>0</v>
      </c>
    </row>
    <row r="13" spans="1:24" x14ac:dyDescent="0.25">
      <c r="A13" s="14" t="s">
        <v>49</v>
      </c>
      <c r="B13" s="14" t="s">
        <v>889</v>
      </c>
      <c r="C13" s="14" t="s">
        <v>890</v>
      </c>
      <c r="D13" s="14" t="s">
        <v>71</v>
      </c>
      <c r="E13" s="14">
        <v>1</v>
      </c>
      <c r="F13" s="14">
        <v>0</v>
      </c>
      <c r="G13" s="14">
        <v>0</v>
      </c>
      <c r="H13" s="14">
        <v>0</v>
      </c>
      <c r="I13" s="14">
        <v>0</v>
      </c>
      <c r="J13" s="17">
        <v>16</v>
      </c>
      <c r="K13" s="14">
        <v>1</v>
      </c>
      <c r="L13" s="17">
        <v>91.95</v>
      </c>
      <c r="M13" s="14" t="s">
        <v>86</v>
      </c>
      <c r="P13" s="14" t="str">
        <f>Setup!$A$14</f>
        <v>Expert 10</v>
      </c>
      <c r="Q13" s="14">
        <f t="shared" si="0"/>
        <v>2</v>
      </c>
      <c r="R13" s="14">
        <f t="shared" si="1"/>
        <v>0</v>
      </c>
      <c r="S13" s="14">
        <f t="shared" si="2"/>
        <v>0</v>
      </c>
      <c r="T13" s="14">
        <f t="shared" si="3"/>
        <v>0</v>
      </c>
      <c r="U13" s="14">
        <f t="shared" si="4"/>
        <v>0</v>
      </c>
      <c r="V13" s="17">
        <f t="shared" si="5"/>
        <v>15</v>
      </c>
      <c r="W13" s="14">
        <f t="shared" si="6"/>
        <v>2</v>
      </c>
      <c r="X13" s="17">
        <f t="shared" si="7"/>
        <v>91.3</v>
      </c>
    </row>
    <row r="14" spans="1:24" x14ac:dyDescent="0.25">
      <c r="A14" s="14" t="s">
        <v>49</v>
      </c>
      <c r="B14" s="14" t="s">
        <v>891</v>
      </c>
      <c r="C14" s="14" t="s">
        <v>892</v>
      </c>
      <c r="D14" s="14" t="s">
        <v>44</v>
      </c>
      <c r="E14" s="14">
        <v>1</v>
      </c>
      <c r="F14" s="14">
        <v>0</v>
      </c>
      <c r="G14" s="14">
        <v>0</v>
      </c>
      <c r="H14" s="14">
        <v>0</v>
      </c>
      <c r="I14" s="14">
        <v>0</v>
      </c>
      <c r="J14" s="17">
        <v>0</v>
      </c>
      <c r="K14" s="14">
        <v>1</v>
      </c>
      <c r="L14" s="17">
        <v>82.85</v>
      </c>
      <c r="M14" s="14" t="s">
        <v>86</v>
      </c>
      <c r="P14" s="14" t="str">
        <f>Setup!$A$15</f>
        <v>Expert 11</v>
      </c>
      <c r="Q14" s="14">
        <f t="shared" si="0"/>
        <v>0</v>
      </c>
      <c r="R14" s="14">
        <f t="shared" si="1"/>
        <v>1</v>
      </c>
      <c r="S14" s="14">
        <f t="shared" si="2"/>
        <v>0</v>
      </c>
      <c r="T14" s="14">
        <f t="shared" si="3"/>
        <v>0</v>
      </c>
      <c r="U14" s="14">
        <f t="shared" si="4"/>
        <v>0</v>
      </c>
      <c r="V14" s="17">
        <f t="shared" si="5"/>
        <v>15</v>
      </c>
      <c r="W14" s="14">
        <f t="shared" si="6"/>
        <v>1</v>
      </c>
      <c r="X14" s="17">
        <f t="shared" si="7"/>
        <v>58.73</v>
      </c>
    </row>
    <row r="15" spans="1:24" x14ac:dyDescent="0.25">
      <c r="A15" s="14" t="s">
        <v>61</v>
      </c>
      <c r="B15" s="14" t="s">
        <v>893</v>
      </c>
      <c r="C15" s="14" t="s">
        <v>894</v>
      </c>
      <c r="D15" s="14" t="s">
        <v>75</v>
      </c>
      <c r="E15" s="14">
        <v>0</v>
      </c>
      <c r="F15" s="14">
        <v>0</v>
      </c>
      <c r="G15" s="14">
        <v>0</v>
      </c>
      <c r="H15" s="14">
        <v>0</v>
      </c>
      <c r="I15" s="14">
        <v>0</v>
      </c>
      <c r="J15" s="17">
        <v>15</v>
      </c>
      <c r="K15" s="14">
        <v>0</v>
      </c>
      <c r="L15" s="17">
        <v>0</v>
      </c>
      <c r="M15" s="14" t="s">
        <v>86</v>
      </c>
      <c r="P15" s="14" t="str">
        <f>Setup!$A$16</f>
        <v>Expert 12</v>
      </c>
      <c r="Q15" s="14">
        <f t="shared" si="0"/>
        <v>1</v>
      </c>
      <c r="R15" s="14">
        <f t="shared" si="1"/>
        <v>0</v>
      </c>
      <c r="S15" s="14">
        <f t="shared" si="2"/>
        <v>0</v>
      </c>
      <c r="T15" s="14">
        <f t="shared" si="3"/>
        <v>0</v>
      </c>
      <c r="U15" s="14">
        <f t="shared" si="4"/>
        <v>0</v>
      </c>
      <c r="V15" s="17">
        <f t="shared" si="5"/>
        <v>39</v>
      </c>
      <c r="W15" s="14">
        <f t="shared" si="6"/>
        <v>1</v>
      </c>
      <c r="X15" s="17">
        <f t="shared" si="7"/>
        <v>74.31</v>
      </c>
    </row>
    <row r="16" spans="1:24" x14ac:dyDescent="0.25">
      <c r="A16" s="14" t="s">
        <v>39</v>
      </c>
      <c r="B16" s="14" t="s">
        <v>895</v>
      </c>
      <c r="C16" s="14" t="s">
        <v>896</v>
      </c>
      <c r="D16" s="14" t="s">
        <v>72</v>
      </c>
      <c r="E16" s="14">
        <v>0</v>
      </c>
      <c r="F16" s="14">
        <v>0</v>
      </c>
      <c r="G16" s="14">
        <v>0</v>
      </c>
      <c r="H16" s="14">
        <v>0</v>
      </c>
      <c r="I16" s="14">
        <v>1</v>
      </c>
      <c r="J16" s="17">
        <v>0</v>
      </c>
      <c r="K16" s="14">
        <v>0</v>
      </c>
      <c r="L16" s="17">
        <v>150.13999999999999</v>
      </c>
      <c r="M16" s="14" t="s">
        <v>86</v>
      </c>
      <c r="P16" s="18" t="s">
        <v>111</v>
      </c>
      <c r="Q16" s="19">
        <f t="shared" ref="Q16:X16" si="8">SUM(Q4:Q15)</f>
        <v>13</v>
      </c>
      <c r="R16" s="19">
        <f t="shared" si="8"/>
        <v>3</v>
      </c>
      <c r="S16" s="19">
        <f t="shared" si="8"/>
        <v>0</v>
      </c>
      <c r="T16" s="19">
        <f t="shared" si="8"/>
        <v>0</v>
      </c>
      <c r="U16" s="19">
        <f t="shared" si="8"/>
        <v>3</v>
      </c>
      <c r="V16" s="20">
        <f t="shared" si="8"/>
        <v>279</v>
      </c>
      <c r="W16" s="19">
        <f t="shared" si="8"/>
        <v>21</v>
      </c>
      <c r="X16" s="20">
        <f t="shared" si="8"/>
        <v>1586.0099999999998</v>
      </c>
    </row>
    <row r="17" spans="1:13" x14ac:dyDescent="0.25">
      <c r="A17" s="14" t="s">
        <v>49</v>
      </c>
      <c r="B17" s="14" t="s">
        <v>897</v>
      </c>
      <c r="C17" s="14" t="s">
        <v>898</v>
      </c>
      <c r="D17" s="14" t="s">
        <v>70</v>
      </c>
      <c r="E17" s="14">
        <v>0</v>
      </c>
      <c r="F17" s="14">
        <v>0</v>
      </c>
      <c r="G17" s="14">
        <v>0</v>
      </c>
      <c r="H17" s="14">
        <v>0</v>
      </c>
      <c r="I17" s="14">
        <v>0</v>
      </c>
      <c r="J17" s="17">
        <v>0</v>
      </c>
      <c r="K17" s="14">
        <v>1</v>
      </c>
      <c r="L17" s="17">
        <v>0</v>
      </c>
      <c r="M17" s="14" t="s">
        <v>86</v>
      </c>
    </row>
    <row r="18" spans="1:13" x14ac:dyDescent="0.25">
      <c r="A18" s="14" t="s">
        <v>47</v>
      </c>
      <c r="B18" s="14" t="s">
        <v>899</v>
      </c>
      <c r="C18" s="14" t="s">
        <v>900</v>
      </c>
      <c r="D18" s="14" t="s">
        <v>56</v>
      </c>
      <c r="E18" s="14">
        <v>1</v>
      </c>
      <c r="F18" s="14">
        <v>0</v>
      </c>
      <c r="G18" s="14">
        <v>0</v>
      </c>
      <c r="H18" s="14">
        <v>0</v>
      </c>
      <c r="I18" s="14">
        <v>0</v>
      </c>
      <c r="J18" s="17">
        <v>0</v>
      </c>
      <c r="K18" s="14">
        <v>1</v>
      </c>
      <c r="L18" s="17">
        <v>37.33</v>
      </c>
      <c r="M18" s="14" t="s">
        <v>86</v>
      </c>
    </row>
    <row r="19" spans="1:13" x14ac:dyDescent="0.25">
      <c r="A19" s="14" t="s">
        <v>57</v>
      </c>
      <c r="B19" s="14" t="s">
        <v>901</v>
      </c>
      <c r="C19" s="14" t="s">
        <v>902</v>
      </c>
      <c r="D19" s="14" t="s">
        <v>62</v>
      </c>
      <c r="E19" s="14">
        <v>1</v>
      </c>
      <c r="F19" s="14">
        <v>0</v>
      </c>
      <c r="G19" s="14">
        <v>0</v>
      </c>
      <c r="H19" s="14">
        <v>0</v>
      </c>
      <c r="I19" s="14">
        <v>0</v>
      </c>
      <c r="J19" s="17">
        <v>0</v>
      </c>
      <c r="K19" s="14">
        <v>1</v>
      </c>
      <c r="L19" s="17">
        <v>0</v>
      </c>
      <c r="M19" s="14" t="s">
        <v>86</v>
      </c>
    </row>
    <row r="20" spans="1:13" x14ac:dyDescent="0.25">
      <c r="A20" s="14" t="s">
        <v>41</v>
      </c>
      <c r="B20" s="14" t="s">
        <v>903</v>
      </c>
      <c r="C20" s="14" t="s">
        <v>904</v>
      </c>
      <c r="D20" s="14" t="s">
        <v>71</v>
      </c>
      <c r="E20" s="14">
        <v>0</v>
      </c>
      <c r="F20" s="14">
        <v>0</v>
      </c>
      <c r="G20" s="14">
        <v>0</v>
      </c>
      <c r="H20" s="14">
        <v>0</v>
      </c>
      <c r="I20" s="14">
        <v>0</v>
      </c>
      <c r="J20" s="17">
        <v>0</v>
      </c>
      <c r="K20" s="14">
        <v>1</v>
      </c>
      <c r="L20" s="17">
        <v>0</v>
      </c>
      <c r="M20" s="14" t="s">
        <v>86</v>
      </c>
    </row>
    <row r="21" spans="1:13" x14ac:dyDescent="0.25">
      <c r="A21" s="14" t="s">
        <v>43</v>
      </c>
      <c r="B21" s="14" t="s">
        <v>905</v>
      </c>
      <c r="C21" s="14" t="s">
        <v>906</v>
      </c>
      <c r="D21" s="14" t="s">
        <v>73</v>
      </c>
      <c r="E21" s="14">
        <v>0</v>
      </c>
      <c r="F21" s="14">
        <v>0</v>
      </c>
      <c r="G21" s="14">
        <v>0</v>
      </c>
      <c r="H21" s="14">
        <v>0</v>
      </c>
      <c r="I21" s="14">
        <v>1</v>
      </c>
      <c r="J21" s="17">
        <v>16</v>
      </c>
      <c r="K21" s="14">
        <v>0</v>
      </c>
      <c r="L21" s="17">
        <v>156.80000000000001</v>
      </c>
      <c r="M21" s="14" t="s">
        <v>86</v>
      </c>
    </row>
    <row r="22" spans="1:13" x14ac:dyDescent="0.25">
      <c r="A22" s="14" t="s">
        <v>53</v>
      </c>
      <c r="B22" s="14" t="s">
        <v>907</v>
      </c>
      <c r="C22" s="14" t="s">
        <v>908</v>
      </c>
      <c r="D22" s="14" t="s">
        <v>48</v>
      </c>
      <c r="E22" s="14">
        <v>1</v>
      </c>
      <c r="F22" s="14">
        <v>0</v>
      </c>
      <c r="G22" s="14">
        <v>0</v>
      </c>
      <c r="H22" s="14">
        <v>0</v>
      </c>
      <c r="I22" s="14">
        <v>0</v>
      </c>
      <c r="J22" s="17">
        <v>0</v>
      </c>
      <c r="K22" s="14">
        <v>1</v>
      </c>
      <c r="L22" s="17">
        <v>110.21</v>
      </c>
      <c r="M22" s="14" t="s">
        <v>86</v>
      </c>
    </row>
    <row r="23" spans="1:13" x14ac:dyDescent="0.25">
      <c r="A23" s="14" t="s">
        <v>47</v>
      </c>
      <c r="B23" s="14" t="s">
        <v>909</v>
      </c>
      <c r="C23" s="14" t="s">
        <v>910</v>
      </c>
      <c r="D23" s="14" t="s">
        <v>63</v>
      </c>
      <c r="E23" s="14">
        <v>1</v>
      </c>
      <c r="F23" s="14">
        <v>0</v>
      </c>
      <c r="G23" s="14">
        <v>0</v>
      </c>
      <c r="H23" s="14">
        <v>0</v>
      </c>
      <c r="I23" s="14">
        <v>0</v>
      </c>
      <c r="J23" s="17">
        <v>16</v>
      </c>
      <c r="K23" s="14">
        <v>1</v>
      </c>
      <c r="L23" s="17">
        <v>18.79</v>
      </c>
      <c r="M23" s="14" t="s">
        <v>86</v>
      </c>
    </row>
    <row r="24" spans="1:13" x14ac:dyDescent="0.25">
      <c r="A24" s="14" t="s">
        <v>53</v>
      </c>
      <c r="B24" s="14" t="s">
        <v>911</v>
      </c>
      <c r="C24" s="14" t="s">
        <v>912</v>
      </c>
      <c r="D24" s="14" t="s">
        <v>62</v>
      </c>
      <c r="E24" s="14">
        <v>0</v>
      </c>
      <c r="F24" s="14">
        <v>0</v>
      </c>
      <c r="G24" s="14">
        <v>0</v>
      </c>
      <c r="H24" s="14">
        <v>0</v>
      </c>
      <c r="I24" s="14">
        <v>0</v>
      </c>
      <c r="J24" s="17">
        <v>24</v>
      </c>
      <c r="K24" s="14">
        <v>1</v>
      </c>
      <c r="L24" s="17">
        <v>178.46</v>
      </c>
      <c r="M24" s="14" t="s">
        <v>86</v>
      </c>
    </row>
    <row r="25" spans="1:13" x14ac:dyDescent="0.25">
      <c r="A25" s="14" t="s">
        <v>61</v>
      </c>
      <c r="B25" s="14" t="s">
        <v>913</v>
      </c>
      <c r="C25" s="14" t="s">
        <v>914</v>
      </c>
      <c r="D25" s="14" t="s">
        <v>40</v>
      </c>
      <c r="E25" s="14">
        <v>1</v>
      </c>
      <c r="F25" s="14">
        <v>0</v>
      </c>
      <c r="G25" s="14">
        <v>0</v>
      </c>
      <c r="H25" s="14">
        <v>0</v>
      </c>
      <c r="I25" s="14">
        <v>0</v>
      </c>
      <c r="J25" s="17">
        <v>24</v>
      </c>
      <c r="K25" s="14">
        <v>1</v>
      </c>
      <c r="L25" s="17">
        <v>74.31</v>
      </c>
      <c r="M25" s="14" t="s">
        <v>86</v>
      </c>
    </row>
    <row r="26" spans="1:13" x14ac:dyDescent="0.25">
      <c r="A26" s="14" t="s">
        <v>45</v>
      </c>
      <c r="B26" s="14" t="s">
        <v>915</v>
      </c>
      <c r="C26" s="14" t="s">
        <v>916</v>
      </c>
      <c r="D26" s="14" t="s">
        <v>42</v>
      </c>
      <c r="E26" s="14">
        <v>1</v>
      </c>
      <c r="F26" s="14">
        <v>0</v>
      </c>
      <c r="G26" s="14">
        <v>0</v>
      </c>
      <c r="H26" s="14">
        <v>0</v>
      </c>
      <c r="I26" s="14">
        <v>0</v>
      </c>
      <c r="J26" s="17">
        <v>33</v>
      </c>
      <c r="K26" s="14">
        <v>1</v>
      </c>
      <c r="L26" s="17">
        <v>147.27000000000001</v>
      </c>
      <c r="M26" s="14" t="s">
        <v>86</v>
      </c>
    </row>
    <row r="27" spans="1:13" x14ac:dyDescent="0.25">
      <c r="A27" s="14" t="s">
        <v>45</v>
      </c>
      <c r="B27" s="14" t="s">
        <v>917</v>
      </c>
      <c r="C27" s="14" t="s">
        <v>918</v>
      </c>
      <c r="D27" s="14" t="s">
        <v>66</v>
      </c>
      <c r="E27" s="14">
        <v>1</v>
      </c>
      <c r="F27" s="14">
        <v>0</v>
      </c>
      <c r="G27" s="14">
        <v>0</v>
      </c>
      <c r="H27" s="14">
        <v>0</v>
      </c>
      <c r="I27" s="14">
        <v>0</v>
      </c>
      <c r="J27" s="17">
        <v>33</v>
      </c>
      <c r="K27" s="14">
        <v>1</v>
      </c>
      <c r="L27" s="17">
        <v>0</v>
      </c>
      <c r="M27" s="14" t="s">
        <v>212</v>
      </c>
    </row>
    <row r="28" spans="1:13" x14ac:dyDescent="0.25">
      <c r="A28" s="14" t="s">
        <v>57</v>
      </c>
      <c r="B28" s="14" t="s">
        <v>919</v>
      </c>
      <c r="C28" s="14" t="s">
        <v>920</v>
      </c>
      <c r="D28" s="14" t="s">
        <v>76</v>
      </c>
      <c r="E28" s="14">
        <v>0</v>
      </c>
      <c r="F28" s="14">
        <v>0</v>
      </c>
      <c r="G28" s="14">
        <v>0</v>
      </c>
      <c r="H28" s="14">
        <v>0</v>
      </c>
      <c r="I28" s="14">
        <v>0</v>
      </c>
      <c r="J28" s="17">
        <v>15</v>
      </c>
      <c r="K28" s="14">
        <v>0</v>
      </c>
      <c r="L28" s="17">
        <v>91.3</v>
      </c>
      <c r="M28" s="14" t="s">
        <v>86</v>
      </c>
    </row>
    <row r="29" spans="1:13" x14ac:dyDescent="0.25">
      <c r="A29" s="14" t="s">
        <v>47</v>
      </c>
      <c r="B29" s="14" t="s">
        <v>921</v>
      </c>
      <c r="C29" s="14" t="s">
        <v>922</v>
      </c>
      <c r="D29" s="14" t="s">
        <v>67</v>
      </c>
      <c r="E29" s="14">
        <v>1</v>
      </c>
      <c r="F29" s="14">
        <v>0</v>
      </c>
      <c r="G29" s="14">
        <v>0</v>
      </c>
      <c r="H29" s="14">
        <v>0</v>
      </c>
      <c r="I29" s="14">
        <v>0</v>
      </c>
      <c r="J29" s="17">
        <v>0</v>
      </c>
      <c r="K29" s="14">
        <v>1</v>
      </c>
      <c r="L29" s="17">
        <v>168.43</v>
      </c>
      <c r="M29" s="14" t="s">
        <v>86</v>
      </c>
    </row>
    <row r="30" spans="1:13" x14ac:dyDescent="0.25">
      <c r="A30" s="14" t="s">
        <v>47</v>
      </c>
      <c r="B30" s="14" t="s">
        <v>923</v>
      </c>
      <c r="C30" s="14" t="s">
        <v>924</v>
      </c>
      <c r="D30" s="14" t="s">
        <v>69</v>
      </c>
      <c r="E30" s="14">
        <v>0</v>
      </c>
      <c r="F30" s="14">
        <v>0</v>
      </c>
      <c r="G30" s="14">
        <v>0</v>
      </c>
      <c r="H30" s="14">
        <v>0</v>
      </c>
      <c r="I30" s="14">
        <v>0</v>
      </c>
      <c r="J30" s="17">
        <v>33</v>
      </c>
      <c r="K30" s="14">
        <v>1</v>
      </c>
      <c r="L30" s="17">
        <v>86.27</v>
      </c>
      <c r="M30" s="14" t="s">
        <v>86</v>
      </c>
    </row>
    <row r="31" spans="1:13" x14ac:dyDescent="0.25">
      <c r="A31" s="14"/>
      <c r="B31" s="14"/>
      <c r="C31" s="14"/>
      <c r="D31" s="14"/>
      <c r="E31" s="14"/>
      <c r="F31" s="14"/>
      <c r="G31" s="14"/>
      <c r="H31" s="14"/>
      <c r="I31" s="14"/>
      <c r="J31" s="17"/>
      <c r="K31" s="14"/>
      <c r="L31" s="17"/>
      <c r="M31" s="14"/>
    </row>
    <row r="32" spans="1:13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7"/>
      <c r="K32" s="14"/>
      <c r="L32" s="17"/>
      <c r="M32" s="14"/>
    </row>
    <row r="33" spans="1:13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7"/>
      <c r="K33" s="14"/>
      <c r="L33" s="17"/>
      <c r="M33" s="14"/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7"/>
      <c r="K34" s="14"/>
      <c r="L34" s="17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7"/>
      <c r="K35" s="14"/>
      <c r="L35" s="17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7"/>
      <c r="K36" s="14"/>
      <c r="L36" s="17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7"/>
      <c r="K37" s="14"/>
      <c r="L37" s="17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7"/>
      <c r="K38" s="14"/>
      <c r="L38" s="17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7"/>
      <c r="K39" s="14"/>
      <c r="L39" s="17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7"/>
      <c r="K40" s="14"/>
      <c r="L40" s="17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7"/>
      <c r="K41" s="14"/>
      <c r="L41" s="17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7"/>
      <c r="K42" s="14"/>
      <c r="L42" s="17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7"/>
      <c r="K43" s="14"/>
      <c r="L43" s="17"/>
      <c r="M43" s="14"/>
    </row>
  </sheetData>
  <mergeCells count="2">
    <mergeCell ref="A2:M2"/>
    <mergeCell ref="A1:M1"/>
  </mergeCells>
  <dataValidations count="1">
    <dataValidation type="list" allowBlank="1" sqref="M4:M43" xr:uid="{00000000-0002-0000-13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300-000000000000}">
          <x14:formula1>
            <xm:f>Setup!$A$5:$A$16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300-000001000000}">
          <x14:formula1>
            <xm:f>Setup!$C$5:$C$30</xm:f>
          </x14:formula1>
          <xm:sqref>D4:D43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4" t="s">
        <v>925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</row>
    <row r="2" spans="1:24" ht="21.95" customHeight="1" x14ac:dyDescent="0.25">
      <c r="A2" s="43" t="s">
        <v>19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</row>
    <row r="3" spans="1:24" x14ac:dyDescent="0.25">
      <c r="A3" s="12" t="s">
        <v>79</v>
      </c>
      <c r="B3" s="12" t="s">
        <v>80</v>
      </c>
      <c r="C3" s="12" t="s">
        <v>81</v>
      </c>
      <c r="D3" s="12" t="s">
        <v>82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83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43</v>
      </c>
      <c r="B4" s="14" t="s">
        <v>926</v>
      </c>
      <c r="C4" s="14" t="s">
        <v>927</v>
      </c>
      <c r="D4" s="14" t="s">
        <v>73</v>
      </c>
      <c r="E4" s="14">
        <v>0</v>
      </c>
      <c r="F4" s="14">
        <v>1</v>
      </c>
      <c r="G4" s="14">
        <v>1</v>
      </c>
      <c r="H4" s="14">
        <v>0</v>
      </c>
      <c r="I4" s="14">
        <v>1</v>
      </c>
      <c r="J4" s="17">
        <v>18</v>
      </c>
      <c r="K4" s="14">
        <v>0</v>
      </c>
      <c r="L4" s="17">
        <v>141.94999999999999</v>
      </c>
      <c r="M4" s="14" t="s">
        <v>86</v>
      </c>
      <c r="P4" s="14" t="str">
        <f>Setup!$A$5</f>
        <v>Expert 01</v>
      </c>
      <c r="Q4" s="14">
        <f t="shared" ref="Q4:Q15" si="0">SUMIF($A$4:$A$43,$P4,E$4:E$43)</f>
        <v>0</v>
      </c>
      <c r="R4" s="14">
        <f t="shared" ref="R4:R15" si="1">SUMIF($A$4:$A$43,$P4,F$4:F$43)</f>
        <v>0</v>
      </c>
      <c r="S4" s="14">
        <f t="shared" ref="S4:S15" si="2">SUMIF($A$4:$A$43,$P4,G$4:G$43)</f>
        <v>0</v>
      </c>
      <c r="T4" s="14">
        <f t="shared" ref="T4:T15" si="3">SUMIF($A$4:$A$43,$P4,H$4:H$43)</f>
        <v>1</v>
      </c>
      <c r="U4" s="14">
        <f t="shared" ref="U4:U15" si="4">SUMIF($A$4:$A$43,$P4,I$4:I$43)</f>
        <v>0</v>
      </c>
      <c r="V4" s="17">
        <f t="shared" ref="V4:V15" si="5">SUMIF($A$4:$A$43,$P4,J$4:J$43)</f>
        <v>51</v>
      </c>
      <c r="W4" s="14">
        <f t="shared" ref="W4:W15" si="6">SUMIF($A$4:$A$43,$P4,K$4:K$43)</f>
        <v>3</v>
      </c>
      <c r="X4" s="17">
        <f t="shared" ref="X4:X15" si="7">SUMIF($A$4:$A$43,$P4,L$4:L$43)</f>
        <v>70.69</v>
      </c>
    </row>
    <row r="5" spans="1:24" x14ac:dyDescent="0.25">
      <c r="A5" s="14" t="s">
        <v>57</v>
      </c>
      <c r="B5" s="14" t="s">
        <v>928</v>
      </c>
      <c r="C5" s="14" t="s">
        <v>929</v>
      </c>
      <c r="D5" s="14" t="s">
        <v>46</v>
      </c>
      <c r="E5" s="14">
        <v>1</v>
      </c>
      <c r="F5" s="14">
        <v>0</v>
      </c>
      <c r="G5" s="14">
        <v>0</v>
      </c>
      <c r="H5" s="14">
        <v>0</v>
      </c>
      <c r="I5" s="14">
        <v>0</v>
      </c>
      <c r="J5" s="17">
        <v>16</v>
      </c>
      <c r="K5" s="14">
        <v>1</v>
      </c>
      <c r="L5" s="17">
        <v>171.25</v>
      </c>
      <c r="M5" s="14" t="s">
        <v>86</v>
      </c>
      <c r="P5" s="14" t="str">
        <f>Setup!$A$6</f>
        <v>Expert 02</v>
      </c>
      <c r="Q5" s="14">
        <f t="shared" si="0"/>
        <v>1</v>
      </c>
      <c r="R5" s="14">
        <f t="shared" si="1"/>
        <v>0</v>
      </c>
      <c r="S5" s="14">
        <f t="shared" si="2"/>
        <v>1</v>
      </c>
      <c r="T5" s="14">
        <f t="shared" si="3"/>
        <v>0</v>
      </c>
      <c r="U5" s="14">
        <f t="shared" si="4"/>
        <v>0</v>
      </c>
      <c r="V5" s="17">
        <f t="shared" si="5"/>
        <v>39</v>
      </c>
      <c r="W5" s="14">
        <f t="shared" si="6"/>
        <v>2</v>
      </c>
      <c r="X5" s="17">
        <f t="shared" si="7"/>
        <v>104.21000000000001</v>
      </c>
    </row>
    <row r="6" spans="1:24" x14ac:dyDescent="0.25">
      <c r="A6" s="14" t="s">
        <v>51</v>
      </c>
      <c r="B6" s="14" t="s">
        <v>930</v>
      </c>
      <c r="C6" s="14" t="s">
        <v>931</v>
      </c>
      <c r="D6" s="14" t="s">
        <v>50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7">
        <v>24</v>
      </c>
      <c r="K6" s="14">
        <v>1</v>
      </c>
      <c r="L6" s="17">
        <v>94.55</v>
      </c>
      <c r="M6" s="14" t="s">
        <v>86</v>
      </c>
      <c r="P6" s="14" t="str">
        <f>Setup!$A$7</f>
        <v>Expert 03</v>
      </c>
      <c r="Q6" s="14">
        <f t="shared" si="0"/>
        <v>3</v>
      </c>
      <c r="R6" s="14">
        <f t="shared" si="1"/>
        <v>3</v>
      </c>
      <c r="S6" s="14">
        <f t="shared" si="2"/>
        <v>1</v>
      </c>
      <c r="T6" s="14">
        <f t="shared" si="3"/>
        <v>0</v>
      </c>
      <c r="U6" s="14">
        <f t="shared" si="4"/>
        <v>1</v>
      </c>
      <c r="V6" s="17">
        <f t="shared" si="5"/>
        <v>60</v>
      </c>
      <c r="W6" s="14">
        <f t="shared" si="6"/>
        <v>5</v>
      </c>
      <c r="X6" s="17">
        <f t="shared" si="7"/>
        <v>233.04999999999998</v>
      </c>
    </row>
    <row r="7" spans="1:24" x14ac:dyDescent="0.25">
      <c r="A7" s="14" t="s">
        <v>51</v>
      </c>
      <c r="B7" s="14" t="s">
        <v>932</v>
      </c>
      <c r="C7" s="14" t="s">
        <v>933</v>
      </c>
      <c r="D7" s="14" t="s">
        <v>65</v>
      </c>
      <c r="E7" s="14">
        <v>1</v>
      </c>
      <c r="F7" s="14">
        <v>0</v>
      </c>
      <c r="G7" s="14">
        <v>0</v>
      </c>
      <c r="H7" s="14">
        <v>0</v>
      </c>
      <c r="I7" s="14">
        <v>0</v>
      </c>
      <c r="J7" s="17">
        <v>18</v>
      </c>
      <c r="K7" s="14">
        <v>1</v>
      </c>
      <c r="L7" s="17">
        <v>0</v>
      </c>
      <c r="M7" s="14" t="s">
        <v>86</v>
      </c>
      <c r="P7" s="14" t="str">
        <f>Setup!$A$8</f>
        <v>Expert 04</v>
      </c>
      <c r="Q7" s="14">
        <f t="shared" si="0"/>
        <v>2</v>
      </c>
      <c r="R7" s="14">
        <f t="shared" si="1"/>
        <v>2</v>
      </c>
      <c r="S7" s="14">
        <f t="shared" si="2"/>
        <v>0</v>
      </c>
      <c r="T7" s="14">
        <f t="shared" si="3"/>
        <v>1</v>
      </c>
      <c r="U7" s="14">
        <f t="shared" si="4"/>
        <v>0</v>
      </c>
      <c r="V7" s="17">
        <f t="shared" si="5"/>
        <v>51</v>
      </c>
      <c r="W7" s="14">
        <f t="shared" si="6"/>
        <v>4</v>
      </c>
      <c r="X7" s="17">
        <f t="shared" si="7"/>
        <v>199.55999999999997</v>
      </c>
    </row>
    <row r="8" spans="1:24" x14ac:dyDescent="0.25">
      <c r="A8" s="14" t="s">
        <v>59</v>
      </c>
      <c r="B8" s="14" t="s">
        <v>934</v>
      </c>
      <c r="C8" s="14" t="s">
        <v>935</v>
      </c>
      <c r="D8" s="14" t="s">
        <v>50</v>
      </c>
      <c r="E8" s="14">
        <v>1</v>
      </c>
      <c r="F8" s="14">
        <v>0</v>
      </c>
      <c r="G8" s="14">
        <v>0</v>
      </c>
      <c r="H8" s="14">
        <v>0</v>
      </c>
      <c r="I8" s="14">
        <v>0</v>
      </c>
      <c r="J8" s="17">
        <v>0</v>
      </c>
      <c r="K8" s="14">
        <v>1</v>
      </c>
      <c r="L8" s="17">
        <v>0</v>
      </c>
      <c r="M8" s="14" t="s">
        <v>86</v>
      </c>
      <c r="P8" s="14" t="str">
        <f>Setup!$A$9</f>
        <v>Expert 05</v>
      </c>
      <c r="Q8" s="14">
        <f t="shared" si="0"/>
        <v>0</v>
      </c>
      <c r="R8" s="14">
        <f t="shared" si="1"/>
        <v>1</v>
      </c>
      <c r="S8" s="14">
        <f t="shared" si="2"/>
        <v>0</v>
      </c>
      <c r="T8" s="14">
        <f t="shared" si="3"/>
        <v>0</v>
      </c>
      <c r="U8" s="14">
        <f t="shared" si="4"/>
        <v>0</v>
      </c>
      <c r="V8" s="17">
        <f t="shared" si="5"/>
        <v>15</v>
      </c>
      <c r="W8" s="14">
        <f t="shared" si="6"/>
        <v>1</v>
      </c>
      <c r="X8" s="17">
        <f t="shared" si="7"/>
        <v>125.28</v>
      </c>
    </row>
    <row r="9" spans="1:24" x14ac:dyDescent="0.25">
      <c r="A9" s="14" t="s">
        <v>51</v>
      </c>
      <c r="B9" s="14" t="s">
        <v>936</v>
      </c>
      <c r="C9" s="14" t="s">
        <v>937</v>
      </c>
      <c r="D9" s="14" t="s">
        <v>42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7">
        <v>24</v>
      </c>
      <c r="K9" s="14">
        <v>1</v>
      </c>
      <c r="L9" s="17">
        <v>0</v>
      </c>
      <c r="M9" s="14" t="s">
        <v>212</v>
      </c>
      <c r="P9" s="14" t="str">
        <f>Setup!$A$10</f>
        <v>Expert 06</v>
      </c>
      <c r="Q9" s="14">
        <f t="shared" si="0"/>
        <v>2</v>
      </c>
      <c r="R9" s="14">
        <f t="shared" si="1"/>
        <v>0</v>
      </c>
      <c r="S9" s="14">
        <f t="shared" si="2"/>
        <v>0</v>
      </c>
      <c r="T9" s="14">
        <f t="shared" si="3"/>
        <v>0</v>
      </c>
      <c r="U9" s="14">
        <f t="shared" si="4"/>
        <v>0</v>
      </c>
      <c r="V9" s="17">
        <f t="shared" si="5"/>
        <v>0</v>
      </c>
      <c r="W9" s="14">
        <f t="shared" si="6"/>
        <v>2</v>
      </c>
      <c r="X9" s="17">
        <f t="shared" si="7"/>
        <v>47.09</v>
      </c>
    </row>
    <row r="10" spans="1:24" x14ac:dyDescent="0.25">
      <c r="A10" s="14" t="s">
        <v>49</v>
      </c>
      <c r="B10" s="14" t="s">
        <v>938</v>
      </c>
      <c r="C10" s="14" t="s">
        <v>939</v>
      </c>
      <c r="D10" s="14" t="s">
        <v>62</v>
      </c>
      <c r="E10" s="14">
        <v>1</v>
      </c>
      <c r="F10" s="14">
        <v>0</v>
      </c>
      <c r="G10" s="14">
        <v>0</v>
      </c>
      <c r="H10" s="14">
        <v>0</v>
      </c>
      <c r="I10" s="14">
        <v>0</v>
      </c>
      <c r="J10" s="17">
        <v>0</v>
      </c>
      <c r="K10" s="14">
        <v>1</v>
      </c>
      <c r="L10" s="17">
        <v>47.09</v>
      </c>
      <c r="M10" s="14" t="s">
        <v>86</v>
      </c>
      <c r="P10" s="14" t="str">
        <f>Setup!$A$11</f>
        <v>Expert 07</v>
      </c>
      <c r="Q10" s="14">
        <f t="shared" si="0"/>
        <v>1</v>
      </c>
      <c r="R10" s="14">
        <f t="shared" si="1"/>
        <v>0</v>
      </c>
      <c r="S10" s="14">
        <f t="shared" si="2"/>
        <v>0</v>
      </c>
      <c r="T10" s="14">
        <f t="shared" si="3"/>
        <v>0</v>
      </c>
      <c r="U10" s="14">
        <f t="shared" si="4"/>
        <v>1</v>
      </c>
      <c r="V10" s="17">
        <f t="shared" si="5"/>
        <v>66</v>
      </c>
      <c r="W10" s="14">
        <f t="shared" si="6"/>
        <v>3</v>
      </c>
      <c r="X10" s="17">
        <f t="shared" si="7"/>
        <v>125.83</v>
      </c>
    </row>
    <row r="11" spans="1:24" x14ac:dyDescent="0.25">
      <c r="A11" s="14" t="s">
        <v>57</v>
      </c>
      <c r="B11" s="14" t="s">
        <v>940</v>
      </c>
      <c r="C11" s="14" t="s">
        <v>941</v>
      </c>
      <c r="D11" s="14" t="s">
        <v>76</v>
      </c>
      <c r="E11" s="14">
        <v>0</v>
      </c>
      <c r="F11" s="14">
        <v>0</v>
      </c>
      <c r="G11" s="14">
        <v>0</v>
      </c>
      <c r="H11" s="14">
        <v>0</v>
      </c>
      <c r="I11" s="14">
        <v>0</v>
      </c>
      <c r="J11" s="17">
        <v>18</v>
      </c>
      <c r="K11" s="14">
        <v>0</v>
      </c>
      <c r="L11" s="17">
        <v>0.27</v>
      </c>
      <c r="M11" s="14" t="s">
        <v>86</v>
      </c>
      <c r="P11" s="14" t="str">
        <f>Setup!$A$12</f>
        <v>Expert 08</v>
      </c>
      <c r="Q11" s="14">
        <f t="shared" si="0"/>
        <v>1</v>
      </c>
      <c r="R11" s="14">
        <f t="shared" si="1"/>
        <v>0</v>
      </c>
      <c r="S11" s="14">
        <f t="shared" si="2"/>
        <v>0</v>
      </c>
      <c r="T11" s="14">
        <f t="shared" si="3"/>
        <v>0</v>
      </c>
      <c r="U11" s="14">
        <f t="shared" si="4"/>
        <v>0</v>
      </c>
      <c r="V11" s="17">
        <f t="shared" si="5"/>
        <v>0</v>
      </c>
      <c r="W11" s="14">
        <f t="shared" si="6"/>
        <v>1</v>
      </c>
      <c r="X11" s="17">
        <f t="shared" si="7"/>
        <v>0</v>
      </c>
    </row>
    <row r="12" spans="1:24" x14ac:dyDescent="0.25">
      <c r="A12" s="14" t="s">
        <v>47</v>
      </c>
      <c r="B12" s="14" t="s">
        <v>942</v>
      </c>
      <c r="C12" s="14" t="s">
        <v>943</v>
      </c>
      <c r="D12" s="14" t="s">
        <v>67</v>
      </c>
      <c r="E12" s="14">
        <v>0</v>
      </c>
      <c r="F12" s="14">
        <v>1</v>
      </c>
      <c r="G12" s="14">
        <v>0</v>
      </c>
      <c r="H12" s="14">
        <v>0</v>
      </c>
      <c r="I12" s="14">
        <v>0</v>
      </c>
      <c r="J12" s="17">
        <v>15</v>
      </c>
      <c r="K12" s="14">
        <v>1</v>
      </c>
      <c r="L12" s="17">
        <v>125.28</v>
      </c>
      <c r="M12" s="14" t="s">
        <v>86</v>
      </c>
      <c r="P12" s="14" t="str">
        <f>Setup!$A$13</f>
        <v>Expert 09</v>
      </c>
      <c r="Q12" s="14">
        <f t="shared" si="0"/>
        <v>0</v>
      </c>
      <c r="R12" s="14">
        <f t="shared" si="1"/>
        <v>0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7">
        <f t="shared" si="5"/>
        <v>0</v>
      </c>
      <c r="W12" s="14">
        <f t="shared" si="6"/>
        <v>0</v>
      </c>
      <c r="X12" s="17">
        <f t="shared" si="7"/>
        <v>0</v>
      </c>
    </row>
    <row r="13" spans="1:24" x14ac:dyDescent="0.25">
      <c r="A13" s="14" t="s">
        <v>53</v>
      </c>
      <c r="B13" s="14" t="s">
        <v>944</v>
      </c>
      <c r="C13" s="14" t="s">
        <v>945</v>
      </c>
      <c r="D13" s="14" t="s">
        <v>52</v>
      </c>
      <c r="E13" s="14">
        <v>1</v>
      </c>
      <c r="F13" s="14">
        <v>0</v>
      </c>
      <c r="G13" s="14">
        <v>0</v>
      </c>
      <c r="H13" s="14">
        <v>0</v>
      </c>
      <c r="I13" s="14">
        <v>0</v>
      </c>
      <c r="J13" s="17">
        <v>0</v>
      </c>
      <c r="K13" s="14">
        <v>1</v>
      </c>
      <c r="L13" s="17">
        <v>0</v>
      </c>
      <c r="M13" s="14" t="s">
        <v>86</v>
      </c>
      <c r="P13" s="14" t="str">
        <f>Setup!$A$14</f>
        <v>Expert 10</v>
      </c>
      <c r="Q13" s="14">
        <f t="shared" si="0"/>
        <v>3</v>
      </c>
      <c r="R13" s="14">
        <f t="shared" si="1"/>
        <v>0</v>
      </c>
      <c r="S13" s="14">
        <f t="shared" si="2"/>
        <v>0</v>
      </c>
      <c r="T13" s="14">
        <f t="shared" si="3"/>
        <v>1</v>
      </c>
      <c r="U13" s="14">
        <f t="shared" si="4"/>
        <v>0</v>
      </c>
      <c r="V13" s="17">
        <f t="shared" si="5"/>
        <v>34</v>
      </c>
      <c r="W13" s="14">
        <f t="shared" si="6"/>
        <v>3</v>
      </c>
      <c r="X13" s="17">
        <f t="shared" si="7"/>
        <v>186</v>
      </c>
    </row>
    <row r="14" spans="1:24" x14ac:dyDescent="0.25">
      <c r="A14" s="14" t="s">
        <v>59</v>
      </c>
      <c r="B14" s="14" t="s">
        <v>946</v>
      </c>
      <c r="C14" s="14" t="s">
        <v>947</v>
      </c>
      <c r="D14" s="14" t="s">
        <v>68</v>
      </c>
      <c r="E14" s="14">
        <v>1</v>
      </c>
      <c r="F14" s="14">
        <v>0</v>
      </c>
      <c r="G14" s="14">
        <v>0</v>
      </c>
      <c r="H14" s="14">
        <v>1</v>
      </c>
      <c r="I14" s="14">
        <v>0</v>
      </c>
      <c r="J14" s="17">
        <v>0</v>
      </c>
      <c r="K14" s="14">
        <v>1</v>
      </c>
      <c r="L14" s="17">
        <v>0</v>
      </c>
      <c r="M14" s="14" t="s">
        <v>86</v>
      </c>
      <c r="P14" s="14" t="str">
        <f>Setup!$A$15</f>
        <v>Expert 11</v>
      </c>
      <c r="Q14" s="14">
        <f t="shared" si="0"/>
        <v>2</v>
      </c>
      <c r="R14" s="14">
        <f t="shared" si="1"/>
        <v>0</v>
      </c>
      <c r="S14" s="14">
        <f t="shared" si="2"/>
        <v>0</v>
      </c>
      <c r="T14" s="14">
        <f t="shared" si="3"/>
        <v>1</v>
      </c>
      <c r="U14" s="14">
        <f t="shared" si="4"/>
        <v>0</v>
      </c>
      <c r="V14" s="17">
        <f t="shared" si="5"/>
        <v>0</v>
      </c>
      <c r="W14" s="14">
        <f t="shared" si="6"/>
        <v>2</v>
      </c>
      <c r="X14" s="17">
        <f t="shared" si="7"/>
        <v>0</v>
      </c>
    </row>
    <row r="15" spans="1:24" x14ac:dyDescent="0.25">
      <c r="A15" s="14" t="s">
        <v>57</v>
      </c>
      <c r="B15" s="14" t="s">
        <v>948</v>
      </c>
      <c r="C15" s="14" t="s">
        <v>949</v>
      </c>
      <c r="D15" s="14" t="s">
        <v>65</v>
      </c>
      <c r="E15" s="14">
        <v>1</v>
      </c>
      <c r="F15" s="14">
        <v>0</v>
      </c>
      <c r="G15" s="14">
        <v>0</v>
      </c>
      <c r="H15" s="14">
        <v>1</v>
      </c>
      <c r="I15" s="14">
        <v>0</v>
      </c>
      <c r="J15" s="17">
        <v>0</v>
      </c>
      <c r="K15" s="14">
        <v>1</v>
      </c>
      <c r="L15" s="17">
        <v>14.48</v>
      </c>
      <c r="M15" s="14" t="s">
        <v>86</v>
      </c>
      <c r="P15" s="14" t="str">
        <f>Setup!$A$16</f>
        <v>Expert 12</v>
      </c>
      <c r="Q15" s="14">
        <f t="shared" si="0"/>
        <v>2</v>
      </c>
      <c r="R15" s="14">
        <f t="shared" si="1"/>
        <v>1</v>
      </c>
      <c r="S15" s="14">
        <f t="shared" si="2"/>
        <v>1</v>
      </c>
      <c r="T15" s="14">
        <f t="shared" si="3"/>
        <v>0</v>
      </c>
      <c r="U15" s="14">
        <f t="shared" si="4"/>
        <v>0</v>
      </c>
      <c r="V15" s="17">
        <f t="shared" si="5"/>
        <v>99</v>
      </c>
      <c r="W15" s="14">
        <f t="shared" si="6"/>
        <v>2</v>
      </c>
      <c r="X15" s="17">
        <f t="shared" si="7"/>
        <v>55.47</v>
      </c>
    </row>
    <row r="16" spans="1:24" x14ac:dyDescent="0.25">
      <c r="A16" s="14" t="s">
        <v>51</v>
      </c>
      <c r="B16" s="14" t="s">
        <v>950</v>
      </c>
      <c r="C16" s="14" t="s">
        <v>951</v>
      </c>
      <c r="D16" s="14" t="s">
        <v>72</v>
      </c>
      <c r="E16" s="14">
        <v>0</v>
      </c>
      <c r="F16" s="14">
        <v>0</v>
      </c>
      <c r="G16" s="14">
        <v>0</v>
      </c>
      <c r="H16" s="14">
        <v>0</v>
      </c>
      <c r="I16" s="14">
        <v>1</v>
      </c>
      <c r="J16" s="17">
        <v>0</v>
      </c>
      <c r="K16" s="14">
        <v>0</v>
      </c>
      <c r="L16" s="17">
        <v>31.28</v>
      </c>
      <c r="M16" s="14" t="s">
        <v>86</v>
      </c>
      <c r="P16" s="18" t="s">
        <v>111</v>
      </c>
      <c r="Q16" s="19">
        <f t="shared" ref="Q16:X16" si="8">SUM(Q4:Q15)</f>
        <v>17</v>
      </c>
      <c r="R16" s="19">
        <f t="shared" si="8"/>
        <v>7</v>
      </c>
      <c r="S16" s="19">
        <f t="shared" si="8"/>
        <v>3</v>
      </c>
      <c r="T16" s="19">
        <f t="shared" si="8"/>
        <v>4</v>
      </c>
      <c r="U16" s="19">
        <f t="shared" si="8"/>
        <v>2</v>
      </c>
      <c r="V16" s="20">
        <f t="shared" si="8"/>
        <v>415</v>
      </c>
      <c r="W16" s="19">
        <f t="shared" si="8"/>
        <v>28</v>
      </c>
      <c r="X16" s="20">
        <f t="shared" si="8"/>
        <v>1147.18</v>
      </c>
    </row>
    <row r="17" spans="1:13" x14ac:dyDescent="0.25">
      <c r="A17" s="14" t="s">
        <v>61</v>
      </c>
      <c r="B17" s="14" t="s">
        <v>952</v>
      </c>
      <c r="C17" s="14" t="s">
        <v>953</v>
      </c>
      <c r="D17" s="14" t="s">
        <v>52</v>
      </c>
      <c r="E17" s="14">
        <v>1</v>
      </c>
      <c r="F17" s="14">
        <v>0</v>
      </c>
      <c r="G17" s="14">
        <v>0</v>
      </c>
      <c r="H17" s="14">
        <v>0</v>
      </c>
      <c r="I17" s="14">
        <v>0</v>
      </c>
      <c r="J17" s="17">
        <v>33</v>
      </c>
      <c r="K17" s="14">
        <v>1</v>
      </c>
      <c r="L17" s="17">
        <v>0</v>
      </c>
      <c r="M17" s="14" t="s">
        <v>86</v>
      </c>
    </row>
    <row r="18" spans="1:13" x14ac:dyDescent="0.25">
      <c r="A18" s="14" t="s">
        <v>41</v>
      </c>
      <c r="B18" s="14" t="s">
        <v>954</v>
      </c>
      <c r="C18" s="14" t="s">
        <v>955</v>
      </c>
      <c r="D18" s="14" t="s">
        <v>75</v>
      </c>
      <c r="E18" s="14">
        <v>0</v>
      </c>
      <c r="F18" s="14">
        <v>0</v>
      </c>
      <c r="G18" s="14">
        <v>0</v>
      </c>
      <c r="H18" s="14">
        <v>0</v>
      </c>
      <c r="I18" s="14">
        <v>0</v>
      </c>
      <c r="J18" s="17">
        <v>0</v>
      </c>
      <c r="K18" s="14">
        <v>0</v>
      </c>
      <c r="L18" s="17">
        <v>19.34</v>
      </c>
      <c r="M18" s="14" t="s">
        <v>86</v>
      </c>
    </row>
    <row r="19" spans="1:13" x14ac:dyDescent="0.25">
      <c r="A19" s="14" t="s">
        <v>45</v>
      </c>
      <c r="B19" s="14" t="s">
        <v>956</v>
      </c>
      <c r="C19" s="14" t="s">
        <v>957</v>
      </c>
      <c r="D19" s="14" t="s">
        <v>63</v>
      </c>
      <c r="E19" s="14">
        <v>0</v>
      </c>
      <c r="F19" s="14">
        <v>1</v>
      </c>
      <c r="G19" s="14">
        <v>0</v>
      </c>
      <c r="H19" s="14">
        <v>0</v>
      </c>
      <c r="I19" s="14">
        <v>0</v>
      </c>
      <c r="J19" s="17">
        <v>18</v>
      </c>
      <c r="K19" s="14">
        <v>1</v>
      </c>
      <c r="L19" s="17">
        <v>0</v>
      </c>
      <c r="M19" s="14" t="s">
        <v>86</v>
      </c>
    </row>
    <row r="20" spans="1:13" x14ac:dyDescent="0.25">
      <c r="A20" s="14" t="s">
        <v>43</v>
      </c>
      <c r="B20" s="14" t="s">
        <v>958</v>
      </c>
      <c r="C20" s="14" t="s">
        <v>959</v>
      </c>
      <c r="D20" s="14" t="s">
        <v>54</v>
      </c>
      <c r="E20" s="14">
        <v>1</v>
      </c>
      <c r="F20" s="14">
        <v>0</v>
      </c>
      <c r="G20" s="14">
        <v>0</v>
      </c>
      <c r="H20" s="14">
        <v>0</v>
      </c>
      <c r="I20" s="14">
        <v>0</v>
      </c>
      <c r="J20" s="17">
        <v>0</v>
      </c>
      <c r="K20" s="14">
        <v>1</v>
      </c>
      <c r="L20" s="17">
        <v>0</v>
      </c>
      <c r="M20" s="14" t="s">
        <v>86</v>
      </c>
    </row>
    <row r="21" spans="1:13" x14ac:dyDescent="0.25">
      <c r="A21" s="14" t="s">
        <v>61</v>
      </c>
      <c r="B21" s="14" t="s">
        <v>960</v>
      </c>
      <c r="C21" s="14" t="s">
        <v>961</v>
      </c>
      <c r="D21" s="14" t="s">
        <v>67</v>
      </c>
      <c r="E21" s="14">
        <v>0</v>
      </c>
      <c r="F21" s="14">
        <v>1</v>
      </c>
      <c r="G21" s="14">
        <v>1</v>
      </c>
      <c r="H21" s="14">
        <v>0</v>
      </c>
      <c r="I21" s="14">
        <v>0</v>
      </c>
      <c r="J21" s="17">
        <v>33</v>
      </c>
      <c r="K21" s="14">
        <v>1</v>
      </c>
      <c r="L21" s="17">
        <v>0</v>
      </c>
      <c r="M21" s="14" t="s">
        <v>86</v>
      </c>
    </row>
    <row r="22" spans="1:13" x14ac:dyDescent="0.25">
      <c r="A22" s="14" t="s">
        <v>61</v>
      </c>
      <c r="B22" s="14" t="s">
        <v>962</v>
      </c>
      <c r="C22" s="14" t="s">
        <v>963</v>
      </c>
      <c r="D22" s="14" t="s">
        <v>74</v>
      </c>
      <c r="E22" s="14">
        <v>1</v>
      </c>
      <c r="F22" s="14">
        <v>0</v>
      </c>
      <c r="G22" s="14">
        <v>0</v>
      </c>
      <c r="H22" s="14">
        <v>0</v>
      </c>
      <c r="I22" s="14">
        <v>0</v>
      </c>
      <c r="J22" s="17">
        <v>33</v>
      </c>
      <c r="K22" s="14">
        <v>0</v>
      </c>
      <c r="L22" s="17">
        <v>55.47</v>
      </c>
      <c r="M22" s="14" t="s">
        <v>86</v>
      </c>
    </row>
    <row r="23" spans="1:13" x14ac:dyDescent="0.25">
      <c r="A23" s="14" t="s">
        <v>57</v>
      </c>
      <c r="B23" s="14" t="s">
        <v>964</v>
      </c>
      <c r="C23" s="14" t="s">
        <v>965</v>
      </c>
      <c r="D23" s="14" t="s">
        <v>56</v>
      </c>
      <c r="E23" s="14">
        <v>1</v>
      </c>
      <c r="F23" s="14">
        <v>0</v>
      </c>
      <c r="G23" s="14">
        <v>0</v>
      </c>
      <c r="H23" s="14">
        <v>0</v>
      </c>
      <c r="I23" s="14">
        <v>0</v>
      </c>
      <c r="J23" s="17">
        <v>0</v>
      </c>
      <c r="K23" s="14">
        <v>1</v>
      </c>
      <c r="L23" s="17">
        <v>0</v>
      </c>
      <c r="M23" s="14" t="s">
        <v>86</v>
      </c>
    </row>
    <row r="24" spans="1:13" x14ac:dyDescent="0.25">
      <c r="A24" s="14" t="s">
        <v>43</v>
      </c>
      <c r="B24" s="14" t="s">
        <v>966</v>
      </c>
      <c r="C24" s="14" t="s">
        <v>967</v>
      </c>
      <c r="D24" s="14" t="s">
        <v>71</v>
      </c>
      <c r="E24" s="14">
        <v>1</v>
      </c>
      <c r="F24" s="14">
        <v>0</v>
      </c>
      <c r="G24" s="14">
        <v>0</v>
      </c>
      <c r="H24" s="14">
        <v>0</v>
      </c>
      <c r="I24" s="14">
        <v>0</v>
      </c>
      <c r="J24" s="17">
        <v>0</v>
      </c>
      <c r="K24" s="14">
        <v>1</v>
      </c>
      <c r="L24" s="17">
        <v>3.23</v>
      </c>
      <c r="M24" s="14" t="s">
        <v>86</v>
      </c>
    </row>
    <row r="25" spans="1:13" x14ac:dyDescent="0.25">
      <c r="A25" s="14" t="s">
        <v>45</v>
      </c>
      <c r="B25" s="14" t="s">
        <v>968</v>
      </c>
      <c r="C25" s="14" t="s">
        <v>969</v>
      </c>
      <c r="D25" s="14" t="s">
        <v>46</v>
      </c>
      <c r="E25" s="14">
        <v>1</v>
      </c>
      <c r="F25" s="14">
        <v>0</v>
      </c>
      <c r="G25" s="14">
        <v>0</v>
      </c>
      <c r="H25" s="14">
        <v>0</v>
      </c>
      <c r="I25" s="14">
        <v>0</v>
      </c>
      <c r="J25" s="17">
        <v>0</v>
      </c>
      <c r="K25" s="14">
        <v>1</v>
      </c>
      <c r="L25" s="17">
        <v>11.29</v>
      </c>
      <c r="M25" s="14" t="s">
        <v>86</v>
      </c>
    </row>
    <row r="26" spans="1:13" x14ac:dyDescent="0.25">
      <c r="A26" s="14" t="s">
        <v>41</v>
      </c>
      <c r="B26" s="14" t="s">
        <v>970</v>
      </c>
      <c r="C26" s="14" t="s">
        <v>971</v>
      </c>
      <c r="D26" s="14" t="s">
        <v>69</v>
      </c>
      <c r="E26" s="14">
        <v>1</v>
      </c>
      <c r="F26" s="14">
        <v>0</v>
      </c>
      <c r="G26" s="14">
        <v>0</v>
      </c>
      <c r="H26" s="14">
        <v>0</v>
      </c>
      <c r="I26" s="14">
        <v>0</v>
      </c>
      <c r="J26" s="17">
        <v>24</v>
      </c>
      <c r="K26" s="14">
        <v>1</v>
      </c>
      <c r="L26" s="17">
        <v>84.87</v>
      </c>
      <c r="M26" s="14" t="s">
        <v>86</v>
      </c>
    </row>
    <row r="27" spans="1:13" x14ac:dyDescent="0.25">
      <c r="A27" s="14" t="s">
        <v>43</v>
      </c>
      <c r="B27" s="14" t="s">
        <v>972</v>
      </c>
      <c r="C27" s="14" t="s">
        <v>973</v>
      </c>
      <c r="D27" s="14" t="s">
        <v>60</v>
      </c>
      <c r="E27" s="14">
        <v>1</v>
      </c>
      <c r="F27" s="14">
        <v>0</v>
      </c>
      <c r="G27" s="14">
        <v>0</v>
      </c>
      <c r="H27" s="14">
        <v>0</v>
      </c>
      <c r="I27" s="14">
        <v>0</v>
      </c>
      <c r="J27" s="17">
        <v>0</v>
      </c>
      <c r="K27" s="14">
        <v>1</v>
      </c>
      <c r="L27" s="17">
        <v>0</v>
      </c>
      <c r="M27" s="14" t="s">
        <v>86</v>
      </c>
    </row>
    <row r="28" spans="1:13" x14ac:dyDescent="0.25">
      <c r="A28" s="14" t="s">
        <v>43</v>
      </c>
      <c r="B28" s="14" t="s">
        <v>974</v>
      </c>
      <c r="C28" s="14" t="s">
        <v>975</v>
      </c>
      <c r="D28" s="14" t="s">
        <v>42</v>
      </c>
      <c r="E28" s="14">
        <v>0</v>
      </c>
      <c r="F28" s="14">
        <v>1</v>
      </c>
      <c r="G28" s="14">
        <v>0</v>
      </c>
      <c r="H28" s="14">
        <v>0</v>
      </c>
      <c r="I28" s="14">
        <v>0</v>
      </c>
      <c r="J28" s="17">
        <v>24</v>
      </c>
      <c r="K28" s="14">
        <v>1</v>
      </c>
      <c r="L28" s="17">
        <v>0</v>
      </c>
      <c r="M28" s="14" t="s">
        <v>86</v>
      </c>
    </row>
    <row r="29" spans="1:13" x14ac:dyDescent="0.25">
      <c r="A29" s="14" t="s">
        <v>41</v>
      </c>
      <c r="B29" s="14" t="s">
        <v>976</v>
      </c>
      <c r="C29" s="14" t="s">
        <v>977</v>
      </c>
      <c r="D29" s="14" t="s">
        <v>40</v>
      </c>
      <c r="E29" s="14">
        <v>0</v>
      </c>
      <c r="F29" s="14">
        <v>0</v>
      </c>
      <c r="G29" s="14">
        <v>1</v>
      </c>
      <c r="H29" s="14">
        <v>0</v>
      </c>
      <c r="I29" s="14">
        <v>0</v>
      </c>
      <c r="J29" s="17">
        <v>15</v>
      </c>
      <c r="K29" s="14">
        <v>1</v>
      </c>
      <c r="L29" s="17">
        <v>0</v>
      </c>
      <c r="M29" s="14" t="s">
        <v>86</v>
      </c>
    </row>
    <row r="30" spans="1:13" x14ac:dyDescent="0.25">
      <c r="A30" s="14" t="s">
        <v>39</v>
      </c>
      <c r="B30" s="14" t="s">
        <v>978</v>
      </c>
      <c r="C30" s="14" t="s">
        <v>979</v>
      </c>
      <c r="D30" s="14" t="s">
        <v>70</v>
      </c>
      <c r="E30" s="14">
        <v>0</v>
      </c>
      <c r="F30" s="14">
        <v>0</v>
      </c>
      <c r="G30" s="14">
        <v>0</v>
      </c>
      <c r="H30" s="14">
        <v>1</v>
      </c>
      <c r="I30" s="14">
        <v>0</v>
      </c>
      <c r="J30" s="17">
        <v>18</v>
      </c>
      <c r="K30" s="14">
        <v>1</v>
      </c>
      <c r="L30" s="17">
        <v>0</v>
      </c>
      <c r="M30" s="14" t="s">
        <v>86</v>
      </c>
    </row>
    <row r="31" spans="1:13" x14ac:dyDescent="0.25">
      <c r="A31" s="14" t="s">
        <v>45</v>
      </c>
      <c r="B31" s="14" t="s">
        <v>980</v>
      </c>
      <c r="C31" s="14" t="s">
        <v>981</v>
      </c>
      <c r="D31" s="14" t="s">
        <v>58</v>
      </c>
      <c r="E31" s="14">
        <v>0</v>
      </c>
      <c r="F31" s="14">
        <v>1</v>
      </c>
      <c r="G31" s="14">
        <v>0</v>
      </c>
      <c r="H31" s="14">
        <v>1</v>
      </c>
      <c r="I31" s="14">
        <v>0</v>
      </c>
      <c r="J31" s="17">
        <v>33</v>
      </c>
      <c r="K31" s="14">
        <v>1</v>
      </c>
      <c r="L31" s="17">
        <v>178.98</v>
      </c>
      <c r="M31" s="14" t="s">
        <v>86</v>
      </c>
    </row>
    <row r="32" spans="1:13" x14ac:dyDescent="0.25">
      <c r="A32" s="14" t="s">
        <v>39</v>
      </c>
      <c r="B32" s="14" t="s">
        <v>982</v>
      </c>
      <c r="C32" s="14" t="s">
        <v>983</v>
      </c>
      <c r="D32" s="14" t="s">
        <v>54</v>
      </c>
      <c r="E32" s="14">
        <v>0</v>
      </c>
      <c r="F32" s="14">
        <v>0</v>
      </c>
      <c r="G32" s="14">
        <v>0</v>
      </c>
      <c r="H32" s="14">
        <v>0</v>
      </c>
      <c r="I32" s="14">
        <v>0</v>
      </c>
      <c r="J32" s="17">
        <v>33</v>
      </c>
      <c r="K32" s="14">
        <v>1</v>
      </c>
      <c r="L32" s="17">
        <v>0</v>
      </c>
      <c r="M32" s="14" t="s">
        <v>86</v>
      </c>
    </row>
    <row r="33" spans="1:13" x14ac:dyDescent="0.25">
      <c r="A33" s="14" t="s">
        <v>49</v>
      </c>
      <c r="B33" s="14" t="s">
        <v>984</v>
      </c>
      <c r="C33" s="14" t="s">
        <v>985</v>
      </c>
      <c r="D33" s="14" t="s">
        <v>65</v>
      </c>
      <c r="E33" s="14">
        <v>1</v>
      </c>
      <c r="F33" s="14">
        <v>0</v>
      </c>
      <c r="G33" s="14">
        <v>0</v>
      </c>
      <c r="H33" s="14">
        <v>0</v>
      </c>
      <c r="I33" s="14">
        <v>0</v>
      </c>
      <c r="J33" s="17">
        <v>0</v>
      </c>
      <c r="K33" s="14">
        <v>1</v>
      </c>
      <c r="L33" s="17">
        <v>0</v>
      </c>
      <c r="M33" s="14" t="s">
        <v>212</v>
      </c>
    </row>
    <row r="34" spans="1:13" x14ac:dyDescent="0.25">
      <c r="A34" s="14" t="s">
        <v>45</v>
      </c>
      <c r="B34" s="14" t="s">
        <v>986</v>
      </c>
      <c r="C34" s="14" t="s">
        <v>987</v>
      </c>
      <c r="D34" s="14" t="s">
        <v>63</v>
      </c>
      <c r="E34" s="14">
        <v>1</v>
      </c>
      <c r="F34" s="14">
        <v>0</v>
      </c>
      <c r="G34" s="14">
        <v>0</v>
      </c>
      <c r="H34" s="14">
        <v>0</v>
      </c>
      <c r="I34" s="14">
        <v>0</v>
      </c>
      <c r="J34" s="17">
        <v>0</v>
      </c>
      <c r="K34" s="14">
        <v>1</v>
      </c>
      <c r="L34" s="17">
        <v>9.2899999999999991</v>
      </c>
      <c r="M34" s="14" t="s">
        <v>86</v>
      </c>
    </row>
    <row r="35" spans="1:13" x14ac:dyDescent="0.25">
      <c r="A35" s="14" t="s">
        <v>39</v>
      </c>
      <c r="B35" s="14" t="s">
        <v>988</v>
      </c>
      <c r="C35" s="14" t="s">
        <v>989</v>
      </c>
      <c r="D35" s="14" t="s">
        <v>48</v>
      </c>
      <c r="E35" s="14">
        <v>0</v>
      </c>
      <c r="F35" s="14">
        <v>0</v>
      </c>
      <c r="G35" s="14">
        <v>0</v>
      </c>
      <c r="H35" s="14">
        <v>0</v>
      </c>
      <c r="I35" s="14">
        <v>0</v>
      </c>
      <c r="J35" s="17">
        <v>0</v>
      </c>
      <c r="K35" s="14">
        <v>1</v>
      </c>
      <c r="L35" s="17">
        <v>70.69</v>
      </c>
      <c r="M35" s="14" t="s">
        <v>86</v>
      </c>
    </row>
    <row r="36" spans="1:13" x14ac:dyDescent="0.25">
      <c r="A36" s="14" t="s">
        <v>43</v>
      </c>
      <c r="B36" s="14" t="s">
        <v>990</v>
      </c>
      <c r="C36" s="14" t="s">
        <v>991</v>
      </c>
      <c r="D36" s="14" t="s">
        <v>48</v>
      </c>
      <c r="E36" s="14">
        <v>0</v>
      </c>
      <c r="F36" s="14">
        <v>1</v>
      </c>
      <c r="G36" s="14">
        <v>0</v>
      </c>
      <c r="H36" s="14">
        <v>0</v>
      </c>
      <c r="I36" s="14">
        <v>0</v>
      </c>
      <c r="J36" s="17">
        <v>18</v>
      </c>
      <c r="K36" s="14">
        <v>1</v>
      </c>
      <c r="L36" s="17">
        <v>87.87</v>
      </c>
      <c r="M36" s="14" t="s">
        <v>86</v>
      </c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7"/>
      <c r="K37" s="14"/>
      <c r="L37" s="17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7"/>
      <c r="K38" s="14"/>
      <c r="L38" s="17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7"/>
      <c r="K39" s="14"/>
      <c r="L39" s="17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7"/>
      <c r="K40" s="14"/>
      <c r="L40" s="17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7"/>
      <c r="K41" s="14"/>
      <c r="L41" s="17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7"/>
      <c r="K42" s="14"/>
      <c r="L42" s="17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7"/>
      <c r="K43" s="14"/>
      <c r="L43" s="17"/>
      <c r="M43" s="14"/>
    </row>
  </sheetData>
  <mergeCells count="2">
    <mergeCell ref="A2:M2"/>
    <mergeCell ref="A1:M1"/>
  </mergeCells>
  <dataValidations count="1">
    <dataValidation type="list" allowBlank="1" sqref="M4:M43" xr:uid="{00000000-0002-0000-14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400-000000000000}">
          <x14:formula1>
            <xm:f>Setup!$A$5:$A$16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400-000001000000}">
          <x14:formula1>
            <xm:f>Setup!$C$5:$C$30</xm:f>
          </x14:formula1>
          <xm:sqref>D4:D43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4" t="s">
        <v>992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</row>
    <row r="2" spans="1:24" ht="21.95" customHeight="1" x14ac:dyDescent="0.25">
      <c r="A2" s="43" t="s">
        <v>19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</row>
    <row r="3" spans="1:24" x14ac:dyDescent="0.25">
      <c r="A3" s="12" t="s">
        <v>79</v>
      </c>
      <c r="B3" s="12" t="s">
        <v>80</v>
      </c>
      <c r="C3" s="12" t="s">
        <v>81</v>
      </c>
      <c r="D3" s="12" t="s">
        <v>82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83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39</v>
      </c>
      <c r="B4" s="14" t="s">
        <v>993</v>
      </c>
      <c r="C4" s="14" t="s">
        <v>994</v>
      </c>
      <c r="D4" s="14" t="s">
        <v>52</v>
      </c>
      <c r="E4" s="14">
        <v>1</v>
      </c>
      <c r="F4" s="14">
        <v>0</v>
      </c>
      <c r="G4" s="14">
        <v>0</v>
      </c>
      <c r="H4" s="14">
        <v>0</v>
      </c>
      <c r="I4" s="14">
        <v>0</v>
      </c>
      <c r="J4" s="17">
        <v>0</v>
      </c>
      <c r="K4" s="14">
        <v>1</v>
      </c>
      <c r="L4" s="17">
        <v>105.66</v>
      </c>
      <c r="M4" s="14" t="s">
        <v>86</v>
      </c>
      <c r="P4" s="14" t="str">
        <f>Setup!$A$5</f>
        <v>Expert 01</v>
      </c>
      <c r="Q4" s="14">
        <f t="shared" ref="Q4:Q15" si="0">SUMIF($A$4:$A$43,$P4,E$4:E$43)</f>
        <v>1</v>
      </c>
      <c r="R4" s="14">
        <f t="shared" ref="R4:R15" si="1">SUMIF($A$4:$A$43,$P4,F$4:F$43)</f>
        <v>1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7">
        <f t="shared" ref="V4:V15" si="5">SUMIF($A$4:$A$43,$P4,J$4:J$43)</f>
        <v>18</v>
      </c>
      <c r="W4" s="14">
        <f t="shared" ref="W4:W15" si="6">SUMIF($A$4:$A$43,$P4,K$4:K$43)</f>
        <v>2</v>
      </c>
      <c r="X4" s="17">
        <f t="shared" ref="X4:X15" si="7">SUMIF($A$4:$A$43,$P4,L$4:L$43)</f>
        <v>275.97000000000003</v>
      </c>
    </row>
    <row r="5" spans="1:24" x14ac:dyDescent="0.25">
      <c r="A5" s="14" t="s">
        <v>49</v>
      </c>
      <c r="B5" s="14" t="s">
        <v>995</v>
      </c>
      <c r="C5" s="14" t="s">
        <v>996</v>
      </c>
      <c r="D5" s="14" t="s">
        <v>46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7">
        <v>0</v>
      </c>
      <c r="K5" s="14">
        <v>1</v>
      </c>
      <c r="L5" s="17">
        <v>94.1</v>
      </c>
      <c r="M5" s="14" t="s">
        <v>86</v>
      </c>
      <c r="P5" s="14" t="str">
        <f>Setup!$A$6</f>
        <v>Expert 02</v>
      </c>
      <c r="Q5" s="14">
        <f t="shared" si="0"/>
        <v>1</v>
      </c>
      <c r="R5" s="14">
        <f t="shared" si="1"/>
        <v>2</v>
      </c>
      <c r="S5" s="14">
        <f t="shared" si="2"/>
        <v>0</v>
      </c>
      <c r="T5" s="14">
        <f t="shared" si="3"/>
        <v>0</v>
      </c>
      <c r="U5" s="14">
        <f t="shared" si="4"/>
        <v>0</v>
      </c>
      <c r="V5" s="17">
        <f t="shared" si="5"/>
        <v>0</v>
      </c>
      <c r="W5" s="14">
        <f t="shared" si="6"/>
        <v>3</v>
      </c>
      <c r="X5" s="17">
        <f t="shared" si="7"/>
        <v>173.43</v>
      </c>
    </row>
    <row r="6" spans="1:24" x14ac:dyDescent="0.25">
      <c r="A6" s="14" t="s">
        <v>41</v>
      </c>
      <c r="B6" s="14" t="s">
        <v>997</v>
      </c>
      <c r="C6" s="14" t="s">
        <v>998</v>
      </c>
      <c r="D6" s="14" t="s">
        <v>67</v>
      </c>
      <c r="E6" s="14">
        <v>0</v>
      </c>
      <c r="F6" s="14">
        <v>1</v>
      </c>
      <c r="G6" s="14">
        <v>0</v>
      </c>
      <c r="H6" s="14">
        <v>0</v>
      </c>
      <c r="I6" s="14">
        <v>0</v>
      </c>
      <c r="J6" s="17">
        <v>0</v>
      </c>
      <c r="K6" s="14">
        <v>1</v>
      </c>
      <c r="L6" s="17">
        <v>48.7</v>
      </c>
      <c r="M6" s="14" t="s">
        <v>86</v>
      </c>
      <c r="P6" s="14" t="str">
        <f>Setup!$A$7</f>
        <v>Expert 03</v>
      </c>
      <c r="Q6" s="14">
        <f t="shared" si="0"/>
        <v>2</v>
      </c>
      <c r="R6" s="14">
        <f t="shared" si="1"/>
        <v>0</v>
      </c>
      <c r="S6" s="14">
        <f t="shared" si="2"/>
        <v>0</v>
      </c>
      <c r="T6" s="14">
        <f t="shared" si="3"/>
        <v>0</v>
      </c>
      <c r="U6" s="14">
        <f t="shared" si="4"/>
        <v>1</v>
      </c>
      <c r="V6" s="17">
        <f t="shared" si="5"/>
        <v>39</v>
      </c>
      <c r="W6" s="14">
        <f t="shared" si="6"/>
        <v>2</v>
      </c>
      <c r="X6" s="17">
        <f t="shared" si="7"/>
        <v>20.350000000000001</v>
      </c>
    </row>
    <row r="7" spans="1:24" x14ac:dyDescent="0.25">
      <c r="A7" s="14" t="s">
        <v>61</v>
      </c>
      <c r="B7" s="14" t="s">
        <v>999</v>
      </c>
      <c r="C7" s="14" t="s">
        <v>1000</v>
      </c>
      <c r="D7" s="14" t="s">
        <v>56</v>
      </c>
      <c r="E7" s="14">
        <v>0</v>
      </c>
      <c r="F7" s="14">
        <v>1</v>
      </c>
      <c r="G7" s="14">
        <v>0</v>
      </c>
      <c r="H7" s="14">
        <v>0</v>
      </c>
      <c r="I7" s="14">
        <v>0</v>
      </c>
      <c r="J7" s="17">
        <v>18</v>
      </c>
      <c r="K7" s="14">
        <v>1</v>
      </c>
      <c r="L7" s="17">
        <v>0</v>
      </c>
      <c r="M7" s="14" t="s">
        <v>86</v>
      </c>
      <c r="P7" s="14" t="str">
        <f>Setup!$A$8</f>
        <v>Expert 04</v>
      </c>
      <c r="Q7" s="14">
        <f t="shared" si="0"/>
        <v>1</v>
      </c>
      <c r="R7" s="14">
        <f t="shared" si="1"/>
        <v>0</v>
      </c>
      <c r="S7" s="14">
        <f t="shared" si="2"/>
        <v>0</v>
      </c>
      <c r="T7" s="14">
        <f t="shared" si="3"/>
        <v>0</v>
      </c>
      <c r="U7" s="14">
        <f t="shared" si="4"/>
        <v>0</v>
      </c>
      <c r="V7" s="17">
        <f t="shared" si="5"/>
        <v>34</v>
      </c>
      <c r="W7" s="14">
        <f t="shared" si="6"/>
        <v>2</v>
      </c>
      <c r="X7" s="17">
        <f t="shared" si="7"/>
        <v>0</v>
      </c>
    </row>
    <row r="8" spans="1:24" x14ac:dyDescent="0.25">
      <c r="A8" s="14" t="s">
        <v>49</v>
      </c>
      <c r="B8" s="14" t="s">
        <v>1001</v>
      </c>
      <c r="C8" s="14" t="s">
        <v>1002</v>
      </c>
      <c r="D8" s="14" t="s">
        <v>76</v>
      </c>
      <c r="E8" s="14">
        <v>0</v>
      </c>
      <c r="F8" s="14">
        <v>0</v>
      </c>
      <c r="G8" s="14">
        <v>0</v>
      </c>
      <c r="H8" s="14">
        <v>1</v>
      </c>
      <c r="I8" s="14">
        <v>0</v>
      </c>
      <c r="J8" s="17">
        <v>24</v>
      </c>
      <c r="K8" s="14">
        <v>0</v>
      </c>
      <c r="L8" s="17">
        <v>0</v>
      </c>
      <c r="M8" s="14" t="s">
        <v>86</v>
      </c>
      <c r="P8" s="14" t="str">
        <f>Setup!$A$9</f>
        <v>Expert 05</v>
      </c>
      <c r="Q8" s="14">
        <f t="shared" si="0"/>
        <v>0</v>
      </c>
      <c r="R8" s="14">
        <f t="shared" si="1"/>
        <v>0</v>
      </c>
      <c r="S8" s="14">
        <f t="shared" si="2"/>
        <v>0</v>
      </c>
      <c r="T8" s="14">
        <f t="shared" si="3"/>
        <v>0</v>
      </c>
      <c r="U8" s="14">
        <f t="shared" si="4"/>
        <v>0</v>
      </c>
      <c r="V8" s="17">
        <f t="shared" si="5"/>
        <v>0</v>
      </c>
      <c r="W8" s="14">
        <f t="shared" si="6"/>
        <v>0</v>
      </c>
      <c r="X8" s="17">
        <f t="shared" si="7"/>
        <v>0</v>
      </c>
    </row>
    <row r="9" spans="1:24" x14ac:dyDescent="0.25">
      <c r="A9" s="14" t="s">
        <v>51</v>
      </c>
      <c r="B9" s="14" t="s">
        <v>1003</v>
      </c>
      <c r="C9" s="14" t="s">
        <v>1004</v>
      </c>
      <c r="D9" s="14" t="s">
        <v>48</v>
      </c>
      <c r="E9" s="14">
        <v>1</v>
      </c>
      <c r="F9" s="14">
        <v>0</v>
      </c>
      <c r="G9" s="14">
        <v>0</v>
      </c>
      <c r="H9" s="14">
        <v>0</v>
      </c>
      <c r="I9" s="14">
        <v>0</v>
      </c>
      <c r="J9" s="17">
        <v>0</v>
      </c>
      <c r="K9" s="14">
        <v>1</v>
      </c>
      <c r="L9" s="17">
        <v>20.49</v>
      </c>
      <c r="M9" s="14" t="s">
        <v>86</v>
      </c>
      <c r="P9" s="14" t="str">
        <f>Setup!$A$10</f>
        <v>Expert 06</v>
      </c>
      <c r="Q9" s="14">
        <f t="shared" si="0"/>
        <v>1</v>
      </c>
      <c r="R9" s="14">
        <f t="shared" si="1"/>
        <v>0</v>
      </c>
      <c r="S9" s="14">
        <f t="shared" si="2"/>
        <v>0</v>
      </c>
      <c r="T9" s="14">
        <f t="shared" si="3"/>
        <v>1</v>
      </c>
      <c r="U9" s="14">
        <f t="shared" si="4"/>
        <v>0</v>
      </c>
      <c r="V9" s="17">
        <f t="shared" si="5"/>
        <v>24</v>
      </c>
      <c r="W9" s="14">
        <f t="shared" si="6"/>
        <v>2</v>
      </c>
      <c r="X9" s="17">
        <f t="shared" si="7"/>
        <v>139.78</v>
      </c>
    </row>
    <row r="10" spans="1:24" x14ac:dyDescent="0.25">
      <c r="A10" s="14" t="s">
        <v>57</v>
      </c>
      <c r="B10" s="14" t="s">
        <v>1005</v>
      </c>
      <c r="C10" s="14" t="s">
        <v>1006</v>
      </c>
      <c r="D10" s="14" t="s">
        <v>46</v>
      </c>
      <c r="E10" s="14">
        <v>1</v>
      </c>
      <c r="F10" s="14">
        <v>0</v>
      </c>
      <c r="G10" s="14">
        <v>0</v>
      </c>
      <c r="H10" s="14">
        <v>0</v>
      </c>
      <c r="I10" s="14">
        <v>0</v>
      </c>
      <c r="J10" s="17">
        <v>0</v>
      </c>
      <c r="K10" s="14">
        <v>1</v>
      </c>
      <c r="L10" s="17">
        <v>0</v>
      </c>
      <c r="M10" s="14" t="s">
        <v>86</v>
      </c>
      <c r="P10" s="14" t="str">
        <f>Setup!$A$11</f>
        <v>Expert 07</v>
      </c>
      <c r="Q10" s="14">
        <f t="shared" si="0"/>
        <v>2</v>
      </c>
      <c r="R10" s="14">
        <f t="shared" si="1"/>
        <v>0</v>
      </c>
      <c r="S10" s="14">
        <f t="shared" si="2"/>
        <v>0</v>
      </c>
      <c r="T10" s="14">
        <f t="shared" si="3"/>
        <v>0</v>
      </c>
      <c r="U10" s="14">
        <f t="shared" si="4"/>
        <v>0</v>
      </c>
      <c r="V10" s="17">
        <f t="shared" si="5"/>
        <v>16</v>
      </c>
      <c r="W10" s="14">
        <f t="shared" si="6"/>
        <v>2</v>
      </c>
      <c r="X10" s="17">
        <f t="shared" si="7"/>
        <v>113.1</v>
      </c>
    </row>
    <row r="11" spans="1:24" x14ac:dyDescent="0.25">
      <c r="A11" s="14" t="s">
        <v>57</v>
      </c>
      <c r="B11" s="14" t="s">
        <v>1007</v>
      </c>
      <c r="C11" s="14" t="s">
        <v>1008</v>
      </c>
      <c r="D11" s="14" t="s">
        <v>42</v>
      </c>
      <c r="E11" s="14">
        <v>0</v>
      </c>
      <c r="F11" s="14">
        <v>1</v>
      </c>
      <c r="G11" s="14">
        <v>0</v>
      </c>
      <c r="H11" s="14">
        <v>1</v>
      </c>
      <c r="I11" s="14">
        <v>0</v>
      </c>
      <c r="J11" s="17">
        <v>15</v>
      </c>
      <c r="K11" s="14">
        <v>1</v>
      </c>
      <c r="L11" s="17">
        <v>26.23</v>
      </c>
      <c r="M11" s="14" t="s">
        <v>86</v>
      </c>
      <c r="P11" s="14" t="str">
        <f>Setup!$A$12</f>
        <v>Expert 08</v>
      </c>
      <c r="Q11" s="14">
        <f t="shared" si="0"/>
        <v>0</v>
      </c>
      <c r="R11" s="14">
        <f t="shared" si="1"/>
        <v>0</v>
      </c>
      <c r="S11" s="14">
        <f t="shared" si="2"/>
        <v>0</v>
      </c>
      <c r="T11" s="14">
        <f t="shared" si="3"/>
        <v>0</v>
      </c>
      <c r="U11" s="14">
        <f t="shared" si="4"/>
        <v>0</v>
      </c>
      <c r="V11" s="17">
        <f t="shared" si="5"/>
        <v>0</v>
      </c>
      <c r="W11" s="14">
        <f t="shared" si="6"/>
        <v>0</v>
      </c>
      <c r="X11" s="17">
        <f t="shared" si="7"/>
        <v>0</v>
      </c>
    </row>
    <row r="12" spans="1:24" x14ac:dyDescent="0.25">
      <c r="A12" s="14" t="s">
        <v>41</v>
      </c>
      <c r="B12" s="14" t="s">
        <v>1009</v>
      </c>
      <c r="C12" s="14" t="s">
        <v>1010</v>
      </c>
      <c r="D12" s="14" t="s">
        <v>65</v>
      </c>
      <c r="E12" s="14">
        <v>1</v>
      </c>
      <c r="F12" s="14">
        <v>0</v>
      </c>
      <c r="G12" s="14">
        <v>0</v>
      </c>
      <c r="H12" s="14">
        <v>0</v>
      </c>
      <c r="I12" s="14">
        <v>0</v>
      </c>
      <c r="J12" s="17">
        <v>0</v>
      </c>
      <c r="K12" s="14">
        <v>1</v>
      </c>
      <c r="L12" s="17">
        <v>118.83</v>
      </c>
      <c r="M12" s="14" t="s">
        <v>86</v>
      </c>
      <c r="P12" s="14" t="str">
        <f>Setup!$A$13</f>
        <v>Expert 09</v>
      </c>
      <c r="Q12" s="14">
        <f t="shared" si="0"/>
        <v>0</v>
      </c>
      <c r="R12" s="14">
        <f t="shared" si="1"/>
        <v>0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7">
        <f t="shared" si="5"/>
        <v>0</v>
      </c>
      <c r="W12" s="14">
        <f t="shared" si="6"/>
        <v>0</v>
      </c>
      <c r="X12" s="17">
        <f t="shared" si="7"/>
        <v>0</v>
      </c>
    </row>
    <row r="13" spans="1:24" x14ac:dyDescent="0.25">
      <c r="A13" s="14" t="s">
        <v>59</v>
      </c>
      <c r="B13" s="14" t="s">
        <v>1011</v>
      </c>
      <c r="C13" s="14" t="s">
        <v>1012</v>
      </c>
      <c r="D13" s="14" t="s">
        <v>65</v>
      </c>
      <c r="E13" s="14">
        <v>0</v>
      </c>
      <c r="F13" s="14">
        <v>1</v>
      </c>
      <c r="G13" s="14">
        <v>0</v>
      </c>
      <c r="H13" s="14">
        <v>0</v>
      </c>
      <c r="I13" s="14">
        <v>0</v>
      </c>
      <c r="J13" s="17">
        <v>0</v>
      </c>
      <c r="K13" s="14">
        <v>1</v>
      </c>
      <c r="L13" s="17">
        <v>111.89</v>
      </c>
      <c r="M13" s="14" t="s">
        <v>86</v>
      </c>
      <c r="P13" s="14" t="str">
        <f>Setup!$A$14</f>
        <v>Expert 10</v>
      </c>
      <c r="Q13" s="14">
        <f t="shared" si="0"/>
        <v>1</v>
      </c>
      <c r="R13" s="14">
        <f t="shared" si="1"/>
        <v>1</v>
      </c>
      <c r="S13" s="14">
        <f t="shared" si="2"/>
        <v>0</v>
      </c>
      <c r="T13" s="14">
        <f t="shared" si="3"/>
        <v>1</v>
      </c>
      <c r="U13" s="14">
        <f t="shared" si="4"/>
        <v>0</v>
      </c>
      <c r="V13" s="17">
        <f t="shared" si="5"/>
        <v>15</v>
      </c>
      <c r="W13" s="14">
        <f t="shared" si="6"/>
        <v>2</v>
      </c>
      <c r="X13" s="17">
        <f t="shared" si="7"/>
        <v>26.23</v>
      </c>
    </row>
    <row r="14" spans="1:24" x14ac:dyDescent="0.25">
      <c r="A14" s="14" t="s">
        <v>39</v>
      </c>
      <c r="B14" s="14" t="s">
        <v>1013</v>
      </c>
      <c r="C14" s="14" t="s">
        <v>1014</v>
      </c>
      <c r="D14" s="14" t="s">
        <v>69</v>
      </c>
      <c r="E14" s="14">
        <v>0</v>
      </c>
      <c r="F14" s="14">
        <v>1</v>
      </c>
      <c r="G14" s="14">
        <v>0</v>
      </c>
      <c r="H14" s="14">
        <v>0</v>
      </c>
      <c r="I14" s="14">
        <v>0</v>
      </c>
      <c r="J14" s="17">
        <v>18</v>
      </c>
      <c r="K14" s="14">
        <v>1</v>
      </c>
      <c r="L14" s="17">
        <v>170.31</v>
      </c>
      <c r="M14" s="14" t="s">
        <v>86</v>
      </c>
      <c r="P14" s="14" t="str">
        <f>Setup!$A$15</f>
        <v>Expert 11</v>
      </c>
      <c r="Q14" s="14">
        <f t="shared" si="0"/>
        <v>0</v>
      </c>
      <c r="R14" s="14">
        <f t="shared" si="1"/>
        <v>1</v>
      </c>
      <c r="S14" s="14">
        <f t="shared" si="2"/>
        <v>0</v>
      </c>
      <c r="T14" s="14">
        <f t="shared" si="3"/>
        <v>0</v>
      </c>
      <c r="U14" s="14">
        <f t="shared" si="4"/>
        <v>0</v>
      </c>
      <c r="V14" s="17">
        <f t="shared" si="5"/>
        <v>0</v>
      </c>
      <c r="W14" s="14">
        <f t="shared" si="6"/>
        <v>1</v>
      </c>
      <c r="X14" s="17">
        <f t="shared" si="7"/>
        <v>111.89</v>
      </c>
    </row>
    <row r="15" spans="1:24" x14ac:dyDescent="0.25">
      <c r="A15" s="14" t="s">
        <v>49</v>
      </c>
      <c r="B15" s="14" t="s">
        <v>1015</v>
      </c>
      <c r="C15" s="14" t="s">
        <v>1016</v>
      </c>
      <c r="D15" s="14" t="s">
        <v>62</v>
      </c>
      <c r="E15" s="14">
        <v>1</v>
      </c>
      <c r="F15" s="14">
        <v>0</v>
      </c>
      <c r="G15" s="14">
        <v>0</v>
      </c>
      <c r="H15" s="14">
        <v>0</v>
      </c>
      <c r="I15" s="14">
        <v>0</v>
      </c>
      <c r="J15" s="17">
        <v>0</v>
      </c>
      <c r="K15" s="14">
        <v>1</v>
      </c>
      <c r="L15" s="17">
        <v>45.68</v>
      </c>
      <c r="M15" s="14" t="s">
        <v>86</v>
      </c>
      <c r="P15" s="14" t="str">
        <f>Setup!$A$16</f>
        <v>Expert 12</v>
      </c>
      <c r="Q15" s="14">
        <f t="shared" si="0"/>
        <v>1</v>
      </c>
      <c r="R15" s="14">
        <f t="shared" si="1"/>
        <v>2</v>
      </c>
      <c r="S15" s="14">
        <f t="shared" si="2"/>
        <v>0</v>
      </c>
      <c r="T15" s="14">
        <f t="shared" si="3"/>
        <v>1</v>
      </c>
      <c r="U15" s="14">
        <f t="shared" si="4"/>
        <v>0</v>
      </c>
      <c r="V15" s="17">
        <f t="shared" si="5"/>
        <v>42</v>
      </c>
      <c r="W15" s="14">
        <f t="shared" si="6"/>
        <v>3</v>
      </c>
      <c r="X15" s="17">
        <f t="shared" si="7"/>
        <v>2.44</v>
      </c>
    </row>
    <row r="16" spans="1:24" x14ac:dyDescent="0.25">
      <c r="A16" s="14" t="s">
        <v>45</v>
      </c>
      <c r="B16" s="14" t="s">
        <v>1017</v>
      </c>
      <c r="C16" s="14" t="s">
        <v>1018</v>
      </c>
      <c r="D16" s="14" t="s">
        <v>56</v>
      </c>
      <c r="E16" s="14">
        <v>0</v>
      </c>
      <c r="F16" s="14">
        <v>0</v>
      </c>
      <c r="G16" s="14">
        <v>0</v>
      </c>
      <c r="H16" s="14">
        <v>0</v>
      </c>
      <c r="I16" s="14">
        <v>0</v>
      </c>
      <c r="J16" s="17">
        <v>18</v>
      </c>
      <c r="K16" s="14">
        <v>1</v>
      </c>
      <c r="L16" s="17">
        <v>0</v>
      </c>
      <c r="M16" s="14" t="s">
        <v>86</v>
      </c>
      <c r="P16" s="18" t="s">
        <v>111</v>
      </c>
      <c r="Q16" s="19">
        <f t="shared" ref="Q16:X16" si="8">SUM(Q4:Q15)</f>
        <v>10</v>
      </c>
      <c r="R16" s="19">
        <f t="shared" si="8"/>
        <v>7</v>
      </c>
      <c r="S16" s="19">
        <f t="shared" si="8"/>
        <v>0</v>
      </c>
      <c r="T16" s="19">
        <f t="shared" si="8"/>
        <v>3</v>
      </c>
      <c r="U16" s="19">
        <f t="shared" si="8"/>
        <v>1</v>
      </c>
      <c r="V16" s="20">
        <f t="shared" si="8"/>
        <v>188</v>
      </c>
      <c r="W16" s="19">
        <f t="shared" si="8"/>
        <v>19</v>
      </c>
      <c r="X16" s="20">
        <f t="shared" si="8"/>
        <v>863.19000000000017</v>
      </c>
    </row>
    <row r="17" spans="1:13" x14ac:dyDescent="0.25">
      <c r="A17" s="14" t="s">
        <v>43</v>
      </c>
      <c r="B17" s="14" t="s">
        <v>1019</v>
      </c>
      <c r="C17" s="14" t="s">
        <v>1020</v>
      </c>
      <c r="D17" s="14" t="s">
        <v>54</v>
      </c>
      <c r="E17" s="14">
        <v>1</v>
      </c>
      <c r="F17" s="14">
        <v>0</v>
      </c>
      <c r="G17" s="14">
        <v>0</v>
      </c>
      <c r="H17" s="14">
        <v>0</v>
      </c>
      <c r="I17" s="14">
        <v>0</v>
      </c>
      <c r="J17" s="17">
        <v>15</v>
      </c>
      <c r="K17" s="14">
        <v>1</v>
      </c>
      <c r="L17" s="17">
        <v>20.350000000000001</v>
      </c>
      <c r="M17" s="14" t="s">
        <v>86</v>
      </c>
    </row>
    <row r="18" spans="1:13" x14ac:dyDescent="0.25">
      <c r="A18" s="14" t="s">
        <v>51</v>
      </c>
      <c r="B18" s="14" t="s">
        <v>1021</v>
      </c>
      <c r="C18" s="14" t="s">
        <v>1022</v>
      </c>
      <c r="D18" s="14" t="s">
        <v>71</v>
      </c>
      <c r="E18" s="14">
        <v>1</v>
      </c>
      <c r="F18" s="14">
        <v>0</v>
      </c>
      <c r="G18" s="14">
        <v>0</v>
      </c>
      <c r="H18" s="14">
        <v>0</v>
      </c>
      <c r="I18" s="14">
        <v>0</v>
      </c>
      <c r="J18" s="17">
        <v>16</v>
      </c>
      <c r="K18" s="14">
        <v>1</v>
      </c>
      <c r="L18" s="17">
        <v>92.61</v>
      </c>
      <c r="M18" s="14" t="s">
        <v>86</v>
      </c>
    </row>
    <row r="19" spans="1:13" x14ac:dyDescent="0.25">
      <c r="A19" s="14" t="s">
        <v>45</v>
      </c>
      <c r="B19" s="14" t="s">
        <v>1023</v>
      </c>
      <c r="C19" s="14" t="s">
        <v>1024</v>
      </c>
      <c r="D19" s="14" t="s">
        <v>54</v>
      </c>
      <c r="E19" s="14">
        <v>1</v>
      </c>
      <c r="F19" s="14">
        <v>0</v>
      </c>
      <c r="G19" s="14">
        <v>0</v>
      </c>
      <c r="H19" s="14">
        <v>0</v>
      </c>
      <c r="I19" s="14">
        <v>0</v>
      </c>
      <c r="J19" s="17">
        <v>16</v>
      </c>
      <c r="K19" s="14">
        <v>1</v>
      </c>
      <c r="L19" s="17">
        <v>0</v>
      </c>
      <c r="M19" s="14" t="s">
        <v>86</v>
      </c>
    </row>
    <row r="20" spans="1:13" x14ac:dyDescent="0.25">
      <c r="A20" s="14" t="s">
        <v>43</v>
      </c>
      <c r="B20" s="14" t="s">
        <v>1025</v>
      </c>
      <c r="C20" s="14" t="s">
        <v>1026</v>
      </c>
      <c r="D20" s="14" t="s">
        <v>66</v>
      </c>
      <c r="E20" s="14">
        <v>1</v>
      </c>
      <c r="F20" s="14">
        <v>0</v>
      </c>
      <c r="G20" s="14">
        <v>0</v>
      </c>
      <c r="H20" s="14">
        <v>0</v>
      </c>
      <c r="I20" s="14">
        <v>0</v>
      </c>
      <c r="J20" s="17">
        <v>24</v>
      </c>
      <c r="K20" s="14">
        <v>1</v>
      </c>
      <c r="L20" s="17">
        <v>0</v>
      </c>
      <c r="M20" s="14" t="s">
        <v>86</v>
      </c>
    </row>
    <row r="21" spans="1:13" x14ac:dyDescent="0.25">
      <c r="A21" s="14" t="s">
        <v>61</v>
      </c>
      <c r="B21" s="14" t="s">
        <v>1027</v>
      </c>
      <c r="C21" s="14" t="s">
        <v>1028</v>
      </c>
      <c r="D21" s="14" t="s">
        <v>69</v>
      </c>
      <c r="E21" s="14">
        <v>0</v>
      </c>
      <c r="F21" s="14">
        <v>1</v>
      </c>
      <c r="G21" s="14">
        <v>0</v>
      </c>
      <c r="H21" s="14">
        <v>0</v>
      </c>
      <c r="I21" s="14">
        <v>0</v>
      </c>
      <c r="J21" s="17">
        <v>0</v>
      </c>
      <c r="K21" s="14">
        <v>1</v>
      </c>
      <c r="L21" s="17">
        <v>2.44</v>
      </c>
      <c r="M21" s="14" t="s">
        <v>86</v>
      </c>
    </row>
    <row r="22" spans="1:13" x14ac:dyDescent="0.25">
      <c r="A22" s="14" t="s">
        <v>61</v>
      </c>
      <c r="B22" s="14" t="s">
        <v>1029</v>
      </c>
      <c r="C22" s="14" t="s">
        <v>1030</v>
      </c>
      <c r="D22" s="14" t="s">
        <v>46</v>
      </c>
      <c r="E22" s="14">
        <v>1</v>
      </c>
      <c r="F22" s="14">
        <v>0</v>
      </c>
      <c r="G22" s="14">
        <v>0</v>
      </c>
      <c r="H22" s="14">
        <v>1</v>
      </c>
      <c r="I22" s="14">
        <v>0</v>
      </c>
      <c r="J22" s="17">
        <v>24</v>
      </c>
      <c r="K22" s="14">
        <v>1</v>
      </c>
      <c r="L22" s="17">
        <v>0</v>
      </c>
      <c r="M22" s="14" t="s">
        <v>86</v>
      </c>
    </row>
    <row r="23" spans="1:13" x14ac:dyDescent="0.25">
      <c r="A23" s="14" t="s">
        <v>43</v>
      </c>
      <c r="B23" s="14" t="s">
        <v>1031</v>
      </c>
      <c r="C23" s="14" t="s">
        <v>1032</v>
      </c>
      <c r="D23" s="14" t="s">
        <v>72</v>
      </c>
      <c r="E23" s="14">
        <v>0</v>
      </c>
      <c r="F23" s="14">
        <v>0</v>
      </c>
      <c r="G23" s="14">
        <v>0</v>
      </c>
      <c r="H23" s="14">
        <v>0</v>
      </c>
      <c r="I23" s="14">
        <v>1</v>
      </c>
      <c r="J23" s="17">
        <v>0</v>
      </c>
      <c r="K23" s="14">
        <v>0</v>
      </c>
      <c r="L23" s="17">
        <v>0</v>
      </c>
      <c r="M23" s="14" t="s">
        <v>86</v>
      </c>
    </row>
    <row r="24" spans="1:13" x14ac:dyDescent="0.25">
      <c r="A24" s="14" t="s">
        <v>41</v>
      </c>
      <c r="B24" s="14" t="s">
        <v>1033</v>
      </c>
      <c r="C24" s="14" t="s">
        <v>1034</v>
      </c>
      <c r="D24" s="14" t="s">
        <v>70</v>
      </c>
      <c r="E24" s="14">
        <v>0</v>
      </c>
      <c r="F24" s="14">
        <v>1</v>
      </c>
      <c r="G24" s="14">
        <v>0</v>
      </c>
      <c r="H24" s="14">
        <v>0</v>
      </c>
      <c r="I24" s="14">
        <v>0</v>
      </c>
      <c r="J24" s="17">
        <v>0</v>
      </c>
      <c r="K24" s="14">
        <v>1</v>
      </c>
      <c r="L24" s="17">
        <v>5.9</v>
      </c>
      <c r="M24" s="14" t="s">
        <v>212</v>
      </c>
    </row>
    <row r="25" spans="1:13" x14ac:dyDescent="0.25">
      <c r="A25" s="14"/>
      <c r="B25" s="14"/>
      <c r="C25" s="14"/>
      <c r="D25" s="14"/>
      <c r="E25" s="14"/>
      <c r="F25" s="14"/>
      <c r="G25" s="14"/>
      <c r="H25" s="14"/>
      <c r="I25" s="14"/>
      <c r="J25" s="17"/>
      <c r="K25" s="14"/>
      <c r="L25" s="17"/>
      <c r="M25" s="14"/>
    </row>
    <row r="26" spans="1:13" x14ac:dyDescent="0.25">
      <c r="A26" s="14"/>
      <c r="B26" s="14"/>
      <c r="C26" s="14"/>
      <c r="D26" s="14"/>
      <c r="E26" s="14"/>
      <c r="F26" s="14"/>
      <c r="G26" s="14"/>
      <c r="H26" s="14"/>
      <c r="I26" s="14"/>
      <c r="J26" s="17"/>
      <c r="K26" s="14"/>
      <c r="L26" s="17"/>
      <c r="M26" s="14"/>
    </row>
    <row r="27" spans="1:13" x14ac:dyDescent="0.25">
      <c r="A27" s="14"/>
      <c r="B27" s="14"/>
      <c r="C27" s="14"/>
      <c r="D27" s="14"/>
      <c r="E27" s="14"/>
      <c r="F27" s="14"/>
      <c r="G27" s="14"/>
      <c r="H27" s="14"/>
      <c r="I27" s="14"/>
      <c r="J27" s="17"/>
      <c r="K27" s="14"/>
      <c r="L27" s="17"/>
      <c r="M27" s="14"/>
    </row>
    <row r="28" spans="1:13" x14ac:dyDescent="0.25">
      <c r="A28" s="14"/>
      <c r="B28" s="14"/>
      <c r="C28" s="14"/>
      <c r="D28" s="14"/>
      <c r="E28" s="14"/>
      <c r="F28" s="14"/>
      <c r="G28" s="14"/>
      <c r="H28" s="14"/>
      <c r="I28" s="14"/>
      <c r="J28" s="17"/>
      <c r="K28" s="14"/>
      <c r="L28" s="17"/>
      <c r="M28" s="14"/>
    </row>
    <row r="29" spans="1:13" x14ac:dyDescent="0.25">
      <c r="A29" s="14"/>
      <c r="B29" s="14"/>
      <c r="C29" s="14"/>
      <c r="D29" s="14"/>
      <c r="E29" s="14"/>
      <c r="F29" s="14"/>
      <c r="G29" s="14"/>
      <c r="H29" s="14"/>
      <c r="I29" s="14"/>
      <c r="J29" s="17"/>
      <c r="K29" s="14"/>
      <c r="L29" s="17"/>
      <c r="M29" s="14"/>
    </row>
    <row r="30" spans="1:13" x14ac:dyDescent="0.25">
      <c r="A30" s="14"/>
      <c r="B30" s="14"/>
      <c r="C30" s="14"/>
      <c r="D30" s="14"/>
      <c r="E30" s="14"/>
      <c r="F30" s="14"/>
      <c r="G30" s="14"/>
      <c r="H30" s="14"/>
      <c r="I30" s="14"/>
      <c r="J30" s="17"/>
      <c r="K30" s="14"/>
      <c r="L30" s="17"/>
      <c r="M30" s="14"/>
    </row>
    <row r="31" spans="1:13" x14ac:dyDescent="0.25">
      <c r="A31" s="14"/>
      <c r="B31" s="14"/>
      <c r="C31" s="14"/>
      <c r="D31" s="14"/>
      <c r="E31" s="14"/>
      <c r="F31" s="14"/>
      <c r="G31" s="14"/>
      <c r="H31" s="14"/>
      <c r="I31" s="14"/>
      <c r="J31" s="17"/>
      <c r="K31" s="14"/>
      <c r="L31" s="17"/>
      <c r="M31" s="14"/>
    </row>
    <row r="32" spans="1:13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7"/>
      <c r="K32" s="14"/>
      <c r="L32" s="17"/>
      <c r="M32" s="14"/>
    </row>
    <row r="33" spans="1:13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7"/>
      <c r="K33" s="14"/>
      <c r="L33" s="17"/>
      <c r="M33" s="14"/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7"/>
      <c r="K34" s="14"/>
      <c r="L34" s="17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7"/>
      <c r="K35" s="14"/>
      <c r="L35" s="17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7"/>
      <c r="K36" s="14"/>
      <c r="L36" s="17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7"/>
      <c r="K37" s="14"/>
      <c r="L37" s="17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7"/>
      <c r="K38" s="14"/>
      <c r="L38" s="17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7"/>
      <c r="K39" s="14"/>
      <c r="L39" s="17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7"/>
      <c r="K40" s="14"/>
      <c r="L40" s="17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7"/>
      <c r="K41" s="14"/>
      <c r="L41" s="17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7"/>
      <c r="K42" s="14"/>
      <c r="L42" s="17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7"/>
      <c r="K43" s="14"/>
      <c r="L43" s="17"/>
      <c r="M43" s="14"/>
    </row>
  </sheetData>
  <mergeCells count="2">
    <mergeCell ref="A2:M2"/>
    <mergeCell ref="A1:M1"/>
  </mergeCells>
  <dataValidations count="1">
    <dataValidation type="list" allowBlank="1" sqref="M4:M43" xr:uid="{00000000-0002-0000-15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500-000000000000}">
          <x14:formula1>
            <xm:f>Setup!$A$5:$A$16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500-000001000000}">
          <x14:formula1>
            <xm:f>Setup!$C$5:$C$30</xm:f>
          </x14:formula1>
          <xm:sqref>D4:D43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4" t="s">
        <v>1035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</row>
    <row r="2" spans="1:24" ht="21.95" customHeight="1" x14ac:dyDescent="0.25">
      <c r="A2" s="43" t="s">
        <v>19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</row>
    <row r="3" spans="1:24" x14ac:dyDescent="0.25">
      <c r="A3" s="12" t="s">
        <v>79</v>
      </c>
      <c r="B3" s="12" t="s">
        <v>80</v>
      </c>
      <c r="C3" s="12" t="s">
        <v>81</v>
      </c>
      <c r="D3" s="12" t="s">
        <v>82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83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45</v>
      </c>
      <c r="B4" s="14" t="s">
        <v>1036</v>
      </c>
      <c r="C4" s="14" t="s">
        <v>1037</v>
      </c>
      <c r="D4" s="14" t="s">
        <v>69</v>
      </c>
      <c r="E4" s="14">
        <v>1</v>
      </c>
      <c r="F4" s="14">
        <v>0</v>
      </c>
      <c r="G4" s="14">
        <v>0</v>
      </c>
      <c r="H4" s="14">
        <v>0</v>
      </c>
      <c r="I4" s="14">
        <v>0</v>
      </c>
      <c r="J4" s="17">
        <v>0</v>
      </c>
      <c r="K4" s="14">
        <v>1</v>
      </c>
      <c r="L4" s="17">
        <v>29.09</v>
      </c>
      <c r="M4" s="14" t="s">
        <v>86</v>
      </c>
      <c r="P4" s="14" t="str">
        <f>Setup!$A$5</f>
        <v>Expert 01</v>
      </c>
      <c r="Q4" s="14">
        <f t="shared" ref="Q4:Q15" si="0">SUMIF($A$4:$A$43,$P4,E$4:E$43)</f>
        <v>2</v>
      </c>
      <c r="R4" s="14">
        <f t="shared" ref="R4:R15" si="1">SUMIF($A$4:$A$43,$P4,F$4:F$43)</f>
        <v>0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7">
        <f t="shared" ref="V4:V15" si="5">SUMIF($A$4:$A$43,$P4,J$4:J$43)</f>
        <v>24</v>
      </c>
      <c r="W4" s="14">
        <f t="shared" ref="W4:W15" si="6">SUMIF($A$4:$A$43,$P4,K$4:K$43)</f>
        <v>3</v>
      </c>
      <c r="X4" s="17">
        <f t="shared" ref="X4:X15" si="7">SUMIF($A$4:$A$43,$P4,L$4:L$43)</f>
        <v>130.69</v>
      </c>
    </row>
    <row r="5" spans="1:24" x14ac:dyDescent="0.25">
      <c r="A5" s="14" t="s">
        <v>57</v>
      </c>
      <c r="B5" s="14" t="s">
        <v>1038</v>
      </c>
      <c r="C5" s="14" t="s">
        <v>1039</v>
      </c>
      <c r="D5" s="14" t="s">
        <v>73</v>
      </c>
      <c r="E5" s="14">
        <v>0</v>
      </c>
      <c r="F5" s="14">
        <v>0</v>
      </c>
      <c r="G5" s="14">
        <v>0</v>
      </c>
      <c r="H5" s="14">
        <v>0</v>
      </c>
      <c r="I5" s="14">
        <v>1</v>
      </c>
      <c r="J5" s="17">
        <v>33</v>
      </c>
      <c r="K5" s="14">
        <v>0</v>
      </c>
      <c r="L5" s="17">
        <v>0</v>
      </c>
      <c r="M5" s="14" t="s">
        <v>86</v>
      </c>
      <c r="P5" s="14" t="str">
        <f>Setup!$A$6</f>
        <v>Expert 02</v>
      </c>
      <c r="Q5" s="14">
        <f t="shared" si="0"/>
        <v>0</v>
      </c>
      <c r="R5" s="14">
        <f t="shared" si="1"/>
        <v>1</v>
      </c>
      <c r="S5" s="14">
        <f t="shared" si="2"/>
        <v>0</v>
      </c>
      <c r="T5" s="14">
        <f t="shared" si="3"/>
        <v>0</v>
      </c>
      <c r="U5" s="14">
        <f t="shared" si="4"/>
        <v>0</v>
      </c>
      <c r="V5" s="17">
        <f t="shared" si="5"/>
        <v>33</v>
      </c>
      <c r="W5" s="14">
        <f t="shared" si="6"/>
        <v>1</v>
      </c>
      <c r="X5" s="17">
        <f t="shared" si="7"/>
        <v>157.65</v>
      </c>
    </row>
    <row r="6" spans="1:24" x14ac:dyDescent="0.25">
      <c r="A6" s="14" t="s">
        <v>51</v>
      </c>
      <c r="B6" s="14" t="s">
        <v>1040</v>
      </c>
      <c r="C6" s="14" t="s">
        <v>1041</v>
      </c>
      <c r="D6" s="14" t="s">
        <v>76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7">
        <v>0</v>
      </c>
      <c r="K6" s="14">
        <v>0</v>
      </c>
      <c r="L6" s="17">
        <v>0</v>
      </c>
      <c r="M6" s="14" t="s">
        <v>86</v>
      </c>
      <c r="P6" s="14" t="str">
        <f>Setup!$A$7</f>
        <v>Expert 03</v>
      </c>
      <c r="Q6" s="14">
        <f t="shared" si="0"/>
        <v>0</v>
      </c>
      <c r="R6" s="14">
        <f t="shared" si="1"/>
        <v>0</v>
      </c>
      <c r="S6" s="14">
        <f t="shared" si="2"/>
        <v>0</v>
      </c>
      <c r="T6" s="14">
        <f t="shared" si="3"/>
        <v>0</v>
      </c>
      <c r="U6" s="14">
        <f t="shared" si="4"/>
        <v>0</v>
      </c>
      <c r="V6" s="17">
        <f t="shared" si="5"/>
        <v>24</v>
      </c>
      <c r="W6" s="14">
        <f t="shared" si="6"/>
        <v>0</v>
      </c>
      <c r="X6" s="17">
        <f t="shared" si="7"/>
        <v>96.82</v>
      </c>
    </row>
    <row r="7" spans="1:24" x14ac:dyDescent="0.25">
      <c r="A7" s="14" t="s">
        <v>39</v>
      </c>
      <c r="B7" s="14" t="s">
        <v>1042</v>
      </c>
      <c r="C7" s="14" t="s">
        <v>1043</v>
      </c>
      <c r="D7" s="14" t="s">
        <v>65</v>
      </c>
      <c r="E7" s="14">
        <v>1</v>
      </c>
      <c r="F7" s="14">
        <v>0</v>
      </c>
      <c r="G7" s="14">
        <v>0</v>
      </c>
      <c r="H7" s="14">
        <v>0</v>
      </c>
      <c r="I7" s="14">
        <v>0</v>
      </c>
      <c r="J7" s="17">
        <v>24</v>
      </c>
      <c r="K7" s="14">
        <v>1</v>
      </c>
      <c r="L7" s="17">
        <v>0</v>
      </c>
      <c r="M7" s="14" t="s">
        <v>86</v>
      </c>
      <c r="P7" s="14" t="str">
        <f>Setup!$A$8</f>
        <v>Expert 04</v>
      </c>
      <c r="Q7" s="14">
        <f t="shared" si="0"/>
        <v>2</v>
      </c>
      <c r="R7" s="14">
        <f t="shared" si="1"/>
        <v>0</v>
      </c>
      <c r="S7" s="14">
        <f t="shared" si="2"/>
        <v>1</v>
      </c>
      <c r="T7" s="14">
        <f t="shared" si="3"/>
        <v>0</v>
      </c>
      <c r="U7" s="14">
        <f t="shared" si="4"/>
        <v>0</v>
      </c>
      <c r="V7" s="17">
        <f t="shared" si="5"/>
        <v>0</v>
      </c>
      <c r="W7" s="14">
        <f t="shared" si="6"/>
        <v>2</v>
      </c>
      <c r="X7" s="17">
        <f t="shared" si="7"/>
        <v>178.78</v>
      </c>
    </row>
    <row r="8" spans="1:24" x14ac:dyDescent="0.25">
      <c r="A8" s="14" t="s">
        <v>59</v>
      </c>
      <c r="B8" s="14" t="s">
        <v>1044</v>
      </c>
      <c r="C8" s="14" t="s">
        <v>1045</v>
      </c>
      <c r="D8" s="14" t="s">
        <v>50</v>
      </c>
      <c r="E8" s="14">
        <v>1</v>
      </c>
      <c r="F8" s="14">
        <v>0</v>
      </c>
      <c r="G8" s="14">
        <v>0</v>
      </c>
      <c r="H8" s="14">
        <v>0</v>
      </c>
      <c r="I8" s="14">
        <v>0</v>
      </c>
      <c r="J8" s="17">
        <v>15</v>
      </c>
      <c r="K8" s="14">
        <v>1</v>
      </c>
      <c r="L8" s="17">
        <v>27.98</v>
      </c>
      <c r="M8" s="14" t="s">
        <v>86</v>
      </c>
      <c r="P8" s="14" t="str">
        <f>Setup!$A$9</f>
        <v>Expert 05</v>
      </c>
      <c r="Q8" s="14">
        <f t="shared" si="0"/>
        <v>1</v>
      </c>
      <c r="R8" s="14">
        <f t="shared" si="1"/>
        <v>0</v>
      </c>
      <c r="S8" s="14">
        <f t="shared" si="2"/>
        <v>0</v>
      </c>
      <c r="T8" s="14">
        <f t="shared" si="3"/>
        <v>0</v>
      </c>
      <c r="U8" s="14">
        <f t="shared" si="4"/>
        <v>0</v>
      </c>
      <c r="V8" s="17">
        <f t="shared" si="5"/>
        <v>0</v>
      </c>
      <c r="W8" s="14">
        <f t="shared" si="6"/>
        <v>1</v>
      </c>
      <c r="X8" s="17">
        <f t="shared" si="7"/>
        <v>0</v>
      </c>
    </row>
    <row r="9" spans="1:24" x14ac:dyDescent="0.25">
      <c r="A9" s="14" t="s">
        <v>57</v>
      </c>
      <c r="B9" s="14" t="s">
        <v>1046</v>
      </c>
      <c r="C9" s="14" t="s">
        <v>1047</v>
      </c>
      <c r="D9" s="14" t="s">
        <v>64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7">
        <v>18</v>
      </c>
      <c r="K9" s="14">
        <v>1</v>
      </c>
      <c r="L9" s="17">
        <v>128.72999999999999</v>
      </c>
      <c r="M9" s="14" t="s">
        <v>86</v>
      </c>
      <c r="P9" s="14" t="str">
        <f>Setup!$A$10</f>
        <v>Expert 06</v>
      </c>
      <c r="Q9" s="14">
        <f t="shared" si="0"/>
        <v>3</v>
      </c>
      <c r="R9" s="14">
        <f t="shared" si="1"/>
        <v>0</v>
      </c>
      <c r="S9" s="14">
        <f t="shared" si="2"/>
        <v>0</v>
      </c>
      <c r="T9" s="14">
        <f t="shared" si="3"/>
        <v>0</v>
      </c>
      <c r="U9" s="14">
        <f t="shared" si="4"/>
        <v>0</v>
      </c>
      <c r="V9" s="17">
        <f t="shared" si="5"/>
        <v>15</v>
      </c>
      <c r="W9" s="14">
        <f t="shared" si="6"/>
        <v>3</v>
      </c>
      <c r="X9" s="17">
        <f t="shared" si="7"/>
        <v>204.11</v>
      </c>
    </row>
    <row r="10" spans="1:24" x14ac:dyDescent="0.25">
      <c r="A10" s="14" t="s">
        <v>59</v>
      </c>
      <c r="B10" s="14" t="s">
        <v>1048</v>
      </c>
      <c r="C10" s="14" t="s">
        <v>1049</v>
      </c>
      <c r="D10" s="14" t="s">
        <v>56</v>
      </c>
      <c r="E10" s="14">
        <v>0</v>
      </c>
      <c r="F10" s="14">
        <v>0</v>
      </c>
      <c r="G10" s="14">
        <v>0</v>
      </c>
      <c r="H10" s="14">
        <v>1</v>
      </c>
      <c r="I10" s="14">
        <v>0</v>
      </c>
      <c r="J10" s="17">
        <v>0</v>
      </c>
      <c r="K10" s="14">
        <v>1</v>
      </c>
      <c r="L10" s="17">
        <v>0</v>
      </c>
      <c r="M10" s="14" t="s">
        <v>86</v>
      </c>
      <c r="P10" s="14" t="str">
        <f>Setup!$A$11</f>
        <v>Expert 07</v>
      </c>
      <c r="Q10" s="14">
        <f t="shared" si="0"/>
        <v>1</v>
      </c>
      <c r="R10" s="14">
        <f t="shared" si="1"/>
        <v>0</v>
      </c>
      <c r="S10" s="14">
        <f t="shared" si="2"/>
        <v>0</v>
      </c>
      <c r="T10" s="14">
        <f t="shared" si="3"/>
        <v>0</v>
      </c>
      <c r="U10" s="14">
        <f t="shared" si="4"/>
        <v>0</v>
      </c>
      <c r="V10" s="17">
        <f t="shared" si="5"/>
        <v>16</v>
      </c>
      <c r="W10" s="14">
        <f t="shared" si="6"/>
        <v>1</v>
      </c>
      <c r="X10" s="17">
        <f t="shared" si="7"/>
        <v>0</v>
      </c>
    </row>
    <row r="11" spans="1:24" x14ac:dyDescent="0.25">
      <c r="A11" s="14" t="s">
        <v>41</v>
      </c>
      <c r="B11" s="14" t="s">
        <v>1050</v>
      </c>
      <c r="C11" s="14" t="s">
        <v>1051</v>
      </c>
      <c r="D11" s="14" t="s">
        <v>40</v>
      </c>
      <c r="E11" s="14">
        <v>0</v>
      </c>
      <c r="F11" s="14">
        <v>1</v>
      </c>
      <c r="G11" s="14">
        <v>0</v>
      </c>
      <c r="H11" s="14">
        <v>0</v>
      </c>
      <c r="I11" s="14">
        <v>0</v>
      </c>
      <c r="J11" s="17">
        <v>33</v>
      </c>
      <c r="K11" s="14">
        <v>1</v>
      </c>
      <c r="L11" s="17">
        <v>157.65</v>
      </c>
      <c r="M11" s="14" t="s">
        <v>86</v>
      </c>
      <c r="P11" s="14" t="str">
        <f>Setup!$A$12</f>
        <v>Expert 08</v>
      </c>
      <c r="Q11" s="14">
        <f t="shared" si="0"/>
        <v>2</v>
      </c>
      <c r="R11" s="14">
        <f t="shared" si="1"/>
        <v>0</v>
      </c>
      <c r="S11" s="14">
        <f t="shared" si="2"/>
        <v>0</v>
      </c>
      <c r="T11" s="14">
        <f t="shared" si="3"/>
        <v>0</v>
      </c>
      <c r="U11" s="14">
        <f t="shared" si="4"/>
        <v>0</v>
      </c>
      <c r="V11" s="17">
        <f t="shared" si="5"/>
        <v>24</v>
      </c>
      <c r="W11" s="14">
        <f t="shared" si="6"/>
        <v>2</v>
      </c>
      <c r="X11" s="17">
        <f t="shared" si="7"/>
        <v>231.32</v>
      </c>
    </row>
    <row r="12" spans="1:24" x14ac:dyDescent="0.25">
      <c r="A12" s="14" t="s">
        <v>49</v>
      </c>
      <c r="B12" s="14" t="s">
        <v>1052</v>
      </c>
      <c r="C12" s="14" t="s">
        <v>1053</v>
      </c>
      <c r="D12" s="14" t="s">
        <v>42</v>
      </c>
      <c r="E12" s="14">
        <v>1</v>
      </c>
      <c r="F12" s="14">
        <v>0</v>
      </c>
      <c r="G12" s="14">
        <v>0</v>
      </c>
      <c r="H12" s="14">
        <v>0</v>
      </c>
      <c r="I12" s="14">
        <v>0</v>
      </c>
      <c r="J12" s="17">
        <v>0</v>
      </c>
      <c r="K12" s="14">
        <v>1</v>
      </c>
      <c r="L12" s="17">
        <v>0</v>
      </c>
      <c r="M12" s="14" t="s">
        <v>86</v>
      </c>
      <c r="P12" s="14" t="str">
        <f>Setup!$A$13</f>
        <v>Expert 09</v>
      </c>
      <c r="Q12" s="14">
        <f t="shared" si="0"/>
        <v>0</v>
      </c>
      <c r="R12" s="14">
        <f t="shared" si="1"/>
        <v>0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7">
        <f t="shared" si="5"/>
        <v>0</v>
      </c>
      <c r="W12" s="14">
        <f t="shared" si="6"/>
        <v>0</v>
      </c>
      <c r="X12" s="17">
        <f t="shared" si="7"/>
        <v>0</v>
      </c>
    </row>
    <row r="13" spans="1:24" x14ac:dyDescent="0.25">
      <c r="A13" s="14" t="s">
        <v>39</v>
      </c>
      <c r="B13" s="14" t="s">
        <v>1054</v>
      </c>
      <c r="C13" s="14" t="s">
        <v>1055</v>
      </c>
      <c r="D13" s="14" t="s">
        <v>52</v>
      </c>
      <c r="E13" s="14">
        <v>1</v>
      </c>
      <c r="F13" s="14">
        <v>0</v>
      </c>
      <c r="G13" s="14">
        <v>0</v>
      </c>
      <c r="H13" s="14">
        <v>0</v>
      </c>
      <c r="I13" s="14">
        <v>0</v>
      </c>
      <c r="J13" s="17">
        <v>0</v>
      </c>
      <c r="K13" s="14">
        <v>1</v>
      </c>
      <c r="L13" s="17">
        <v>0</v>
      </c>
      <c r="M13" s="14" t="s">
        <v>86</v>
      </c>
      <c r="P13" s="14" t="str">
        <f>Setup!$A$14</f>
        <v>Expert 10</v>
      </c>
      <c r="Q13" s="14">
        <f t="shared" si="0"/>
        <v>0</v>
      </c>
      <c r="R13" s="14">
        <f t="shared" si="1"/>
        <v>0</v>
      </c>
      <c r="S13" s="14">
        <f t="shared" si="2"/>
        <v>0</v>
      </c>
      <c r="T13" s="14">
        <f t="shared" si="3"/>
        <v>0</v>
      </c>
      <c r="U13" s="14">
        <f t="shared" si="4"/>
        <v>1</v>
      </c>
      <c r="V13" s="17">
        <f t="shared" si="5"/>
        <v>51</v>
      </c>
      <c r="W13" s="14">
        <f t="shared" si="6"/>
        <v>1</v>
      </c>
      <c r="X13" s="17">
        <f t="shared" si="7"/>
        <v>128.72999999999999</v>
      </c>
    </row>
    <row r="14" spans="1:24" x14ac:dyDescent="0.25">
      <c r="A14" s="14" t="s">
        <v>43</v>
      </c>
      <c r="B14" s="14" t="s">
        <v>1056</v>
      </c>
      <c r="C14" s="14" t="s">
        <v>1057</v>
      </c>
      <c r="D14" s="14" t="s">
        <v>75</v>
      </c>
      <c r="E14" s="14">
        <v>0</v>
      </c>
      <c r="F14" s="14">
        <v>0</v>
      </c>
      <c r="G14" s="14">
        <v>0</v>
      </c>
      <c r="H14" s="14">
        <v>0</v>
      </c>
      <c r="I14" s="14">
        <v>0</v>
      </c>
      <c r="J14" s="17">
        <v>24</v>
      </c>
      <c r="K14" s="14">
        <v>0</v>
      </c>
      <c r="L14" s="17">
        <v>96.82</v>
      </c>
      <c r="M14" s="14" t="s">
        <v>86</v>
      </c>
      <c r="P14" s="14" t="str">
        <f>Setup!$A$15</f>
        <v>Expert 11</v>
      </c>
      <c r="Q14" s="14">
        <f t="shared" si="0"/>
        <v>1</v>
      </c>
      <c r="R14" s="14">
        <f t="shared" si="1"/>
        <v>0</v>
      </c>
      <c r="S14" s="14">
        <f t="shared" si="2"/>
        <v>0</v>
      </c>
      <c r="T14" s="14">
        <f t="shared" si="3"/>
        <v>1</v>
      </c>
      <c r="U14" s="14">
        <f t="shared" si="4"/>
        <v>0</v>
      </c>
      <c r="V14" s="17">
        <f t="shared" si="5"/>
        <v>39</v>
      </c>
      <c r="W14" s="14">
        <f t="shared" si="6"/>
        <v>3</v>
      </c>
      <c r="X14" s="17">
        <f t="shared" si="7"/>
        <v>27.98</v>
      </c>
    </row>
    <row r="15" spans="1:24" x14ac:dyDescent="0.25">
      <c r="A15" s="14" t="s">
        <v>49</v>
      </c>
      <c r="B15" s="14" t="s">
        <v>1058</v>
      </c>
      <c r="C15" s="14" t="s">
        <v>1059</v>
      </c>
      <c r="D15" s="14" t="s">
        <v>67</v>
      </c>
      <c r="E15" s="14">
        <v>1</v>
      </c>
      <c r="F15" s="14">
        <v>0</v>
      </c>
      <c r="G15" s="14">
        <v>0</v>
      </c>
      <c r="H15" s="14">
        <v>0</v>
      </c>
      <c r="I15" s="14">
        <v>0</v>
      </c>
      <c r="J15" s="17">
        <v>0</v>
      </c>
      <c r="K15" s="14">
        <v>1</v>
      </c>
      <c r="L15" s="17">
        <v>43.71</v>
      </c>
      <c r="M15" s="14" t="s">
        <v>86</v>
      </c>
      <c r="P15" s="14" t="str">
        <f>Setup!$A$16</f>
        <v>Expert 12</v>
      </c>
      <c r="Q15" s="14">
        <f t="shared" si="0"/>
        <v>1</v>
      </c>
      <c r="R15" s="14">
        <f t="shared" si="1"/>
        <v>1</v>
      </c>
      <c r="S15" s="14">
        <f t="shared" si="2"/>
        <v>0</v>
      </c>
      <c r="T15" s="14">
        <f t="shared" si="3"/>
        <v>0</v>
      </c>
      <c r="U15" s="14">
        <f t="shared" si="4"/>
        <v>0</v>
      </c>
      <c r="V15" s="17">
        <f t="shared" si="5"/>
        <v>18</v>
      </c>
      <c r="W15" s="14">
        <f t="shared" si="6"/>
        <v>2</v>
      </c>
      <c r="X15" s="17">
        <f t="shared" si="7"/>
        <v>152.80000000000001</v>
      </c>
    </row>
    <row r="16" spans="1:24" x14ac:dyDescent="0.25">
      <c r="A16" s="14" t="s">
        <v>39</v>
      </c>
      <c r="B16" s="14" t="s">
        <v>1060</v>
      </c>
      <c r="C16" s="14" t="s">
        <v>1061</v>
      </c>
      <c r="D16" s="14" t="s">
        <v>63</v>
      </c>
      <c r="E16" s="14">
        <v>0</v>
      </c>
      <c r="F16" s="14">
        <v>0</v>
      </c>
      <c r="G16" s="14">
        <v>0</v>
      </c>
      <c r="H16" s="14">
        <v>0</v>
      </c>
      <c r="I16" s="14">
        <v>0</v>
      </c>
      <c r="J16" s="17">
        <v>0</v>
      </c>
      <c r="K16" s="14">
        <v>1</v>
      </c>
      <c r="L16" s="17">
        <v>130.69</v>
      </c>
      <c r="M16" s="14" t="s">
        <v>86</v>
      </c>
      <c r="P16" s="18" t="s">
        <v>111</v>
      </c>
      <c r="Q16" s="19">
        <f t="shared" ref="Q16:X16" si="8">SUM(Q4:Q15)</f>
        <v>13</v>
      </c>
      <c r="R16" s="19">
        <f t="shared" si="8"/>
        <v>2</v>
      </c>
      <c r="S16" s="19">
        <f t="shared" si="8"/>
        <v>1</v>
      </c>
      <c r="T16" s="19">
        <f t="shared" si="8"/>
        <v>1</v>
      </c>
      <c r="U16" s="19">
        <f t="shared" si="8"/>
        <v>1</v>
      </c>
      <c r="V16" s="20">
        <f t="shared" si="8"/>
        <v>244</v>
      </c>
      <c r="W16" s="19">
        <f t="shared" si="8"/>
        <v>19</v>
      </c>
      <c r="X16" s="20">
        <f t="shared" si="8"/>
        <v>1308.8800000000001</v>
      </c>
    </row>
    <row r="17" spans="1:13" x14ac:dyDescent="0.25">
      <c r="A17" s="14" t="s">
        <v>47</v>
      </c>
      <c r="B17" s="14" t="s">
        <v>1062</v>
      </c>
      <c r="C17" s="14" t="s">
        <v>1063</v>
      </c>
      <c r="D17" s="14" t="s">
        <v>62</v>
      </c>
      <c r="E17" s="14">
        <v>1</v>
      </c>
      <c r="F17" s="14">
        <v>0</v>
      </c>
      <c r="G17" s="14">
        <v>0</v>
      </c>
      <c r="H17" s="14">
        <v>0</v>
      </c>
      <c r="I17" s="14">
        <v>0</v>
      </c>
      <c r="J17" s="17">
        <v>0</v>
      </c>
      <c r="K17" s="14">
        <v>1</v>
      </c>
      <c r="L17" s="17">
        <v>0</v>
      </c>
      <c r="M17" s="14" t="s">
        <v>86</v>
      </c>
    </row>
    <row r="18" spans="1:13" x14ac:dyDescent="0.25">
      <c r="A18" s="14" t="s">
        <v>53</v>
      </c>
      <c r="B18" s="14" t="s">
        <v>1064</v>
      </c>
      <c r="C18" s="14" t="s">
        <v>1065</v>
      </c>
      <c r="D18" s="14" t="s">
        <v>42</v>
      </c>
      <c r="E18" s="14">
        <v>1</v>
      </c>
      <c r="F18" s="14">
        <v>0</v>
      </c>
      <c r="G18" s="14">
        <v>0</v>
      </c>
      <c r="H18" s="14">
        <v>0</v>
      </c>
      <c r="I18" s="14">
        <v>0</v>
      </c>
      <c r="J18" s="17">
        <v>24</v>
      </c>
      <c r="K18" s="14">
        <v>1</v>
      </c>
      <c r="L18" s="17">
        <v>74.239999999999995</v>
      </c>
      <c r="M18" s="14" t="s">
        <v>86</v>
      </c>
    </row>
    <row r="19" spans="1:13" x14ac:dyDescent="0.25">
      <c r="A19" s="14" t="s">
        <v>49</v>
      </c>
      <c r="B19" s="14" t="s">
        <v>1066</v>
      </c>
      <c r="C19" s="14" t="s">
        <v>1067</v>
      </c>
      <c r="D19" s="14" t="s">
        <v>71</v>
      </c>
      <c r="E19" s="14">
        <v>1</v>
      </c>
      <c r="F19" s="14">
        <v>0</v>
      </c>
      <c r="G19" s="14">
        <v>0</v>
      </c>
      <c r="H19" s="14">
        <v>0</v>
      </c>
      <c r="I19" s="14">
        <v>0</v>
      </c>
      <c r="J19" s="17">
        <v>15</v>
      </c>
      <c r="K19" s="14">
        <v>1</v>
      </c>
      <c r="L19" s="17">
        <v>160.4</v>
      </c>
      <c r="M19" s="14" t="s">
        <v>212</v>
      </c>
    </row>
    <row r="20" spans="1:13" x14ac:dyDescent="0.25">
      <c r="A20" s="14" t="s">
        <v>61</v>
      </c>
      <c r="B20" s="14" t="s">
        <v>1068</v>
      </c>
      <c r="C20" s="14" t="s">
        <v>1069</v>
      </c>
      <c r="D20" s="14" t="s">
        <v>76</v>
      </c>
      <c r="E20" s="14">
        <v>0</v>
      </c>
      <c r="F20" s="14">
        <v>0</v>
      </c>
      <c r="G20" s="14">
        <v>0</v>
      </c>
      <c r="H20" s="14">
        <v>0</v>
      </c>
      <c r="I20" s="14">
        <v>0</v>
      </c>
      <c r="J20" s="17">
        <v>0</v>
      </c>
      <c r="K20" s="14">
        <v>0</v>
      </c>
      <c r="L20" s="17">
        <v>0</v>
      </c>
      <c r="M20" s="14" t="s">
        <v>86</v>
      </c>
    </row>
    <row r="21" spans="1:13" x14ac:dyDescent="0.25">
      <c r="A21" s="14" t="s">
        <v>59</v>
      </c>
      <c r="B21" s="14" t="s">
        <v>1070</v>
      </c>
      <c r="C21" s="14" t="s">
        <v>1071</v>
      </c>
      <c r="D21" s="14" t="s">
        <v>54</v>
      </c>
      <c r="E21" s="14">
        <v>0</v>
      </c>
      <c r="F21" s="14">
        <v>0</v>
      </c>
      <c r="G21" s="14">
        <v>0</v>
      </c>
      <c r="H21" s="14">
        <v>0</v>
      </c>
      <c r="I21" s="14">
        <v>0</v>
      </c>
      <c r="J21" s="17">
        <v>24</v>
      </c>
      <c r="K21" s="14">
        <v>1</v>
      </c>
      <c r="L21" s="17">
        <v>0</v>
      </c>
      <c r="M21" s="14" t="s">
        <v>86</v>
      </c>
    </row>
    <row r="22" spans="1:13" x14ac:dyDescent="0.25">
      <c r="A22" s="14" t="s">
        <v>53</v>
      </c>
      <c r="B22" s="14" t="s">
        <v>1072</v>
      </c>
      <c r="C22" s="14" t="s">
        <v>1073</v>
      </c>
      <c r="D22" s="14" t="s">
        <v>48</v>
      </c>
      <c r="E22" s="14">
        <v>1</v>
      </c>
      <c r="F22" s="14">
        <v>0</v>
      </c>
      <c r="G22" s="14">
        <v>0</v>
      </c>
      <c r="H22" s="14">
        <v>0</v>
      </c>
      <c r="I22" s="14">
        <v>0</v>
      </c>
      <c r="J22" s="17">
        <v>0</v>
      </c>
      <c r="K22" s="14">
        <v>1</v>
      </c>
      <c r="L22" s="17">
        <v>157.08000000000001</v>
      </c>
      <c r="M22" s="14" t="s">
        <v>86</v>
      </c>
    </row>
    <row r="23" spans="1:13" x14ac:dyDescent="0.25">
      <c r="A23" s="14" t="s">
        <v>61</v>
      </c>
      <c r="B23" s="14" t="s">
        <v>1074</v>
      </c>
      <c r="C23" s="14" t="s">
        <v>1075</v>
      </c>
      <c r="D23" s="14" t="s">
        <v>69</v>
      </c>
      <c r="E23" s="14">
        <v>0</v>
      </c>
      <c r="F23" s="14">
        <v>1</v>
      </c>
      <c r="G23" s="14">
        <v>0</v>
      </c>
      <c r="H23" s="14">
        <v>0</v>
      </c>
      <c r="I23" s="14">
        <v>0</v>
      </c>
      <c r="J23" s="17">
        <v>18</v>
      </c>
      <c r="K23" s="14">
        <v>1</v>
      </c>
      <c r="L23" s="17">
        <v>152.80000000000001</v>
      </c>
      <c r="M23" s="14" t="s">
        <v>212</v>
      </c>
    </row>
    <row r="24" spans="1:13" x14ac:dyDescent="0.25">
      <c r="A24" s="14" t="s">
        <v>45</v>
      </c>
      <c r="B24" s="14" t="s">
        <v>1076</v>
      </c>
      <c r="C24" s="14" t="s">
        <v>1077</v>
      </c>
      <c r="D24" s="14" t="s">
        <v>64</v>
      </c>
      <c r="E24" s="14">
        <v>1</v>
      </c>
      <c r="F24" s="14">
        <v>0</v>
      </c>
      <c r="G24" s="14">
        <v>1</v>
      </c>
      <c r="H24" s="14">
        <v>0</v>
      </c>
      <c r="I24" s="14">
        <v>0</v>
      </c>
      <c r="J24" s="17">
        <v>0</v>
      </c>
      <c r="K24" s="14">
        <v>1</v>
      </c>
      <c r="L24" s="17">
        <v>149.69</v>
      </c>
      <c r="M24" s="14" t="s">
        <v>86</v>
      </c>
    </row>
    <row r="25" spans="1:13" x14ac:dyDescent="0.25">
      <c r="A25" s="14" t="s">
        <v>61</v>
      </c>
      <c r="B25" s="14" t="s">
        <v>1078</v>
      </c>
      <c r="C25" s="14" t="s">
        <v>1079</v>
      </c>
      <c r="D25" s="14" t="s">
        <v>56</v>
      </c>
      <c r="E25" s="14">
        <v>1</v>
      </c>
      <c r="F25" s="14">
        <v>0</v>
      </c>
      <c r="G25" s="14">
        <v>0</v>
      </c>
      <c r="H25" s="14">
        <v>0</v>
      </c>
      <c r="I25" s="14">
        <v>0</v>
      </c>
      <c r="J25" s="17">
        <v>0</v>
      </c>
      <c r="K25" s="14">
        <v>1</v>
      </c>
      <c r="L25" s="17">
        <v>0</v>
      </c>
      <c r="M25" s="14" t="s">
        <v>86</v>
      </c>
    </row>
    <row r="26" spans="1:13" x14ac:dyDescent="0.25">
      <c r="A26" s="14" t="s">
        <v>51</v>
      </c>
      <c r="B26" s="14" t="s">
        <v>1080</v>
      </c>
      <c r="C26" s="14" t="s">
        <v>1081</v>
      </c>
      <c r="D26" s="14" t="s">
        <v>62</v>
      </c>
      <c r="E26" s="14">
        <v>1</v>
      </c>
      <c r="F26" s="14">
        <v>0</v>
      </c>
      <c r="G26" s="14">
        <v>0</v>
      </c>
      <c r="H26" s="14">
        <v>0</v>
      </c>
      <c r="I26" s="14">
        <v>0</v>
      </c>
      <c r="J26" s="17">
        <v>16</v>
      </c>
      <c r="K26" s="14">
        <v>1</v>
      </c>
      <c r="L26" s="17">
        <v>0</v>
      </c>
      <c r="M26" s="14" t="s">
        <v>86</v>
      </c>
    </row>
    <row r="27" spans="1:13" x14ac:dyDescent="0.25">
      <c r="A27" s="14"/>
      <c r="B27" s="14"/>
      <c r="C27" s="14"/>
      <c r="D27" s="14"/>
      <c r="E27" s="14"/>
      <c r="F27" s="14"/>
      <c r="G27" s="14"/>
      <c r="H27" s="14"/>
      <c r="I27" s="14"/>
      <c r="J27" s="17"/>
      <c r="K27" s="14"/>
      <c r="L27" s="17"/>
      <c r="M27" s="14"/>
    </row>
    <row r="28" spans="1:13" x14ac:dyDescent="0.25">
      <c r="A28" s="14"/>
      <c r="B28" s="14"/>
      <c r="C28" s="14"/>
      <c r="D28" s="14"/>
      <c r="E28" s="14"/>
      <c r="F28" s="14"/>
      <c r="G28" s="14"/>
      <c r="H28" s="14"/>
      <c r="I28" s="14"/>
      <c r="J28" s="17"/>
      <c r="K28" s="14"/>
      <c r="L28" s="17"/>
      <c r="M28" s="14"/>
    </row>
    <row r="29" spans="1:13" x14ac:dyDescent="0.25">
      <c r="A29" s="14"/>
      <c r="B29" s="14"/>
      <c r="C29" s="14"/>
      <c r="D29" s="14"/>
      <c r="E29" s="14"/>
      <c r="F29" s="14"/>
      <c r="G29" s="14"/>
      <c r="H29" s="14"/>
      <c r="I29" s="14"/>
      <c r="J29" s="17"/>
      <c r="K29" s="14"/>
      <c r="L29" s="17"/>
      <c r="M29" s="14"/>
    </row>
    <row r="30" spans="1:13" x14ac:dyDescent="0.25">
      <c r="A30" s="14"/>
      <c r="B30" s="14"/>
      <c r="C30" s="14"/>
      <c r="D30" s="14"/>
      <c r="E30" s="14"/>
      <c r="F30" s="14"/>
      <c r="G30" s="14"/>
      <c r="H30" s="14"/>
      <c r="I30" s="14"/>
      <c r="J30" s="17"/>
      <c r="K30" s="14"/>
      <c r="L30" s="17"/>
      <c r="M30" s="14"/>
    </row>
    <row r="31" spans="1:13" x14ac:dyDescent="0.25">
      <c r="A31" s="14"/>
      <c r="B31" s="14"/>
      <c r="C31" s="14"/>
      <c r="D31" s="14"/>
      <c r="E31" s="14"/>
      <c r="F31" s="14"/>
      <c r="G31" s="14"/>
      <c r="H31" s="14"/>
      <c r="I31" s="14"/>
      <c r="J31" s="17"/>
      <c r="K31" s="14"/>
      <c r="L31" s="17"/>
      <c r="M31" s="14"/>
    </row>
    <row r="32" spans="1:13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7"/>
      <c r="K32" s="14"/>
      <c r="L32" s="17"/>
      <c r="M32" s="14"/>
    </row>
    <row r="33" spans="1:13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7"/>
      <c r="K33" s="14"/>
      <c r="L33" s="17"/>
      <c r="M33" s="14"/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7"/>
      <c r="K34" s="14"/>
      <c r="L34" s="17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7"/>
      <c r="K35" s="14"/>
      <c r="L35" s="17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7"/>
      <c r="K36" s="14"/>
      <c r="L36" s="17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7"/>
      <c r="K37" s="14"/>
      <c r="L37" s="17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7"/>
      <c r="K38" s="14"/>
      <c r="L38" s="17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7"/>
      <c r="K39" s="14"/>
      <c r="L39" s="17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7"/>
      <c r="K40" s="14"/>
      <c r="L40" s="17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7"/>
      <c r="K41" s="14"/>
      <c r="L41" s="17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7"/>
      <c r="K42" s="14"/>
      <c r="L42" s="17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7"/>
      <c r="K43" s="14"/>
      <c r="L43" s="17"/>
      <c r="M43" s="14"/>
    </row>
  </sheetData>
  <mergeCells count="2">
    <mergeCell ref="A2:M2"/>
    <mergeCell ref="A1:M1"/>
  </mergeCells>
  <dataValidations count="1">
    <dataValidation type="list" allowBlank="1" sqref="M4:M43" xr:uid="{00000000-0002-0000-16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600-000000000000}">
          <x14:formula1>
            <xm:f>Setup!$A$5:$A$16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600-000001000000}">
          <x14:formula1>
            <xm:f>Setup!$C$5:$C$30</xm:f>
          </x14:formula1>
          <xm:sqref>D4:D43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4" t="s">
        <v>1082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</row>
    <row r="2" spans="1:24" ht="21.95" customHeight="1" x14ac:dyDescent="0.25">
      <c r="A2" s="43" t="s">
        <v>19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</row>
    <row r="3" spans="1:24" x14ac:dyDescent="0.25">
      <c r="A3" s="12" t="s">
        <v>79</v>
      </c>
      <c r="B3" s="12" t="s">
        <v>80</v>
      </c>
      <c r="C3" s="12" t="s">
        <v>81</v>
      </c>
      <c r="D3" s="12" t="s">
        <v>82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83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45</v>
      </c>
      <c r="B4" s="14" t="s">
        <v>1083</v>
      </c>
      <c r="C4" s="14" t="s">
        <v>1084</v>
      </c>
      <c r="D4" s="14" t="s">
        <v>76</v>
      </c>
      <c r="E4" s="14">
        <v>0</v>
      </c>
      <c r="F4" s="14">
        <v>0</v>
      </c>
      <c r="G4" s="14">
        <v>0</v>
      </c>
      <c r="H4" s="14">
        <v>1</v>
      </c>
      <c r="I4" s="14">
        <v>0</v>
      </c>
      <c r="J4" s="17">
        <v>0</v>
      </c>
      <c r="K4" s="14">
        <v>0</v>
      </c>
      <c r="L4" s="17">
        <v>126.36</v>
      </c>
      <c r="M4" s="14" t="s">
        <v>86</v>
      </c>
      <c r="P4" s="14" t="str">
        <f>Setup!$A$5</f>
        <v>Expert 01</v>
      </c>
      <c r="Q4" s="14">
        <f t="shared" ref="Q4:Q15" si="0">SUMIF($A$4:$A$43,$P4,E$4:E$43)</f>
        <v>2</v>
      </c>
      <c r="R4" s="14">
        <f t="shared" ref="R4:R15" si="1">SUMIF($A$4:$A$43,$P4,F$4:F$43)</f>
        <v>1</v>
      </c>
      <c r="S4" s="14">
        <f t="shared" ref="S4:S15" si="2">SUMIF($A$4:$A$43,$P4,G$4:G$43)</f>
        <v>0</v>
      </c>
      <c r="T4" s="14">
        <f t="shared" ref="T4:T15" si="3">SUMIF($A$4:$A$43,$P4,H$4:H$43)</f>
        <v>2</v>
      </c>
      <c r="U4" s="14">
        <f t="shared" ref="U4:U15" si="4">SUMIF($A$4:$A$43,$P4,I$4:I$43)</f>
        <v>0</v>
      </c>
      <c r="V4" s="17">
        <f t="shared" ref="V4:V15" si="5">SUMIF($A$4:$A$43,$P4,J$4:J$43)</f>
        <v>24</v>
      </c>
      <c r="W4" s="14">
        <f t="shared" ref="W4:W15" si="6">SUMIF($A$4:$A$43,$P4,K$4:K$43)</f>
        <v>4</v>
      </c>
      <c r="X4" s="17">
        <f t="shared" ref="X4:X15" si="7">SUMIF($A$4:$A$43,$P4,L$4:L$43)</f>
        <v>323.8</v>
      </c>
    </row>
    <row r="5" spans="1:24" x14ac:dyDescent="0.25">
      <c r="A5" s="14" t="s">
        <v>51</v>
      </c>
      <c r="B5" s="14" t="s">
        <v>1085</v>
      </c>
      <c r="C5" s="14" t="s">
        <v>1086</v>
      </c>
      <c r="D5" s="14" t="s">
        <v>73</v>
      </c>
      <c r="E5" s="14">
        <v>0</v>
      </c>
      <c r="F5" s="14">
        <v>0</v>
      </c>
      <c r="G5" s="14">
        <v>0</v>
      </c>
      <c r="H5" s="14">
        <v>0</v>
      </c>
      <c r="I5" s="14">
        <v>1</v>
      </c>
      <c r="J5" s="17">
        <v>0</v>
      </c>
      <c r="K5" s="14">
        <v>0</v>
      </c>
      <c r="L5" s="17">
        <v>81.430000000000007</v>
      </c>
      <c r="M5" s="14" t="s">
        <v>86</v>
      </c>
      <c r="P5" s="14" t="str">
        <f>Setup!$A$6</f>
        <v>Expert 02</v>
      </c>
      <c r="Q5" s="14">
        <f t="shared" si="0"/>
        <v>0</v>
      </c>
      <c r="R5" s="14">
        <f t="shared" si="1"/>
        <v>0</v>
      </c>
      <c r="S5" s="14">
        <f t="shared" si="2"/>
        <v>0</v>
      </c>
      <c r="T5" s="14">
        <f t="shared" si="3"/>
        <v>0</v>
      </c>
      <c r="U5" s="14">
        <f t="shared" si="4"/>
        <v>0</v>
      </c>
      <c r="V5" s="17">
        <f t="shared" si="5"/>
        <v>0</v>
      </c>
      <c r="W5" s="14">
        <f t="shared" si="6"/>
        <v>0</v>
      </c>
      <c r="X5" s="17">
        <f t="shared" si="7"/>
        <v>0</v>
      </c>
    </row>
    <row r="6" spans="1:24" x14ac:dyDescent="0.25">
      <c r="A6" s="14" t="s">
        <v>55</v>
      </c>
      <c r="B6" s="14" t="s">
        <v>1087</v>
      </c>
      <c r="C6" s="14" t="s">
        <v>1088</v>
      </c>
      <c r="D6" s="14" t="s">
        <v>74</v>
      </c>
      <c r="E6" s="14">
        <v>1</v>
      </c>
      <c r="F6" s="14">
        <v>0</v>
      </c>
      <c r="G6" s="14">
        <v>0</v>
      </c>
      <c r="H6" s="14">
        <v>0</v>
      </c>
      <c r="I6" s="14">
        <v>0</v>
      </c>
      <c r="J6" s="17">
        <v>18</v>
      </c>
      <c r="K6" s="14">
        <v>0</v>
      </c>
      <c r="L6" s="17">
        <v>0</v>
      </c>
      <c r="M6" s="14" t="s">
        <v>86</v>
      </c>
      <c r="P6" s="14" t="str">
        <f>Setup!$A$7</f>
        <v>Expert 03</v>
      </c>
      <c r="Q6" s="14">
        <f t="shared" si="0"/>
        <v>0</v>
      </c>
      <c r="R6" s="14">
        <f t="shared" si="1"/>
        <v>0</v>
      </c>
      <c r="S6" s="14">
        <f t="shared" si="2"/>
        <v>1</v>
      </c>
      <c r="T6" s="14">
        <f t="shared" si="3"/>
        <v>0</v>
      </c>
      <c r="U6" s="14">
        <f t="shared" si="4"/>
        <v>0</v>
      </c>
      <c r="V6" s="17">
        <f t="shared" si="5"/>
        <v>48</v>
      </c>
      <c r="W6" s="14">
        <f t="shared" si="6"/>
        <v>2</v>
      </c>
      <c r="X6" s="17">
        <f t="shared" si="7"/>
        <v>109.11999999999999</v>
      </c>
    </row>
    <row r="7" spans="1:24" x14ac:dyDescent="0.25">
      <c r="A7" s="14" t="s">
        <v>49</v>
      </c>
      <c r="B7" s="14" t="s">
        <v>1089</v>
      </c>
      <c r="C7" s="14" t="s">
        <v>1090</v>
      </c>
      <c r="D7" s="14" t="s">
        <v>70</v>
      </c>
      <c r="E7" s="14">
        <v>1</v>
      </c>
      <c r="F7" s="14">
        <v>0</v>
      </c>
      <c r="G7" s="14">
        <v>0</v>
      </c>
      <c r="H7" s="14">
        <v>0</v>
      </c>
      <c r="I7" s="14">
        <v>0</v>
      </c>
      <c r="J7" s="17">
        <v>18</v>
      </c>
      <c r="K7" s="14">
        <v>1</v>
      </c>
      <c r="L7" s="17">
        <v>0</v>
      </c>
      <c r="M7" s="14" t="s">
        <v>86</v>
      </c>
      <c r="P7" s="14" t="str">
        <f>Setup!$A$8</f>
        <v>Expert 04</v>
      </c>
      <c r="Q7" s="14">
        <f t="shared" si="0"/>
        <v>1</v>
      </c>
      <c r="R7" s="14">
        <f t="shared" si="1"/>
        <v>1</v>
      </c>
      <c r="S7" s="14">
        <f t="shared" si="2"/>
        <v>0</v>
      </c>
      <c r="T7" s="14">
        <f t="shared" si="3"/>
        <v>2</v>
      </c>
      <c r="U7" s="14">
        <f t="shared" si="4"/>
        <v>0</v>
      </c>
      <c r="V7" s="17">
        <f t="shared" si="5"/>
        <v>24</v>
      </c>
      <c r="W7" s="14">
        <f t="shared" si="6"/>
        <v>2</v>
      </c>
      <c r="X7" s="17">
        <f t="shared" si="7"/>
        <v>126.36</v>
      </c>
    </row>
    <row r="8" spans="1:24" x14ac:dyDescent="0.25">
      <c r="A8" s="14" t="s">
        <v>45</v>
      </c>
      <c r="B8" s="14" t="s">
        <v>1091</v>
      </c>
      <c r="C8" s="14" t="s">
        <v>1092</v>
      </c>
      <c r="D8" s="14" t="s">
        <v>40</v>
      </c>
      <c r="E8" s="14">
        <v>0</v>
      </c>
      <c r="F8" s="14">
        <v>1</v>
      </c>
      <c r="G8" s="14">
        <v>0</v>
      </c>
      <c r="H8" s="14">
        <v>0</v>
      </c>
      <c r="I8" s="14">
        <v>0</v>
      </c>
      <c r="J8" s="17">
        <v>0</v>
      </c>
      <c r="K8" s="14">
        <v>1</v>
      </c>
      <c r="L8" s="17">
        <v>0</v>
      </c>
      <c r="M8" s="14" t="s">
        <v>86</v>
      </c>
      <c r="P8" s="14" t="str">
        <f>Setup!$A$9</f>
        <v>Expert 05</v>
      </c>
      <c r="Q8" s="14">
        <f t="shared" si="0"/>
        <v>0</v>
      </c>
      <c r="R8" s="14">
        <f t="shared" si="1"/>
        <v>0</v>
      </c>
      <c r="S8" s="14">
        <f t="shared" si="2"/>
        <v>0</v>
      </c>
      <c r="T8" s="14">
        <f t="shared" si="3"/>
        <v>0</v>
      </c>
      <c r="U8" s="14">
        <f t="shared" si="4"/>
        <v>0</v>
      </c>
      <c r="V8" s="17">
        <f t="shared" si="5"/>
        <v>0</v>
      </c>
      <c r="W8" s="14">
        <f t="shared" si="6"/>
        <v>1</v>
      </c>
      <c r="X8" s="17">
        <f t="shared" si="7"/>
        <v>91.61</v>
      </c>
    </row>
    <row r="9" spans="1:24" x14ac:dyDescent="0.25">
      <c r="A9" s="14" t="s">
        <v>59</v>
      </c>
      <c r="B9" s="14" t="s">
        <v>1093</v>
      </c>
      <c r="C9" s="14" t="s">
        <v>1094</v>
      </c>
      <c r="D9" s="14" t="s">
        <v>70</v>
      </c>
      <c r="E9" s="14">
        <v>1</v>
      </c>
      <c r="F9" s="14">
        <v>0</v>
      </c>
      <c r="G9" s="14">
        <v>0</v>
      </c>
      <c r="H9" s="14">
        <v>0</v>
      </c>
      <c r="I9" s="14">
        <v>0</v>
      </c>
      <c r="J9" s="17">
        <v>0</v>
      </c>
      <c r="K9" s="14">
        <v>1</v>
      </c>
      <c r="L9" s="17">
        <v>124.83</v>
      </c>
      <c r="M9" s="14" t="s">
        <v>86</v>
      </c>
      <c r="P9" s="14" t="str">
        <f>Setup!$A$10</f>
        <v>Expert 06</v>
      </c>
      <c r="Q9" s="14">
        <f t="shared" si="0"/>
        <v>1</v>
      </c>
      <c r="R9" s="14">
        <f t="shared" si="1"/>
        <v>0</v>
      </c>
      <c r="S9" s="14">
        <f t="shared" si="2"/>
        <v>0</v>
      </c>
      <c r="T9" s="14">
        <f t="shared" si="3"/>
        <v>0</v>
      </c>
      <c r="U9" s="14">
        <f t="shared" si="4"/>
        <v>0</v>
      </c>
      <c r="V9" s="17">
        <f t="shared" si="5"/>
        <v>18</v>
      </c>
      <c r="W9" s="14">
        <f t="shared" si="6"/>
        <v>2</v>
      </c>
      <c r="X9" s="17">
        <f t="shared" si="7"/>
        <v>9.82</v>
      </c>
    </row>
    <row r="10" spans="1:24" x14ac:dyDescent="0.25">
      <c r="A10" s="14" t="s">
        <v>61</v>
      </c>
      <c r="B10" s="14" t="s">
        <v>1095</v>
      </c>
      <c r="C10" s="14" t="s">
        <v>1096</v>
      </c>
      <c r="D10" s="14" t="s">
        <v>60</v>
      </c>
      <c r="E10" s="14">
        <v>1</v>
      </c>
      <c r="F10" s="14">
        <v>0</v>
      </c>
      <c r="G10" s="14">
        <v>0</v>
      </c>
      <c r="H10" s="14">
        <v>0</v>
      </c>
      <c r="I10" s="14">
        <v>0</v>
      </c>
      <c r="J10" s="17">
        <v>33</v>
      </c>
      <c r="K10" s="14">
        <v>1</v>
      </c>
      <c r="L10" s="17">
        <v>0</v>
      </c>
      <c r="M10" s="14" t="s">
        <v>86</v>
      </c>
      <c r="P10" s="14" t="str">
        <f>Setup!$A$11</f>
        <v>Expert 07</v>
      </c>
      <c r="Q10" s="14">
        <f t="shared" si="0"/>
        <v>0</v>
      </c>
      <c r="R10" s="14">
        <f t="shared" si="1"/>
        <v>0</v>
      </c>
      <c r="S10" s="14">
        <f t="shared" si="2"/>
        <v>0</v>
      </c>
      <c r="T10" s="14">
        <f t="shared" si="3"/>
        <v>0</v>
      </c>
      <c r="U10" s="14">
        <f t="shared" si="4"/>
        <v>1</v>
      </c>
      <c r="V10" s="17">
        <f t="shared" si="5"/>
        <v>0</v>
      </c>
      <c r="W10" s="14">
        <f t="shared" si="6"/>
        <v>0</v>
      </c>
      <c r="X10" s="17">
        <f t="shared" si="7"/>
        <v>81.430000000000007</v>
      </c>
    </row>
    <row r="11" spans="1:24" x14ac:dyDescent="0.25">
      <c r="A11" s="14" t="s">
        <v>57</v>
      </c>
      <c r="B11" s="14" t="s">
        <v>1097</v>
      </c>
      <c r="C11" s="14" t="s">
        <v>1098</v>
      </c>
      <c r="D11" s="14" t="s">
        <v>64</v>
      </c>
      <c r="E11" s="14">
        <v>0</v>
      </c>
      <c r="F11" s="14">
        <v>1</v>
      </c>
      <c r="G11" s="14">
        <v>0</v>
      </c>
      <c r="H11" s="14">
        <v>0</v>
      </c>
      <c r="I11" s="14">
        <v>0</v>
      </c>
      <c r="J11" s="17">
        <v>0</v>
      </c>
      <c r="K11" s="14">
        <v>1</v>
      </c>
      <c r="L11" s="17">
        <v>0</v>
      </c>
      <c r="M11" s="14" t="s">
        <v>86</v>
      </c>
      <c r="P11" s="14" t="str">
        <f>Setup!$A$12</f>
        <v>Expert 08</v>
      </c>
      <c r="Q11" s="14">
        <f t="shared" si="0"/>
        <v>0</v>
      </c>
      <c r="R11" s="14">
        <f t="shared" si="1"/>
        <v>0</v>
      </c>
      <c r="S11" s="14">
        <f t="shared" si="2"/>
        <v>0</v>
      </c>
      <c r="T11" s="14">
        <f t="shared" si="3"/>
        <v>0</v>
      </c>
      <c r="U11" s="14">
        <f t="shared" si="4"/>
        <v>0</v>
      </c>
      <c r="V11" s="17">
        <f t="shared" si="5"/>
        <v>0</v>
      </c>
      <c r="W11" s="14">
        <f t="shared" si="6"/>
        <v>0</v>
      </c>
      <c r="X11" s="17">
        <f t="shared" si="7"/>
        <v>0</v>
      </c>
    </row>
    <row r="12" spans="1:24" x14ac:dyDescent="0.25">
      <c r="A12" s="14" t="s">
        <v>39</v>
      </c>
      <c r="B12" s="14" t="s">
        <v>1099</v>
      </c>
      <c r="C12" s="14" t="s">
        <v>1100</v>
      </c>
      <c r="D12" s="14" t="s">
        <v>42</v>
      </c>
      <c r="E12" s="14">
        <v>0</v>
      </c>
      <c r="F12" s="14">
        <v>0</v>
      </c>
      <c r="G12" s="14">
        <v>0</v>
      </c>
      <c r="H12" s="14">
        <v>0</v>
      </c>
      <c r="I12" s="14">
        <v>0</v>
      </c>
      <c r="J12" s="17">
        <v>0</v>
      </c>
      <c r="K12" s="14">
        <v>1</v>
      </c>
      <c r="L12" s="17">
        <v>156.5</v>
      </c>
      <c r="M12" s="14" t="s">
        <v>86</v>
      </c>
      <c r="P12" s="14" t="str">
        <f>Setup!$A$13</f>
        <v>Expert 09</v>
      </c>
      <c r="Q12" s="14">
        <f t="shared" si="0"/>
        <v>1</v>
      </c>
      <c r="R12" s="14">
        <f t="shared" si="1"/>
        <v>0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7">
        <f t="shared" si="5"/>
        <v>18</v>
      </c>
      <c r="W12" s="14">
        <f t="shared" si="6"/>
        <v>0</v>
      </c>
      <c r="X12" s="17">
        <f t="shared" si="7"/>
        <v>0</v>
      </c>
    </row>
    <row r="13" spans="1:24" x14ac:dyDescent="0.25">
      <c r="A13" s="14" t="s">
        <v>61</v>
      </c>
      <c r="B13" s="14" t="s">
        <v>1101</v>
      </c>
      <c r="C13" s="14" t="s">
        <v>1102</v>
      </c>
      <c r="D13" s="14" t="s">
        <v>64</v>
      </c>
      <c r="E13" s="14">
        <v>0</v>
      </c>
      <c r="F13" s="14">
        <v>1</v>
      </c>
      <c r="G13" s="14">
        <v>0</v>
      </c>
      <c r="H13" s="14">
        <v>0</v>
      </c>
      <c r="I13" s="14">
        <v>0</v>
      </c>
      <c r="J13" s="17">
        <v>24</v>
      </c>
      <c r="K13" s="14">
        <v>1</v>
      </c>
      <c r="L13" s="17">
        <v>167.56</v>
      </c>
      <c r="M13" s="14" t="s">
        <v>86</v>
      </c>
      <c r="P13" s="14" t="str">
        <f>Setup!$A$14</f>
        <v>Expert 10</v>
      </c>
      <c r="Q13" s="14">
        <f t="shared" si="0"/>
        <v>1</v>
      </c>
      <c r="R13" s="14">
        <f t="shared" si="1"/>
        <v>1</v>
      </c>
      <c r="S13" s="14">
        <f t="shared" si="2"/>
        <v>0</v>
      </c>
      <c r="T13" s="14">
        <f t="shared" si="3"/>
        <v>0</v>
      </c>
      <c r="U13" s="14">
        <f t="shared" si="4"/>
        <v>1</v>
      </c>
      <c r="V13" s="17">
        <f t="shared" si="5"/>
        <v>18</v>
      </c>
      <c r="W13" s="14">
        <f t="shared" si="6"/>
        <v>2</v>
      </c>
      <c r="X13" s="17">
        <f t="shared" si="7"/>
        <v>42.91</v>
      </c>
    </row>
    <row r="14" spans="1:24" x14ac:dyDescent="0.25">
      <c r="A14" s="14" t="s">
        <v>39</v>
      </c>
      <c r="B14" s="14" t="s">
        <v>1103</v>
      </c>
      <c r="C14" s="14" t="s">
        <v>1104</v>
      </c>
      <c r="D14" s="14" t="s">
        <v>71</v>
      </c>
      <c r="E14" s="14">
        <v>1</v>
      </c>
      <c r="F14" s="14">
        <v>0</v>
      </c>
      <c r="G14" s="14">
        <v>0</v>
      </c>
      <c r="H14" s="14">
        <v>1</v>
      </c>
      <c r="I14" s="14">
        <v>0</v>
      </c>
      <c r="J14" s="17">
        <v>0</v>
      </c>
      <c r="K14" s="14">
        <v>1</v>
      </c>
      <c r="L14" s="17">
        <v>0</v>
      </c>
      <c r="M14" s="14" t="s">
        <v>86</v>
      </c>
      <c r="P14" s="14" t="str">
        <f>Setup!$A$15</f>
        <v>Expert 11</v>
      </c>
      <c r="Q14" s="14">
        <f t="shared" si="0"/>
        <v>2</v>
      </c>
      <c r="R14" s="14">
        <f t="shared" si="1"/>
        <v>1</v>
      </c>
      <c r="S14" s="14">
        <f t="shared" si="2"/>
        <v>0</v>
      </c>
      <c r="T14" s="14">
        <f t="shared" si="3"/>
        <v>0</v>
      </c>
      <c r="U14" s="14">
        <f t="shared" si="4"/>
        <v>0</v>
      </c>
      <c r="V14" s="17">
        <f t="shared" si="5"/>
        <v>33</v>
      </c>
      <c r="W14" s="14">
        <f t="shared" si="6"/>
        <v>3</v>
      </c>
      <c r="X14" s="17">
        <f t="shared" si="7"/>
        <v>242.03</v>
      </c>
    </row>
    <row r="15" spans="1:24" x14ac:dyDescent="0.25">
      <c r="A15" s="14" t="s">
        <v>43</v>
      </c>
      <c r="B15" s="14" t="s">
        <v>1105</v>
      </c>
      <c r="C15" s="14" t="s">
        <v>1106</v>
      </c>
      <c r="D15" s="14" t="s">
        <v>66</v>
      </c>
      <c r="E15" s="14">
        <v>0</v>
      </c>
      <c r="F15" s="14">
        <v>0</v>
      </c>
      <c r="G15" s="14">
        <v>0</v>
      </c>
      <c r="H15" s="14">
        <v>0</v>
      </c>
      <c r="I15" s="14">
        <v>0</v>
      </c>
      <c r="J15" s="17">
        <v>0</v>
      </c>
      <c r="K15" s="14">
        <v>1</v>
      </c>
      <c r="L15" s="17">
        <v>4.99</v>
      </c>
      <c r="M15" s="14" t="s">
        <v>86</v>
      </c>
      <c r="P15" s="14" t="str">
        <f>Setup!$A$16</f>
        <v>Expert 12</v>
      </c>
      <c r="Q15" s="14">
        <f t="shared" si="0"/>
        <v>1</v>
      </c>
      <c r="R15" s="14">
        <f t="shared" si="1"/>
        <v>1</v>
      </c>
      <c r="S15" s="14">
        <f t="shared" si="2"/>
        <v>0</v>
      </c>
      <c r="T15" s="14">
        <f t="shared" si="3"/>
        <v>0</v>
      </c>
      <c r="U15" s="14">
        <f t="shared" si="4"/>
        <v>0</v>
      </c>
      <c r="V15" s="17">
        <f t="shared" si="5"/>
        <v>57</v>
      </c>
      <c r="W15" s="14">
        <f t="shared" si="6"/>
        <v>2</v>
      </c>
      <c r="X15" s="17">
        <f t="shared" si="7"/>
        <v>167.56</v>
      </c>
    </row>
    <row r="16" spans="1:24" x14ac:dyDescent="0.25">
      <c r="A16" s="14" t="s">
        <v>57</v>
      </c>
      <c r="B16" s="14" t="s">
        <v>1107</v>
      </c>
      <c r="C16" s="14" t="s">
        <v>1108</v>
      </c>
      <c r="D16" s="14" t="s">
        <v>52</v>
      </c>
      <c r="E16" s="14">
        <v>1</v>
      </c>
      <c r="F16" s="14">
        <v>0</v>
      </c>
      <c r="G16" s="14">
        <v>0</v>
      </c>
      <c r="H16" s="14">
        <v>0</v>
      </c>
      <c r="I16" s="14">
        <v>0</v>
      </c>
      <c r="J16" s="17">
        <v>0</v>
      </c>
      <c r="K16" s="14">
        <v>1</v>
      </c>
      <c r="L16" s="17">
        <v>42.91</v>
      </c>
      <c r="M16" s="14" t="s">
        <v>86</v>
      </c>
      <c r="P16" s="18" t="s">
        <v>111</v>
      </c>
      <c r="Q16" s="19">
        <f t="shared" ref="Q16:X16" si="8">SUM(Q4:Q15)</f>
        <v>9</v>
      </c>
      <c r="R16" s="19">
        <f t="shared" si="8"/>
        <v>5</v>
      </c>
      <c r="S16" s="19">
        <f t="shared" si="8"/>
        <v>1</v>
      </c>
      <c r="T16" s="19">
        <f t="shared" si="8"/>
        <v>4</v>
      </c>
      <c r="U16" s="19">
        <f t="shared" si="8"/>
        <v>2</v>
      </c>
      <c r="V16" s="20">
        <f t="shared" si="8"/>
        <v>240</v>
      </c>
      <c r="W16" s="19">
        <f t="shared" si="8"/>
        <v>18</v>
      </c>
      <c r="X16" s="20">
        <f t="shared" si="8"/>
        <v>1194.6400000000001</v>
      </c>
    </row>
    <row r="17" spans="1:13" x14ac:dyDescent="0.25">
      <c r="A17" s="14" t="s">
        <v>43</v>
      </c>
      <c r="B17" s="14" t="s">
        <v>1109</v>
      </c>
      <c r="C17" s="14" t="s">
        <v>1110</v>
      </c>
      <c r="D17" s="14" t="s">
        <v>75</v>
      </c>
      <c r="E17" s="14">
        <v>0</v>
      </c>
      <c r="F17" s="14">
        <v>0</v>
      </c>
      <c r="G17" s="14">
        <v>0</v>
      </c>
      <c r="H17" s="14">
        <v>0</v>
      </c>
      <c r="I17" s="14">
        <v>0</v>
      </c>
      <c r="J17" s="17">
        <v>24</v>
      </c>
      <c r="K17" s="14">
        <v>0</v>
      </c>
      <c r="L17" s="17">
        <v>104.13</v>
      </c>
      <c r="M17" s="14" t="s">
        <v>86</v>
      </c>
    </row>
    <row r="18" spans="1:13" x14ac:dyDescent="0.25">
      <c r="A18" s="14" t="s">
        <v>57</v>
      </c>
      <c r="B18" s="14" t="s">
        <v>1111</v>
      </c>
      <c r="C18" s="14" t="s">
        <v>1112</v>
      </c>
      <c r="D18" s="14" t="s">
        <v>73</v>
      </c>
      <c r="E18" s="14">
        <v>0</v>
      </c>
      <c r="F18" s="14">
        <v>0</v>
      </c>
      <c r="G18" s="14">
        <v>0</v>
      </c>
      <c r="H18" s="14">
        <v>0</v>
      </c>
      <c r="I18" s="14">
        <v>1</v>
      </c>
      <c r="J18" s="17">
        <v>18</v>
      </c>
      <c r="K18" s="14">
        <v>0</v>
      </c>
      <c r="L18" s="17">
        <v>0</v>
      </c>
      <c r="M18" s="14" t="s">
        <v>86</v>
      </c>
    </row>
    <row r="19" spans="1:13" x14ac:dyDescent="0.25">
      <c r="A19" s="14" t="s">
        <v>39</v>
      </c>
      <c r="B19" s="14" t="s">
        <v>1113</v>
      </c>
      <c r="C19" s="14" t="s">
        <v>1114</v>
      </c>
      <c r="D19" s="14" t="s">
        <v>44</v>
      </c>
      <c r="E19" s="14">
        <v>0</v>
      </c>
      <c r="F19" s="14">
        <v>1</v>
      </c>
      <c r="G19" s="14">
        <v>0</v>
      </c>
      <c r="H19" s="14">
        <v>0</v>
      </c>
      <c r="I19" s="14">
        <v>0</v>
      </c>
      <c r="J19" s="17">
        <v>0</v>
      </c>
      <c r="K19" s="14">
        <v>1</v>
      </c>
      <c r="L19" s="17">
        <v>167.3</v>
      </c>
      <c r="M19" s="14" t="s">
        <v>86</v>
      </c>
    </row>
    <row r="20" spans="1:13" x14ac:dyDescent="0.25">
      <c r="A20" s="14" t="s">
        <v>49</v>
      </c>
      <c r="B20" s="14" t="s">
        <v>1115</v>
      </c>
      <c r="C20" s="14" t="s">
        <v>1116</v>
      </c>
      <c r="D20" s="14" t="s">
        <v>58</v>
      </c>
      <c r="E20" s="14">
        <v>0</v>
      </c>
      <c r="F20" s="14">
        <v>0</v>
      </c>
      <c r="G20" s="14">
        <v>0</v>
      </c>
      <c r="H20" s="14">
        <v>0</v>
      </c>
      <c r="I20" s="14">
        <v>0</v>
      </c>
      <c r="J20" s="17">
        <v>0</v>
      </c>
      <c r="K20" s="14">
        <v>1</v>
      </c>
      <c r="L20" s="17">
        <v>9.82</v>
      </c>
      <c r="M20" s="14" t="s">
        <v>86</v>
      </c>
    </row>
    <row r="21" spans="1:13" x14ac:dyDescent="0.25">
      <c r="A21" s="14" t="s">
        <v>43</v>
      </c>
      <c r="B21" s="14" t="s">
        <v>1117</v>
      </c>
      <c r="C21" s="14" t="s">
        <v>1118</v>
      </c>
      <c r="D21" s="14" t="s">
        <v>44</v>
      </c>
      <c r="E21" s="14">
        <v>0</v>
      </c>
      <c r="F21" s="14">
        <v>0</v>
      </c>
      <c r="G21" s="14">
        <v>1</v>
      </c>
      <c r="H21" s="14">
        <v>0</v>
      </c>
      <c r="I21" s="14">
        <v>0</v>
      </c>
      <c r="J21" s="17">
        <v>24</v>
      </c>
      <c r="K21" s="14">
        <v>1</v>
      </c>
      <c r="L21" s="17">
        <v>0</v>
      </c>
      <c r="M21" s="14" t="s">
        <v>212</v>
      </c>
    </row>
    <row r="22" spans="1:13" x14ac:dyDescent="0.25">
      <c r="A22" s="14" t="s">
        <v>59</v>
      </c>
      <c r="B22" s="14" t="s">
        <v>1119</v>
      </c>
      <c r="C22" s="14" t="s">
        <v>1120</v>
      </c>
      <c r="D22" s="14" t="s">
        <v>58</v>
      </c>
      <c r="E22" s="14">
        <v>1</v>
      </c>
      <c r="F22" s="14">
        <v>0</v>
      </c>
      <c r="G22" s="14">
        <v>0</v>
      </c>
      <c r="H22" s="14">
        <v>0</v>
      </c>
      <c r="I22" s="14">
        <v>0</v>
      </c>
      <c r="J22" s="17">
        <v>0</v>
      </c>
      <c r="K22" s="14">
        <v>1</v>
      </c>
      <c r="L22" s="17">
        <v>117.2</v>
      </c>
      <c r="M22" s="14" t="s">
        <v>86</v>
      </c>
    </row>
    <row r="23" spans="1:13" x14ac:dyDescent="0.25">
      <c r="A23" s="14" t="s">
        <v>39</v>
      </c>
      <c r="B23" s="14" t="s">
        <v>1121</v>
      </c>
      <c r="C23" s="14" t="s">
        <v>1122</v>
      </c>
      <c r="D23" s="14" t="s">
        <v>69</v>
      </c>
      <c r="E23" s="14">
        <v>1</v>
      </c>
      <c r="F23" s="14">
        <v>0</v>
      </c>
      <c r="G23" s="14">
        <v>0</v>
      </c>
      <c r="H23" s="14">
        <v>1</v>
      </c>
      <c r="I23" s="14">
        <v>0</v>
      </c>
      <c r="J23" s="17">
        <v>24</v>
      </c>
      <c r="K23" s="14">
        <v>1</v>
      </c>
      <c r="L23" s="17">
        <v>0</v>
      </c>
      <c r="M23" s="14" t="s">
        <v>86</v>
      </c>
    </row>
    <row r="24" spans="1:13" x14ac:dyDescent="0.25">
      <c r="A24" s="14" t="s">
        <v>59</v>
      </c>
      <c r="B24" s="14" t="s">
        <v>1123</v>
      </c>
      <c r="C24" s="14" t="s">
        <v>1124</v>
      </c>
      <c r="D24" s="14" t="s">
        <v>68</v>
      </c>
      <c r="E24" s="14">
        <v>0</v>
      </c>
      <c r="F24" s="14">
        <v>1</v>
      </c>
      <c r="G24" s="14">
        <v>0</v>
      </c>
      <c r="H24" s="14">
        <v>0</v>
      </c>
      <c r="I24" s="14">
        <v>0</v>
      </c>
      <c r="J24" s="17">
        <v>33</v>
      </c>
      <c r="K24" s="14">
        <v>1</v>
      </c>
      <c r="L24" s="17">
        <v>0</v>
      </c>
      <c r="M24" s="14" t="s">
        <v>86</v>
      </c>
    </row>
    <row r="25" spans="1:13" x14ac:dyDescent="0.25">
      <c r="A25" s="14" t="s">
        <v>45</v>
      </c>
      <c r="B25" s="14" t="s">
        <v>1125</v>
      </c>
      <c r="C25" s="14" t="s">
        <v>1126</v>
      </c>
      <c r="D25" s="14" t="s">
        <v>48</v>
      </c>
      <c r="E25" s="14">
        <v>1</v>
      </c>
      <c r="F25" s="14">
        <v>0</v>
      </c>
      <c r="G25" s="14">
        <v>0</v>
      </c>
      <c r="H25" s="14">
        <v>1</v>
      </c>
      <c r="I25" s="14">
        <v>0</v>
      </c>
      <c r="J25" s="17">
        <v>24</v>
      </c>
      <c r="K25" s="14">
        <v>1</v>
      </c>
      <c r="L25" s="17">
        <v>0</v>
      </c>
      <c r="M25" s="14" t="s">
        <v>86</v>
      </c>
    </row>
    <row r="26" spans="1:13" x14ac:dyDescent="0.25">
      <c r="A26" s="14" t="s">
        <v>47</v>
      </c>
      <c r="B26" s="14" t="s">
        <v>1127</v>
      </c>
      <c r="C26" s="14" t="s">
        <v>1128</v>
      </c>
      <c r="D26" s="14" t="s">
        <v>56</v>
      </c>
      <c r="E26" s="14">
        <v>0</v>
      </c>
      <c r="F26" s="14">
        <v>0</v>
      </c>
      <c r="G26" s="14">
        <v>0</v>
      </c>
      <c r="H26" s="14">
        <v>0</v>
      </c>
      <c r="I26" s="14">
        <v>0</v>
      </c>
      <c r="J26" s="17">
        <v>0</v>
      </c>
      <c r="K26" s="14">
        <v>1</v>
      </c>
      <c r="L26" s="17">
        <v>91.61</v>
      </c>
      <c r="M26" s="14" t="s">
        <v>86</v>
      </c>
    </row>
    <row r="27" spans="1:13" x14ac:dyDescent="0.25">
      <c r="A27" s="14"/>
      <c r="B27" s="14"/>
      <c r="C27" s="14"/>
      <c r="D27" s="14"/>
      <c r="E27" s="14"/>
      <c r="F27" s="14"/>
      <c r="G27" s="14"/>
      <c r="H27" s="14"/>
      <c r="I27" s="14"/>
      <c r="J27" s="17"/>
      <c r="K27" s="14"/>
      <c r="L27" s="17"/>
      <c r="M27" s="14"/>
    </row>
    <row r="28" spans="1:13" x14ac:dyDescent="0.25">
      <c r="A28" s="14"/>
      <c r="B28" s="14"/>
      <c r="C28" s="14"/>
      <c r="D28" s="14"/>
      <c r="E28" s="14"/>
      <c r="F28" s="14"/>
      <c r="G28" s="14"/>
      <c r="H28" s="14"/>
      <c r="I28" s="14"/>
      <c r="J28" s="17"/>
      <c r="K28" s="14"/>
      <c r="L28" s="17"/>
      <c r="M28" s="14"/>
    </row>
    <row r="29" spans="1:13" x14ac:dyDescent="0.25">
      <c r="A29" s="14"/>
      <c r="B29" s="14"/>
      <c r="C29" s="14"/>
      <c r="D29" s="14"/>
      <c r="E29" s="14"/>
      <c r="F29" s="14"/>
      <c r="G29" s="14"/>
      <c r="H29" s="14"/>
      <c r="I29" s="14"/>
      <c r="J29" s="17"/>
      <c r="K29" s="14"/>
      <c r="L29" s="17"/>
      <c r="M29" s="14"/>
    </row>
    <row r="30" spans="1:13" x14ac:dyDescent="0.25">
      <c r="A30" s="14"/>
      <c r="B30" s="14"/>
      <c r="C30" s="14"/>
      <c r="D30" s="14"/>
      <c r="E30" s="14"/>
      <c r="F30" s="14"/>
      <c r="G30" s="14"/>
      <c r="H30" s="14"/>
      <c r="I30" s="14"/>
      <c r="J30" s="17"/>
      <c r="K30" s="14"/>
      <c r="L30" s="17"/>
      <c r="M30" s="14"/>
    </row>
    <row r="31" spans="1:13" x14ac:dyDescent="0.25">
      <c r="A31" s="14"/>
      <c r="B31" s="14"/>
      <c r="C31" s="14"/>
      <c r="D31" s="14"/>
      <c r="E31" s="14"/>
      <c r="F31" s="14"/>
      <c r="G31" s="14"/>
      <c r="H31" s="14"/>
      <c r="I31" s="14"/>
      <c r="J31" s="17"/>
      <c r="K31" s="14"/>
      <c r="L31" s="17"/>
      <c r="M31" s="14"/>
    </row>
    <row r="32" spans="1:13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7"/>
      <c r="K32" s="14"/>
      <c r="L32" s="17"/>
      <c r="M32" s="14"/>
    </row>
    <row r="33" spans="1:13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7"/>
      <c r="K33" s="14"/>
      <c r="L33" s="17"/>
      <c r="M33" s="14"/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7"/>
      <c r="K34" s="14"/>
      <c r="L34" s="17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7"/>
      <c r="K35" s="14"/>
      <c r="L35" s="17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7"/>
      <c r="K36" s="14"/>
      <c r="L36" s="17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7"/>
      <c r="K37" s="14"/>
      <c r="L37" s="17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7"/>
      <c r="K38" s="14"/>
      <c r="L38" s="17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7"/>
      <c r="K39" s="14"/>
      <c r="L39" s="17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7"/>
      <c r="K40" s="14"/>
      <c r="L40" s="17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7"/>
      <c r="K41" s="14"/>
      <c r="L41" s="17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7"/>
      <c r="K42" s="14"/>
      <c r="L42" s="17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7"/>
      <c r="K43" s="14"/>
      <c r="L43" s="17"/>
      <c r="M43" s="14"/>
    </row>
  </sheetData>
  <mergeCells count="2">
    <mergeCell ref="A2:M2"/>
    <mergeCell ref="A1:M1"/>
  </mergeCells>
  <dataValidations count="1">
    <dataValidation type="list" allowBlank="1" sqref="M4:M43" xr:uid="{00000000-0002-0000-17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700-000000000000}">
          <x14:formula1>
            <xm:f>Setup!$A$5:$A$16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700-000001000000}">
          <x14:formula1>
            <xm:f>Setup!$C$5:$C$30</xm:f>
          </x14:formula1>
          <xm:sqref>D4:D43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4" t="s">
        <v>1129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</row>
    <row r="2" spans="1:24" ht="21.95" customHeight="1" x14ac:dyDescent="0.25">
      <c r="A2" s="43" t="s">
        <v>19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</row>
    <row r="3" spans="1:24" x14ac:dyDescent="0.25">
      <c r="A3" s="12" t="s">
        <v>79</v>
      </c>
      <c r="B3" s="12" t="s">
        <v>80</v>
      </c>
      <c r="C3" s="12" t="s">
        <v>81</v>
      </c>
      <c r="D3" s="12" t="s">
        <v>82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83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45</v>
      </c>
      <c r="B4" s="14" t="s">
        <v>1130</v>
      </c>
      <c r="C4" s="14" t="s">
        <v>1131</v>
      </c>
      <c r="D4" s="14" t="s">
        <v>71</v>
      </c>
      <c r="E4" s="14">
        <v>0</v>
      </c>
      <c r="F4" s="14">
        <v>1</v>
      </c>
      <c r="G4" s="14">
        <v>0</v>
      </c>
      <c r="H4" s="14">
        <v>0</v>
      </c>
      <c r="I4" s="14">
        <v>0</v>
      </c>
      <c r="J4" s="17">
        <v>0</v>
      </c>
      <c r="K4" s="14">
        <v>1</v>
      </c>
      <c r="L4" s="17">
        <v>0</v>
      </c>
      <c r="M4" s="14" t="s">
        <v>86</v>
      </c>
      <c r="P4" s="14" t="str">
        <f>Setup!$A$5</f>
        <v>Expert 01</v>
      </c>
      <c r="Q4" s="14">
        <f t="shared" ref="Q4:Q15" si="0">SUMIF($A$4:$A$43,$P4,E$4:E$43)</f>
        <v>0</v>
      </c>
      <c r="R4" s="14">
        <f t="shared" ref="R4:R15" si="1">SUMIF($A$4:$A$43,$P4,F$4:F$43)</f>
        <v>0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7">
        <f t="shared" ref="V4:V15" si="5">SUMIF($A$4:$A$43,$P4,J$4:J$43)</f>
        <v>0</v>
      </c>
      <c r="W4" s="14">
        <f t="shared" ref="W4:W15" si="6">SUMIF($A$4:$A$43,$P4,K$4:K$43)</f>
        <v>1</v>
      </c>
      <c r="X4" s="17">
        <f t="shared" ref="X4:X15" si="7">SUMIF($A$4:$A$43,$P4,L$4:L$43)</f>
        <v>107.08</v>
      </c>
    </row>
    <row r="5" spans="1:24" x14ac:dyDescent="0.25">
      <c r="A5" s="14" t="s">
        <v>57</v>
      </c>
      <c r="B5" s="14" t="s">
        <v>1132</v>
      </c>
      <c r="C5" s="14" t="s">
        <v>1133</v>
      </c>
      <c r="D5" s="14" t="s">
        <v>65</v>
      </c>
      <c r="E5" s="14">
        <v>1</v>
      </c>
      <c r="F5" s="14">
        <v>0</v>
      </c>
      <c r="G5" s="14">
        <v>0</v>
      </c>
      <c r="H5" s="14">
        <v>0</v>
      </c>
      <c r="I5" s="14">
        <v>0</v>
      </c>
      <c r="J5" s="17">
        <v>33</v>
      </c>
      <c r="K5" s="14">
        <v>1</v>
      </c>
      <c r="L5" s="17">
        <v>120.97</v>
      </c>
      <c r="M5" s="14" t="s">
        <v>86</v>
      </c>
      <c r="P5" s="14" t="str">
        <f>Setup!$A$6</f>
        <v>Expert 02</v>
      </c>
      <c r="Q5" s="14">
        <f t="shared" si="0"/>
        <v>2</v>
      </c>
      <c r="R5" s="14">
        <f t="shared" si="1"/>
        <v>1</v>
      </c>
      <c r="S5" s="14">
        <f t="shared" si="2"/>
        <v>0</v>
      </c>
      <c r="T5" s="14">
        <f t="shared" si="3"/>
        <v>0</v>
      </c>
      <c r="U5" s="14">
        <f t="shared" si="4"/>
        <v>0</v>
      </c>
      <c r="V5" s="17">
        <f t="shared" si="5"/>
        <v>36</v>
      </c>
      <c r="W5" s="14">
        <f t="shared" si="6"/>
        <v>5</v>
      </c>
      <c r="X5" s="17">
        <f t="shared" si="7"/>
        <v>308.99</v>
      </c>
    </row>
    <row r="6" spans="1:24" x14ac:dyDescent="0.25">
      <c r="A6" s="14" t="s">
        <v>57</v>
      </c>
      <c r="B6" s="14" t="s">
        <v>1134</v>
      </c>
      <c r="C6" s="14" t="s">
        <v>1135</v>
      </c>
      <c r="D6" s="14" t="s">
        <v>58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7">
        <v>24</v>
      </c>
      <c r="K6" s="14">
        <v>1</v>
      </c>
      <c r="L6" s="17">
        <v>0</v>
      </c>
      <c r="M6" s="14" t="s">
        <v>86</v>
      </c>
      <c r="P6" s="14" t="str">
        <f>Setup!$A$7</f>
        <v>Expert 03</v>
      </c>
      <c r="Q6" s="14">
        <f t="shared" si="0"/>
        <v>0</v>
      </c>
      <c r="R6" s="14">
        <f t="shared" si="1"/>
        <v>0</v>
      </c>
      <c r="S6" s="14">
        <f t="shared" si="2"/>
        <v>0</v>
      </c>
      <c r="T6" s="14">
        <f t="shared" si="3"/>
        <v>0</v>
      </c>
      <c r="U6" s="14">
        <f t="shared" si="4"/>
        <v>1</v>
      </c>
      <c r="V6" s="17">
        <f t="shared" si="5"/>
        <v>24</v>
      </c>
      <c r="W6" s="14">
        <f t="shared" si="6"/>
        <v>0</v>
      </c>
      <c r="X6" s="17">
        <f t="shared" si="7"/>
        <v>0</v>
      </c>
    </row>
    <row r="7" spans="1:24" x14ac:dyDescent="0.25">
      <c r="A7" s="14" t="s">
        <v>49</v>
      </c>
      <c r="B7" s="14" t="s">
        <v>1136</v>
      </c>
      <c r="C7" s="14" t="s">
        <v>1137</v>
      </c>
      <c r="D7" s="14" t="s">
        <v>73</v>
      </c>
      <c r="E7" s="14">
        <v>0</v>
      </c>
      <c r="F7" s="14">
        <v>0</v>
      </c>
      <c r="G7" s="14">
        <v>1</v>
      </c>
      <c r="H7" s="14">
        <v>0</v>
      </c>
      <c r="I7" s="14">
        <v>1</v>
      </c>
      <c r="J7" s="17">
        <v>16</v>
      </c>
      <c r="K7" s="14">
        <v>0</v>
      </c>
      <c r="L7" s="17">
        <v>146.6</v>
      </c>
      <c r="M7" s="14" t="s">
        <v>86</v>
      </c>
      <c r="P7" s="14" t="str">
        <f>Setup!$A$8</f>
        <v>Expert 04</v>
      </c>
      <c r="Q7" s="14">
        <f t="shared" si="0"/>
        <v>1</v>
      </c>
      <c r="R7" s="14">
        <f t="shared" si="1"/>
        <v>1</v>
      </c>
      <c r="S7" s="14">
        <f t="shared" si="2"/>
        <v>0</v>
      </c>
      <c r="T7" s="14">
        <f t="shared" si="3"/>
        <v>0</v>
      </c>
      <c r="U7" s="14">
        <f t="shared" si="4"/>
        <v>0</v>
      </c>
      <c r="V7" s="17">
        <f t="shared" si="5"/>
        <v>18</v>
      </c>
      <c r="W7" s="14">
        <f t="shared" si="6"/>
        <v>3</v>
      </c>
      <c r="X7" s="17">
        <f t="shared" si="7"/>
        <v>5.78</v>
      </c>
    </row>
    <row r="8" spans="1:24" x14ac:dyDescent="0.25">
      <c r="A8" s="14" t="s">
        <v>61</v>
      </c>
      <c r="B8" s="14" t="s">
        <v>1138</v>
      </c>
      <c r="C8" s="14" t="s">
        <v>1139</v>
      </c>
      <c r="D8" s="14" t="s">
        <v>58</v>
      </c>
      <c r="E8" s="14">
        <v>1</v>
      </c>
      <c r="F8" s="14">
        <v>0</v>
      </c>
      <c r="G8" s="14">
        <v>0</v>
      </c>
      <c r="H8" s="14">
        <v>0</v>
      </c>
      <c r="I8" s="14">
        <v>0</v>
      </c>
      <c r="J8" s="17">
        <v>33</v>
      </c>
      <c r="K8" s="14">
        <v>1</v>
      </c>
      <c r="L8" s="17">
        <v>0</v>
      </c>
      <c r="M8" s="14" t="s">
        <v>86</v>
      </c>
      <c r="P8" s="14" t="str">
        <f>Setup!$A$9</f>
        <v>Expert 05</v>
      </c>
      <c r="Q8" s="14">
        <f t="shared" si="0"/>
        <v>0</v>
      </c>
      <c r="R8" s="14">
        <f t="shared" si="1"/>
        <v>0</v>
      </c>
      <c r="S8" s="14">
        <f t="shared" si="2"/>
        <v>0</v>
      </c>
      <c r="T8" s="14">
        <f t="shared" si="3"/>
        <v>0</v>
      </c>
      <c r="U8" s="14">
        <f t="shared" si="4"/>
        <v>0</v>
      </c>
      <c r="V8" s="17">
        <f t="shared" si="5"/>
        <v>0</v>
      </c>
      <c r="W8" s="14">
        <f t="shared" si="6"/>
        <v>0</v>
      </c>
      <c r="X8" s="17">
        <f t="shared" si="7"/>
        <v>0</v>
      </c>
    </row>
    <row r="9" spans="1:24" x14ac:dyDescent="0.25">
      <c r="A9" s="14" t="s">
        <v>45</v>
      </c>
      <c r="B9" s="14" t="s">
        <v>1140</v>
      </c>
      <c r="C9" s="14" t="s">
        <v>1141</v>
      </c>
      <c r="D9" s="14" t="s">
        <v>60</v>
      </c>
      <c r="E9" s="14">
        <v>1</v>
      </c>
      <c r="F9" s="14">
        <v>0</v>
      </c>
      <c r="G9" s="14">
        <v>0</v>
      </c>
      <c r="H9" s="14">
        <v>0</v>
      </c>
      <c r="I9" s="14">
        <v>0</v>
      </c>
      <c r="J9" s="17">
        <v>0</v>
      </c>
      <c r="K9" s="14">
        <v>1</v>
      </c>
      <c r="L9" s="17">
        <v>5.78</v>
      </c>
      <c r="M9" s="14" t="s">
        <v>86</v>
      </c>
      <c r="P9" s="14" t="str">
        <f>Setup!$A$10</f>
        <v>Expert 06</v>
      </c>
      <c r="Q9" s="14">
        <f t="shared" si="0"/>
        <v>0</v>
      </c>
      <c r="R9" s="14">
        <f t="shared" si="1"/>
        <v>0</v>
      </c>
      <c r="S9" s="14">
        <f t="shared" si="2"/>
        <v>1</v>
      </c>
      <c r="T9" s="14">
        <f t="shared" si="3"/>
        <v>0</v>
      </c>
      <c r="U9" s="14">
        <f t="shared" si="4"/>
        <v>1</v>
      </c>
      <c r="V9" s="17">
        <f t="shared" si="5"/>
        <v>16</v>
      </c>
      <c r="W9" s="14">
        <f t="shared" si="6"/>
        <v>0</v>
      </c>
      <c r="X9" s="17">
        <f t="shared" si="7"/>
        <v>146.6</v>
      </c>
    </row>
    <row r="10" spans="1:24" x14ac:dyDescent="0.25">
      <c r="A10" s="14" t="s">
        <v>41</v>
      </c>
      <c r="B10" s="14" t="s">
        <v>1142</v>
      </c>
      <c r="C10" s="14" t="s">
        <v>1143</v>
      </c>
      <c r="D10" s="14" t="s">
        <v>58</v>
      </c>
      <c r="E10" s="14">
        <v>1</v>
      </c>
      <c r="F10" s="14">
        <v>0</v>
      </c>
      <c r="G10" s="14">
        <v>0</v>
      </c>
      <c r="H10" s="14">
        <v>0</v>
      </c>
      <c r="I10" s="14">
        <v>0</v>
      </c>
      <c r="J10" s="17">
        <v>18</v>
      </c>
      <c r="K10" s="14">
        <v>1</v>
      </c>
      <c r="L10" s="17">
        <v>0</v>
      </c>
      <c r="M10" s="14" t="s">
        <v>212</v>
      </c>
      <c r="P10" s="14" t="str">
        <f>Setup!$A$11</f>
        <v>Expert 07</v>
      </c>
      <c r="Q10" s="14">
        <f t="shared" si="0"/>
        <v>0</v>
      </c>
      <c r="R10" s="14">
        <f t="shared" si="1"/>
        <v>1</v>
      </c>
      <c r="S10" s="14">
        <f t="shared" si="2"/>
        <v>1</v>
      </c>
      <c r="T10" s="14">
        <f t="shared" si="3"/>
        <v>0</v>
      </c>
      <c r="U10" s="14">
        <f t="shared" si="4"/>
        <v>1</v>
      </c>
      <c r="V10" s="17">
        <f t="shared" si="5"/>
        <v>0</v>
      </c>
      <c r="W10" s="14">
        <f t="shared" si="6"/>
        <v>1</v>
      </c>
      <c r="X10" s="17">
        <f t="shared" si="7"/>
        <v>54.760000000000005</v>
      </c>
    </row>
    <row r="11" spans="1:24" x14ac:dyDescent="0.25">
      <c r="A11" s="14" t="s">
        <v>39</v>
      </c>
      <c r="B11" s="14" t="s">
        <v>1144</v>
      </c>
      <c r="C11" s="14" t="s">
        <v>1145</v>
      </c>
      <c r="D11" s="14" t="s">
        <v>48</v>
      </c>
      <c r="E11" s="14">
        <v>0</v>
      </c>
      <c r="F11" s="14">
        <v>0</v>
      </c>
      <c r="G11" s="14">
        <v>0</v>
      </c>
      <c r="H11" s="14">
        <v>0</v>
      </c>
      <c r="I11" s="14">
        <v>0</v>
      </c>
      <c r="J11" s="17">
        <v>0</v>
      </c>
      <c r="K11" s="14">
        <v>1</v>
      </c>
      <c r="L11" s="17">
        <v>107.08</v>
      </c>
      <c r="M11" s="14" t="s">
        <v>86</v>
      </c>
      <c r="P11" s="14" t="str">
        <f>Setup!$A$12</f>
        <v>Expert 08</v>
      </c>
      <c r="Q11" s="14">
        <f t="shared" si="0"/>
        <v>0</v>
      </c>
      <c r="R11" s="14">
        <f t="shared" si="1"/>
        <v>0</v>
      </c>
      <c r="S11" s="14">
        <f t="shared" si="2"/>
        <v>0</v>
      </c>
      <c r="T11" s="14">
        <f t="shared" si="3"/>
        <v>0</v>
      </c>
      <c r="U11" s="14">
        <f t="shared" si="4"/>
        <v>0</v>
      </c>
      <c r="V11" s="17">
        <f t="shared" si="5"/>
        <v>0</v>
      </c>
      <c r="W11" s="14">
        <f t="shared" si="6"/>
        <v>0</v>
      </c>
      <c r="X11" s="17">
        <f t="shared" si="7"/>
        <v>0</v>
      </c>
    </row>
    <row r="12" spans="1:24" x14ac:dyDescent="0.25">
      <c r="A12" s="14" t="s">
        <v>61</v>
      </c>
      <c r="B12" s="14" t="s">
        <v>1146</v>
      </c>
      <c r="C12" s="14" t="s">
        <v>1147</v>
      </c>
      <c r="D12" s="14" t="s">
        <v>56</v>
      </c>
      <c r="E12" s="14">
        <v>0</v>
      </c>
      <c r="F12" s="14">
        <v>0</v>
      </c>
      <c r="G12" s="14">
        <v>0</v>
      </c>
      <c r="H12" s="14">
        <v>0</v>
      </c>
      <c r="I12" s="14">
        <v>0</v>
      </c>
      <c r="J12" s="17">
        <v>15</v>
      </c>
      <c r="K12" s="14">
        <v>1</v>
      </c>
      <c r="L12" s="17">
        <v>0</v>
      </c>
      <c r="M12" s="14" t="s">
        <v>86</v>
      </c>
      <c r="P12" s="14" t="str">
        <f>Setup!$A$13</f>
        <v>Expert 09</v>
      </c>
      <c r="Q12" s="14">
        <f t="shared" si="0"/>
        <v>1</v>
      </c>
      <c r="R12" s="14">
        <f t="shared" si="1"/>
        <v>1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7">
        <f t="shared" si="5"/>
        <v>31</v>
      </c>
      <c r="W12" s="14">
        <f t="shared" si="6"/>
        <v>2</v>
      </c>
      <c r="X12" s="17">
        <f t="shared" si="7"/>
        <v>158.87</v>
      </c>
    </row>
    <row r="13" spans="1:24" x14ac:dyDescent="0.25">
      <c r="A13" s="14" t="s">
        <v>61</v>
      </c>
      <c r="B13" s="14" t="s">
        <v>1148</v>
      </c>
      <c r="C13" s="14" t="s">
        <v>1149</v>
      </c>
      <c r="D13" s="14" t="s">
        <v>44</v>
      </c>
      <c r="E13" s="14">
        <v>1</v>
      </c>
      <c r="F13" s="14">
        <v>0</v>
      </c>
      <c r="G13" s="14">
        <v>0</v>
      </c>
      <c r="H13" s="14">
        <v>0</v>
      </c>
      <c r="I13" s="14">
        <v>0</v>
      </c>
      <c r="J13" s="17">
        <v>0</v>
      </c>
      <c r="K13" s="14">
        <v>1</v>
      </c>
      <c r="L13" s="17">
        <v>0</v>
      </c>
      <c r="M13" s="14" t="s">
        <v>86</v>
      </c>
      <c r="P13" s="14" t="str">
        <f>Setup!$A$14</f>
        <v>Expert 10</v>
      </c>
      <c r="Q13" s="14">
        <f t="shared" si="0"/>
        <v>1</v>
      </c>
      <c r="R13" s="14">
        <f t="shared" si="1"/>
        <v>0</v>
      </c>
      <c r="S13" s="14">
        <f t="shared" si="2"/>
        <v>0</v>
      </c>
      <c r="T13" s="14">
        <f t="shared" si="3"/>
        <v>0</v>
      </c>
      <c r="U13" s="14">
        <f t="shared" si="4"/>
        <v>0</v>
      </c>
      <c r="V13" s="17">
        <f t="shared" si="5"/>
        <v>72</v>
      </c>
      <c r="W13" s="14">
        <f t="shared" si="6"/>
        <v>4</v>
      </c>
      <c r="X13" s="17">
        <f t="shared" si="7"/>
        <v>190.23000000000002</v>
      </c>
    </row>
    <row r="14" spans="1:24" x14ac:dyDescent="0.25">
      <c r="A14" s="14" t="s">
        <v>41</v>
      </c>
      <c r="B14" s="14" t="s">
        <v>1150</v>
      </c>
      <c r="C14" s="14" t="s">
        <v>1151</v>
      </c>
      <c r="D14" s="14" t="s">
        <v>54</v>
      </c>
      <c r="E14" s="14">
        <v>0</v>
      </c>
      <c r="F14" s="14">
        <v>0</v>
      </c>
      <c r="G14" s="14">
        <v>0</v>
      </c>
      <c r="H14" s="14">
        <v>0</v>
      </c>
      <c r="I14" s="14">
        <v>0</v>
      </c>
      <c r="J14" s="17">
        <v>0</v>
      </c>
      <c r="K14" s="14">
        <v>1</v>
      </c>
      <c r="L14" s="17">
        <v>153.66999999999999</v>
      </c>
      <c r="M14" s="14" t="s">
        <v>86</v>
      </c>
      <c r="P14" s="14" t="str">
        <f>Setup!$A$15</f>
        <v>Expert 11</v>
      </c>
      <c r="Q14" s="14">
        <f t="shared" si="0"/>
        <v>1</v>
      </c>
      <c r="R14" s="14">
        <f t="shared" si="1"/>
        <v>0</v>
      </c>
      <c r="S14" s="14">
        <f t="shared" si="2"/>
        <v>0</v>
      </c>
      <c r="T14" s="14">
        <f t="shared" si="3"/>
        <v>0</v>
      </c>
      <c r="U14" s="14">
        <f t="shared" si="4"/>
        <v>1</v>
      </c>
      <c r="V14" s="17">
        <f t="shared" si="5"/>
        <v>18</v>
      </c>
      <c r="W14" s="14">
        <f t="shared" si="6"/>
        <v>2</v>
      </c>
      <c r="X14" s="17">
        <f t="shared" si="7"/>
        <v>79.31</v>
      </c>
    </row>
    <row r="15" spans="1:24" x14ac:dyDescent="0.25">
      <c r="A15" s="14" t="s">
        <v>41</v>
      </c>
      <c r="B15" s="14" t="s">
        <v>1152</v>
      </c>
      <c r="C15" s="14" t="s">
        <v>1153</v>
      </c>
      <c r="D15" s="14" t="s">
        <v>60</v>
      </c>
      <c r="E15" s="14">
        <v>0</v>
      </c>
      <c r="F15" s="14">
        <v>1</v>
      </c>
      <c r="G15" s="14">
        <v>0</v>
      </c>
      <c r="H15" s="14">
        <v>0</v>
      </c>
      <c r="I15" s="14">
        <v>0</v>
      </c>
      <c r="J15" s="17">
        <v>0</v>
      </c>
      <c r="K15" s="14">
        <v>1</v>
      </c>
      <c r="L15" s="17">
        <v>155.32</v>
      </c>
      <c r="M15" s="14" t="s">
        <v>212</v>
      </c>
      <c r="P15" s="14" t="str">
        <f>Setup!$A$16</f>
        <v>Expert 12</v>
      </c>
      <c r="Q15" s="14">
        <f t="shared" si="0"/>
        <v>4</v>
      </c>
      <c r="R15" s="14">
        <f t="shared" si="1"/>
        <v>0</v>
      </c>
      <c r="S15" s="14">
        <f t="shared" si="2"/>
        <v>0</v>
      </c>
      <c r="T15" s="14">
        <f t="shared" si="3"/>
        <v>0</v>
      </c>
      <c r="U15" s="14">
        <f t="shared" si="4"/>
        <v>2</v>
      </c>
      <c r="V15" s="17">
        <f t="shared" si="5"/>
        <v>99</v>
      </c>
      <c r="W15" s="14">
        <f t="shared" si="6"/>
        <v>6</v>
      </c>
      <c r="X15" s="17">
        <f t="shared" si="7"/>
        <v>324.82</v>
      </c>
    </row>
    <row r="16" spans="1:24" x14ac:dyDescent="0.25">
      <c r="A16" s="14" t="s">
        <v>55</v>
      </c>
      <c r="B16" s="14" t="s">
        <v>1154</v>
      </c>
      <c r="C16" s="14" t="s">
        <v>1155</v>
      </c>
      <c r="D16" s="14" t="s">
        <v>68</v>
      </c>
      <c r="E16" s="14">
        <v>0</v>
      </c>
      <c r="F16" s="14">
        <v>1</v>
      </c>
      <c r="G16" s="14">
        <v>0</v>
      </c>
      <c r="H16" s="14">
        <v>0</v>
      </c>
      <c r="I16" s="14">
        <v>0</v>
      </c>
      <c r="J16" s="17">
        <v>0</v>
      </c>
      <c r="K16" s="14">
        <v>1</v>
      </c>
      <c r="L16" s="17">
        <v>0</v>
      </c>
      <c r="M16" s="14" t="s">
        <v>86</v>
      </c>
      <c r="P16" s="18" t="s">
        <v>111</v>
      </c>
      <c r="Q16" s="19">
        <f t="shared" ref="Q16:X16" si="8">SUM(Q4:Q15)</f>
        <v>10</v>
      </c>
      <c r="R16" s="19">
        <f t="shared" si="8"/>
        <v>4</v>
      </c>
      <c r="S16" s="19">
        <f t="shared" si="8"/>
        <v>2</v>
      </c>
      <c r="T16" s="19">
        <f t="shared" si="8"/>
        <v>0</v>
      </c>
      <c r="U16" s="19">
        <f t="shared" si="8"/>
        <v>6</v>
      </c>
      <c r="V16" s="20">
        <f t="shared" si="8"/>
        <v>314</v>
      </c>
      <c r="W16" s="19">
        <f t="shared" si="8"/>
        <v>24</v>
      </c>
      <c r="X16" s="20">
        <f t="shared" si="8"/>
        <v>1376.4399999999998</v>
      </c>
    </row>
    <row r="17" spans="1:13" x14ac:dyDescent="0.25">
      <c r="A17" s="14" t="s">
        <v>57</v>
      </c>
      <c r="B17" s="14" t="s">
        <v>1156</v>
      </c>
      <c r="C17" s="14" t="s">
        <v>1157</v>
      </c>
      <c r="D17" s="14" t="s">
        <v>64</v>
      </c>
      <c r="E17" s="14">
        <v>0</v>
      </c>
      <c r="F17" s="14">
        <v>0</v>
      </c>
      <c r="G17" s="14">
        <v>0</v>
      </c>
      <c r="H17" s="14">
        <v>0</v>
      </c>
      <c r="I17" s="14">
        <v>0</v>
      </c>
      <c r="J17" s="17">
        <v>0</v>
      </c>
      <c r="K17" s="14">
        <v>1</v>
      </c>
      <c r="L17" s="17">
        <v>0</v>
      </c>
      <c r="M17" s="14" t="s">
        <v>212</v>
      </c>
    </row>
    <row r="18" spans="1:13" x14ac:dyDescent="0.25">
      <c r="A18" s="14" t="s">
        <v>59</v>
      </c>
      <c r="B18" s="14" t="s">
        <v>1158</v>
      </c>
      <c r="C18" s="14" t="s">
        <v>1159</v>
      </c>
      <c r="D18" s="14" t="s">
        <v>72</v>
      </c>
      <c r="E18" s="14">
        <v>0</v>
      </c>
      <c r="F18" s="14">
        <v>0</v>
      </c>
      <c r="G18" s="14">
        <v>0</v>
      </c>
      <c r="H18" s="14">
        <v>0</v>
      </c>
      <c r="I18" s="14">
        <v>1</v>
      </c>
      <c r="J18" s="17">
        <v>18</v>
      </c>
      <c r="K18" s="14">
        <v>0</v>
      </c>
      <c r="L18" s="17">
        <v>0</v>
      </c>
      <c r="M18" s="14" t="s">
        <v>86</v>
      </c>
    </row>
    <row r="19" spans="1:13" x14ac:dyDescent="0.25">
      <c r="A19" s="14" t="s">
        <v>55</v>
      </c>
      <c r="B19" s="14" t="s">
        <v>1160</v>
      </c>
      <c r="C19" s="14" t="s">
        <v>1161</v>
      </c>
      <c r="D19" s="14" t="s">
        <v>75</v>
      </c>
      <c r="E19" s="14">
        <v>0</v>
      </c>
      <c r="F19" s="14">
        <v>0</v>
      </c>
      <c r="G19" s="14">
        <v>0</v>
      </c>
      <c r="H19" s="14">
        <v>0</v>
      </c>
      <c r="I19" s="14">
        <v>0</v>
      </c>
      <c r="J19" s="17">
        <v>16</v>
      </c>
      <c r="K19" s="14">
        <v>0</v>
      </c>
      <c r="L19" s="17">
        <v>0</v>
      </c>
      <c r="M19" s="14" t="s">
        <v>86</v>
      </c>
    </row>
    <row r="20" spans="1:13" x14ac:dyDescent="0.25">
      <c r="A20" s="14" t="s">
        <v>51</v>
      </c>
      <c r="B20" s="14" t="s">
        <v>1162</v>
      </c>
      <c r="C20" s="14" t="s">
        <v>1163</v>
      </c>
      <c r="D20" s="14" t="s">
        <v>44</v>
      </c>
      <c r="E20" s="14">
        <v>0</v>
      </c>
      <c r="F20" s="14">
        <v>1</v>
      </c>
      <c r="G20" s="14">
        <v>0</v>
      </c>
      <c r="H20" s="14">
        <v>0</v>
      </c>
      <c r="I20" s="14">
        <v>0</v>
      </c>
      <c r="J20" s="17">
        <v>0</v>
      </c>
      <c r="K20" s="14">
        <v>1</v>
      </c>
      <c r="L20" s="17">
        <v>24.01</v>
      </c>
      <c r="M20" s="14" t="s">
        <v>86</v>
      </c>
    </row>
    <row r="21" spans="1:13" x14ac:dyDescent="0.25">
      <c r="A21" s="14" t="s">
        <v>41</v>
      </c>
      <c r="B21" s="14" t="s">
        <v>1164</v>
      </c>
      <c r="C21" s="14" t="s">
        <v>1165</v>
      </c>
      <c r="D21" s="14" t="s">
        <v>50</v>
      </c>
      <c r="E21" s="14">
        <v>1</v>
      </c>
      <c r="F21" s="14">
        <v>0</v>
      </c>
      <c r="G21" s="14">
        <v>0</v>
      </c>
      <c r="H21" s="14">
        <v>0</v>
      </c>
      <c r="I21" s="14">
        <v>0</v>
      </c>
      <c r="J21" s="17">
        <v>18</v>
      </c>
      <c r="K21" s="14">
        <v>1</v>
      </c>
      <c r="L21" s="17">
        <v>0</v>
      </c>
      <c r="M21" s="14" t="s">
        <v>86</v>
      </c>
    </row>
    <row r="22" spans="1:13" x14ac:dyDescent="0.25">
      <c r="A22" s="14" t="s">
        <v>59</v>
      </c>
      <c r="B22" s="14" t="s">
        <v>1166</v>
      </c>
      <c r="C22" s="14" t="s">
        <v>1167</v>
      </c>
      <c r="D22" s="14" t="s">
        <v>68</v>
      </c>
      <c r="E22" s="14">
        <v>0</v>
      </c>
      <c r="F22" s="14">
        <v>0</v>
      </c>
      <c r="G22" s="14">
        <v>0</v>
      </c>
      <c r="H22" s="14">
        <v>0</v>
      </c>
      <c r="I22" s="14">
        <v>0</v>
      </c>
      <c r="J22" s="17">
        <v>0</v>
      </c>
      <c r="K22" s="14">
        <v>1</v>
      </c>
      <c r="L22" s="17">
        <v>79.31</v>
      </c>
      <c r="M22" s="14" t="s">
        <v>212</v>
      </c>
    </row>
    <row r="23" spans="1:13" x14ac:dyDescent="0.25">
      <c r="A23" s="14" t="s">
        <v>61</v>
      </c>
      <c r="B23" s="14" t="s">
        <v>1168</v>
      </c>
      <c r="C23" s="14" t="s">
        <v>1169</v>
      </c>
      <c r="D23" s="14" t="s">
        <v>60</v>
      </c>
      <c r="E23" s="14">
        <v>1</v>
      </c>
      <c r="F23" s="14">
        <v>0</v>
      </c>
      <c r="G23" s="14">
        <v>0</v>
      </c>
      <c r="H23" s="14">
        <v>0</v>
      </c>
      <c r="I23" s="14">
        <v>0</v>
      </c>
      <c r="J23" s="17">
        <v>0</v>
      </c>
      <c r="K23" s="14">
        <v>1</v>
      </c>
      <c r="L23" s="17">
        <v>164.71</v>
      </c>
      <c r="M23" s="14" t="s">
        <v>86</v>
      </c>
    </row>
    <row r="24" spans="1:13" x14ac:dyDescent="0.25">
      <c r="A24" s="14" t="s">
        <v>55</v>
      </c>
      <c r="B24" s="14" t="s">
        <v>1170</v>
      </c>
      <c r="C24" s="14" t="s">
        <v>1171</v>
      </c>
      <c r="D24" s="14" t="s">
        <v>69</v>
      </c>
      <c r="E24" s="14">
        <v>1</v>
      </c>
      <c r="F24" s="14">
        <v>0</v>
      </c>
      <c r="G24" s="14">
        <v>0</v>
      </c>
      <c r="H24" s="14">
        <v>0</v>
      </c>
      <c r="I24" s="14">
        <v>0</v>
      </c>
      <c r="J24" s="17">
        <v>15</v>
      </c>
      <c r="K24" s="14">
        <v>1</v>
      </c>
      <c r="L24" s="17">
        <v>158.87</v>
      </c>
      <c r="M24" s="14" t="s">
        <v>86</v>
      </c>
    </row>
    <row r="25" spans="1:13" x14ac:dyDescent="0.25">
      <c r="A25" s="14" t="s">
        <v>41</v>
      </c>
      <c r="B25" s="14" t="s">
        <v>1172</v>
      </c>
      <c r="C25" s="14" t="s">
        <v>1173</v>
      </c>
      <c r="D25" s="14" t="s">
        <v>68</v>
      </c>
      <c r="E25" s="14">
        <v>0</v>
      </c>
      <c r="F25" s="14">
        <v>0</v>
      </c>
      <c r="G25" s="14">
        <v>0</v>
      </c>
      <c r="H25" s="14">
        <v>0</v>
      </c>
      <c r="I25" s="14">
        <v>0</v>
      </c>
      <c r="J25" s="17">
        <v>0</v>
      </c>
      <c r="K25" s="14">
        <v>1</v>
      </c>
      <c r="L25" s="17">
        <v>0</v>
      </c>
      <c r="M25" s="14" t="s">
        <v>86</v>
      </c>
    </row>
    <row r="26" spans="1:13" x14ac:dyDescent="0.25">
      <c r="A26" s="14" t="s">
        <v>43</v>
      </c>
      <c r="B26" s="14" t="s">
        <v>1174</v>
      </c>
      <c r="C26" s="14" t="s">
        <v>1175</v>
      </c>
      <c r="D26" s="14" t="s">
        <v>72</v>
      </c>
      <c r="E26" s="14">
        <v>0</v>
      </c>
      <c r="F26" s="14">
        <v>0</v>
      </c>
      <c r="G26" s="14">
        <v>0</v>
      </c>
      <c r="H26" s="14">
        <v>0</v>
      </c>
      <c r="I26" s="14">
        <v>1</v>
      </c>
      <c r="J26" s="17">
        <v>24</v>
      </c>
      <c r="K26" s="14">
        <v>0</v>
      </c>
      <c r="L26" s="17">
        <v>0</v>
      </c>
      <c r="M26" s="14" t="s">
        <v>86</v>
      </c>
    </row>
    <row r="27" spans="1:13" x14ac:dyDescent="0.25">
      <c r="A27" s="14" t="s">
        <v>61</v>
      </c>
      <c r="B27" s="14" t="s">
        <v>1176</v>
      </c>
      <c r="C27" s="14" t="s">
        <v>1177</v>
      </c>
      <c r="D27" s="14" t="s">
        <v>70</v>
      </c>
      <c r="E27" s="14">
        <v>0</v>
      </c>
      <c r="F27" s="14">
        <v>0</v>
      </c>
      <c r="G27" s="14">
        <v>0</v>
      </c>
      <c r="H27" s="14">
        <v>0</v>
      </c>
      <c r="I27" s="14">
        <v>0</v>
      </c>
      <c r="J27" s="17">
        <v>0</v>
      </c>
      <c r="K27" s="14">
        <v>1</v>
      </c>
      <c r="L27" s="17">
        <v>0</v>
      </c>
      <c r="M27" s="14" t="s">
        <v>86</v>
      </c>
    </row>
    <row r="28" spans="1:13" x14ac:dyDescent="0.25">
      <c r="A28" s="14" t="s">
        <v>61</v>
      </c>
      <c r="B28" s="14" t="s">
        <v>1178</v>
      </c>
      <c r="C28" s="14" t="s">
        <v>1179</v>
      </c>
      <c r="D28" s="14" t="s">
        <v>72</v>
      </c>
      <c r="E28" s="14">
        <v>0</v>
      </c>
      <c r="F28" s="14">
        <v>0</v>
      </c>
      <c r="G28" s="14">
        <v>0</v>
      </c>
      <c r="H28" s="14">
        <v>0</v>
      </c>
      <c r="I28" s="14">
        <v>1</v>
      </c>
      <c r="J28" s="17">
        <v>18</v>
      </c>
      <c r="K28" s="14">
        <v>0</v>
      </c>
      <c r="L28" s="17">
        <v>0</v>
      </c>
      <c r="M28" s="14" t="s">
        <v>86</v>
      </c>
    </row>
    <row r="29" spans="1:13" x14ac:dyDescent="0.25">
      <c r="A29" s="14" t="s">
        <v>61</v>
      </c>
      <c r="B29" s="14" t="s">
        <v>1180</v>
      </c>
      <c r="C29" s="14" t="s">
        <v>1181</v>
      </c>
      <c r="D29" s="14" t="s">
        <v>72</v>
      </c>
      <c r="E29" s="14">
        <v>0</v>
      </c>
      <c r="F29" s="14">
        <v>0</v>
      </c>
      <c r="G29" s="14">
        <v>0</v>
      </c>
      <c r="H29" s="14">
        <v>0</v>
      </c>
      <c r="I29" s="14">
        <v>1</v>
      </c>
      <c r="J29" s="17">
        <v>0</v>
      </c>
      <c r="K29" s="14">
        <v>0</v>
      </c>
      <c r="L29" s="17">
        <v>150.06</v>
      </c>
      <c r="M29" s="14" t="s">
        <v>86</v>
      </c>
    </row>
    <row r="30" spans="1:13" x14ac:dyDescent="0.25">
      <c r="A30" s="14" t="s">
        <v>51</v>
      </c>
      <c r="B30" s="14" t="s">
        <v>1182</v>
      </c>
      <c r="C30" s="14" t="s">
        <v>1183</v>
      </c>
      <c r="D30" s="14" t="s">
        <v>73</v>
      </c>
      <c r="E30" s="14">
        <v>0</v>
      </c>
      <c r="F30" s="14">
        <v>0</v>
      </c>
      <c r="G30" s="14">
        <v>1</v>
      </c>
      <c r="H30" s="14">
        <v>0</v>
      </c>
      <c r="I30" s="14">
        <v>1</v>
      </c>
      <c r="J30" s="17">
        <v>0</v>
      </c>
      <c r="K30" s="14">
        <v>0</v>
      </c>
      <c r="L30" s="17">
        <v>30.75</v>
      </c>
      <c r="M30" s="14" t="s">
        <v>86</v>
      </c>
    </row>
    <row r="31" spans="1:13" x14ac:dyDescent="0.25">
      <c r="A31" s="14" t="s">
        <v>59</v>
      </c>
      <c r="B31" s="14" t="s">
        <v>1184</v>
      </c>
      <c r="C31" s="14" t="s">
        <v>1185</v>
      </c>
      <c r="D31" s="14" t="s">
        <v>64</v>
      </c>
      <c r="E31" s="14">
        <v>1</v>
      </c>
      <c r="F31" s="14">
        <v>0</v>
      </c>
      <c r="G31" s="14">
        <v>0</v>
      </c>
      <c r="H31" s="14">
        <v>0</v>
      </c>
      <c r="I31" s="14">
        <v>0</v>
      </c>
      <c r="J31" s="17">
        <v>0</v>
      </c>
      <c r="K31" s="14">
        <v>1</v>
      </c>
      <c r="L31" s="17">
        <v>0</v>
      </c>
      <c r="M31" s="14" t="s">
        <v>86</v>
      </c>
    </row>
    <row r="32" spans="1:13" x14ac:dyDescent="0.25">
      <c r="A32" s="14" t="s">
        <v>61</v>
      </c>
      <c r="B32" s="14" t="s">
        <v>1186</v>
      </c>
      <c r="C32" s="14" t="s">
        <v>1187</v>
      </c>
      <c r="D32" s="14" t="s">
        <v>54</v>
      </c>
      <c r="E32" s="14">
        <v>1</v>
      </c>
      <c r="F32" s="14">
        <v>0</v>
      </c>
      <c r="G32" s="14">
        <v>0</v>
      </c>
      <c r="H32" s="14">
        <v>0</v>
      </c>
      <c r="I32" s="14">
        <v>0</v>
      </c>
      <c r="J32" s="17">
        <v>33</v>
      </c>
      <c r="K32" s="14">
        <v>1</v>
      </c>
      <c r="L32" s="17">
        <v>10.050000000000001</v>
      </c>
      <c r="M32" s="14" t="s">
        <v>86</v>
      </c>
    </row>
    <row r="33" spans="1:13" x14ac:dyDescent="0.25">
      <c r="A33" s="14" t="s">
        <v>45</v>
      </c>
      <c r="B33" s="14" t="s">
        <v>1188</v>
      </c>
      <c r="C33" s="14" t="s">
        <v>1189</v>
      </c>
      <c r="D33" s="14" t="s">
        <v>71</v>
      </c>
      <c r="E33" s="14">
        <v>0</v>
      </c>
      <c r="F33" s="14">
        <v>0</v>
      </c>
      <c r="G33" s="14">
        <v>0</v>
      </c>
      <c r="H33" s="14">
        <v>0</v>
      </c>
      <c r="I33" s="14">
        <v>0</v>
      </c>
      <c r="J33" s="17">
        <v>18</v>
      </c>
      <c r="K33" s="14">
        <v>1</v>
      </c>
      <c r="L33" s="17">
        <v>0</v>
      </c>
      <c r="M33" s="14" t="s">
        <v>212</v>
      </c>
    </row>
    <row r="34" spans="1:13" x14ac:dyDescent="0.25">
      <c r="A34" s="14" t="s">
        <v>57</v>
      </c>
      <c r="B34" s="14" t="s">
        <v>1190</v>
      </c>
      <c r="C34" s="14" t="s">
        <v>1191</v>
      </c>
      <c r="D34" s="14" t="s">
        <v>63</v>
      </c>
      <c r="E34" s="14">
        <v>0</v>
      </c>
      <c r="F34" s="14">
        <v>0</v>
      </c>
      <c r="G34" s="14">
        <v>0</v>
      </c>
      <c r="H34" s="14">
        <v>0</v>
      </c>
      <c r="I34" s="14">
        <v>0</v>
      </c>
      <c r="J34" s="17">
        <v>15</v>
      </c>
      <c r="K34" s="14">
        <v>1</v>
      </c>
      <c r="L34" s="17">
        <v>69.260000000000005</v>
      </c>
      <c r="M34" s="14" t="s">
        <v>86</v>
      </c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7"/>
      <c r="K35" s="14"/>
      <c r="L35" s="17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7"/>
      <c r="K36" s="14"/>
      <c r="L36" s="17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7"/>
      <c r="K37" s="14"/>
      <c r="L37" s="17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7"/>
      <c r="K38" s="14"/>
      <c r="L38" s="17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7"/>
      <c r="K39" s="14"/>
      <c r="L39" s="17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7"/>
      <c r="K40" s="14"/>
      <c r="L40" s="17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7"/>
      <c r="K41" s="14"/>
      <c r="L41" s="17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7"/>
      <c r="K42" s="14"/>
      <c r="L42" s="17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7"/>
      <c r="K43" s="14"/>
      <c r="L43" s="17"/>
      <c r="M43" s="14"/>
    </row>
  </sheetData>
  <mergeCells count="2">
    <mergeCell ref="A2:M2"/>
    <mergeCell ref="A1:M1"/>
  </mergeCells>
  <dataValidations count="1">
    <dataValidation type="list" allowBlank="1" sqref="M4:M43" xr:uid="{00000000-0002-0000-18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800-000000000000}">
          <x14:formula1>
            <xm:f>Setup!$A$5:$A$16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800-000001000000}">
          <x14:formula1>
            <xm:f>Setup!$C$5:$C$30</xm:f>
          </x14:formula1>
          <xm:sqref>D4:D43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4" t="s">
        <v>1192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</row>
    <row r="2" spans="1:24" ht="21.95" customHeight="1" x14ac:dyDescent="0.25">
      <c r="A2" s="43" t="s">
        <v>19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</row>
    <row r="3" spans="1:24" x14ac:dyDescent="0.25">
      <c r="A3" s="12" t="s">
        <v>79</v>
      </c>
      <c r="B3" s="12" t="s">
        <v>80</v>
      </c>
      <c r="C3" s="12" t="s">
        <v>81</v>
      </c>
      <c r="D3" s="12" t="s">
        <v>82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83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57</v>
      </c>
      <c r="B4" s="14" t="s">
        <v>1193</v>
      </c>
      <c r="C4" s="14" t="s">
        <v>1194</v>
      </c>
      <c r="D4" s="14" t="s">
        <v>42</v>
      </c>
      <c r="E4" s="14">
        <v>1</v>
      </c>
      <c r="F4" s="14">
        <v>0</v>
      </c>
      <c r="G4" s="14">
        <v>0</v>
      </c>
      <c r="H4" s="14">
        <v>1</v>
      </c>
      <c r="I4" s="14">
        <v>0</v>
      </c>
      <c r="J4" s="17">
        <v>0</v>
      </c>
      <c r="K4" s="14">
        <v>1</v>
      </c>
      <c r="L4" s="17">
        <v>151.87</v>
      </c>
      <c r="M4" s="14" t="s">
        <v>86</v>
      </c>
      <c r="P4" s="14" t="str">
        <f>Setup!$A$5</f>
        <v>Expert 01</v>
      </c>
      <c r="Q4" s="14">
        <f t="shared" ref="Q4:Q15" si="0">SUMIF($A$4:$A$43,$P4,E$4:E$43)</f>
        <v>0</v>
      </c>
      <c r="R4" s="14">
        <f t="shared" ref="R4:R15" si="1">SUMIF($A$4:$A$43,$P4,F$4:F$43)</f>
        <v>0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7">
        <f t="shared" ref="V4:V15" si="5">SUMIF($A$4:$A$43,$P4,J$4:J$43)</f>
        <v>0</v>
      </c>
      <c r="W4" s="14">
        <f t="shared" ref="W4:W15" si="6">SUMIF($A$4:$A$43,$P4,K$4:K$43)</f>
        <v>1</v>
      </c>
      <c r="X4" s="17">
        <f t="shared" ref="X4:X15" si="7">SUMIF($A$4:$A$43,$P4,L$4:L$43)</f>
        <v>0</v>
      </c>
    </row>
    <row r="5" spans="1:24" x14ac:dyDescent="0.25">
      <c r="A5" s="14" t="s">
        <v>49</v>
      </c>
      <c r="B5" s="14" t="s">
        <v>1195</v>
      </c>
      <c r="C5" s="14" t="s">
        <v>1196</v>
      </c>
      <c r="D5" s="14" t="s">
        <v>76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7">
        <v>0</v>
      </c>
      <c r="K5" s="14">
        <v>0</v>
      </c>
      <c r="L5" s="17">
        <v>35.92</v>
      </c>
      <c r="M5" s="14" t="s">
        <v>86</v>
      </c>
      <c r="P5" s="14" t="str">
        <f>Setup!$A$6</f>
        <v>Expert 02</v>
      </c>
      <c r="Q5" s="14">
        <f t="shared" si="0"/>
        <v>3</v>
      </c>
      <c r="R5" s="14">
        <f t="shared" si="1"/>
        <v>0</v>
      </c>
      <c r="S5" s="14">
        <f t="shared" si="2"/>
        <v>0</v>
      </c>
      <c r="T5" s="14">
        <f t="shared" si="3"/>
        <v>1</v>
      </c>
      <c r="U5" s="14">
        <f t="shared" si="4"/>
        <v>1</v>
      </c>
      <c r="V5" s="17">
        <f t="shared" si="5"/>
        <v>30</v>
      </c>
      <c r="W5" s="14">
        <f t="shared" si="6"/>
        <v>3</v>
      </c>
      <c r="X5" s="17">
        <f t="shared" si="7"/>
        <v>356.40999999999997</v>
      </c>
    </row>
    <row r="6" spans="1:24" x14ac:dyDescent="0.25">
      <c r="A6" s="14" t="s">
        <v>43</v>
      </c>
      <c r="B6" s="14" t="s">
        <v>1197</v>
      </c>
      <c r="C6" s="14" t="s">
        <v>1198</v>
      </c>
      <c r="D6" s="14" t="s">
        <v>52</v>
      </c>
      <c r="E6" s="14">
        <v>1</v>
      </c>
      <c r="F6" s="14">
        <v>0</v>
      </c>
      <c r="G6" s="14">
        <v>0</v>
      </c>
      <c r="H6" s="14">
        <v>0</v>
      </c>
      <c r="I6" s="14">
        <v>0</v>
      </c>
      <c r="J6" s="17">
        <v>15</v>
      </c>
      <c r="K6" s="14">
        <v>1</v>
      </c>
      <c r="L6" s="17">
        <v>0</v>
      </c>
      <c r="M6" s="14" t="s">
        <v>86</v>
      </c>
      <c r="P6" s="14" t="str">
        <f>Setup!$A$7</f>
        <v>Expert 03</v>
      </c>
      <c r="Q6" s="14">
        <f t="shared" si="0"/>
        <v>3</v>
      </c>
      <c r="R6" s="14">
        <f t="shared" si="1"/>
        <v>0</v>
      </c>
      <c r="S6" s="14">
        <f t="shared" si="2"/>
        <v>1</v>
      </c>
      <c r="T6" s="14">
        <f t="shared" si="3"/>
        <v>1</v>
      </c>
      <c r="U6" s="14">
        <f t="shared" si="4"/>
        <v>0</v>
      </c>
      <c r="V6" s="17">
        <f t="shared" si="5"/>
        <v>31</v>
      </c>
      <c r="W6" s="14">
        <f t="shared" si="6"/>
        <v>4</v>
      </c>
      <c r="X6" s="17">
        <f t="shared" si="7"/>
        <v>193.45999999999998</v>
      </c>
    </row>
    <row r="7" spans="1:24" x14ac:dyDescent="0.25">
      <c r="A7" s="14" t="s">
        <v>41</v>
      </c>
      <c r="B7" s="14" t="s">
        <v>1199</v>
      </c>
      <c r="C7" s="14" t="s">
        <v>1200</v>
      </c>
      <c r="D7" s="14" t="s">
        <v>42</v>
      </c>
      <c r="E7" s="14">
        <v>1</v>
      </c>
      <c r="F7" s="14">
        <v>0</v>
      </c>
      <c r="G7" s="14">
        <v>0</v>
      </c>
      <c r="H7" s="14">
        <v>0</v>
      </c>
      <c r="I7" s="14">
        <v>0</v>
      </c>
      <c r="J7" s="17">
        <v>0</v>
      </c>
      <c r="K7" s="14">
        <v>1</v>
      </c>
      <c r="L7" s="17">
        <v>0</v>
      </c>
      <c r="M7" s="14" t="s">
        <v>212</v>
      </c>
      <c r="P7" s="14" t="str">
        <f>Setup!$A$8</f>
        <v>Expert 04</v>
      </c>
      <c r="Q7" s="14">
        <f t="shared" si="0"/>
        <v>0</v>
      </c>
      <c r="R7" s="14">
        <f t="shared" si="1"/>
        <v>0</v>
      </c>
      <c r="S7" s="14">
        <f t="shared" si="2"/>
        <v>0</v>
      </c>
      <c r="T7" s="14">
        <f t="shared" si="3"/>
        <v>0</v>
      </c>
      <c r="U7" s="14">
        <f t="shared" si="4"/>
        <v>0</v>
      </c>
      <c r="V7" s="17">
        <f t="shared" si="5"/>
        <v>0</v>
      </c>
      <c r="W7" s="14">
        <f t="shared" si="6"/>
        <v>0</v>
      </c>
      <c r="X7" s="17">
        <f t="shared" si="7"/>
        <v>0</v>
      </c>
    </row>
    <row r="8" spans="1:24" x14ac:dyDescent="0.25">
      <c r="A8" s="14" t="s">
        <v>55</v>
      </c>
      <c r="B8" s="14" t="s">
        <v>1201</v>
      </c>
      <c r="C8" s="14" t="s">
        <v>1202</v>
      </c>
      <c r="D8" s="14" t="s">
        <v>44</v>
      </c>
      <c r="E8" s="14">
        <v>0</v>
      </c>
      <c r="F8" s="14">
        <v>0</v>
      </c>
      <c r="G8" s="14">
        <v>0</v>
      </c>
      <c r="H8" s="14">
        <v>0</v>
      </c>
      <c r="I8" s="14">
        <v>0</v>
      </c>
      <c r="J8" s="17">
        <v>0</v>
      </c>
      <c r="K8" s="14">
        <v>1</v>
      </c>
      <c r="L8" s="17">
        <v>0</v>
      </c>
      <c r="M8" s="14" t="s">
        <v>86</v>
      </c>
      <c r="P8" s="14" t="str">
        <f>Setup!$A$9</f>
        <v>Expert 05</v>
      </c>
      <c r="Q8" s="14">
        <f t="shared" si="0"/>
        <v>2</v>
      </c>
      <c r="R8" s="14">
        <f t="shared" si="1"/>
        <v>0</v>
      </c>
      <c r="S8" s="14">
        <f t="shared" si="2"/>
        <v>0</v>
      </c>
      <c r="T8" s="14">
        <f t="shared" si="3"/>
        <v>0</v>
      </c>
      <c r="U8" s="14">
        <f t="shared" si="4"/>
        <v>0</v>
      </c>
      <c r="V8" s="17">
        <f t="shared" si="5"/>
        <v>33</v>
      </c>
      <c r="W8" s="14">
        <f t="shared" si="6"/>
        <v>3</v>
      </c>
      <c r="X8" s="17">
        <f t="shared" si="7"/>
        <v>127.16999999999999</v>
      </c>
    </row>
    <row r="9" spans="1:24" x14ac:dyDescent="0.25">
      <c r="A9" s="14" t="s">
        <v>47</v>
      </c>
      <c r="B9" s="14" t="s">
        <v>1203</v>
      </c>
      <c r="C9" s="14" t="s">
        <v>1204</v>
      </c>
      <c r="D9" s="14" t="s">
        <v>42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7">
        <v>33</v>
      </c>
      <c r="K9" s="14">
        <v>1</v>
      </c>
      <c r="L9" s="17">
        <v>62.37</v>
      </c>
      <c r="M9" s="14" t="s">
        <v>86</v>
      </c>
      <c r="P9" s="14" t="str">
        <f>Setup!$A$10</f>
        <v>Expert 06</v>
      </c>
      <c r="Q9" s="14">
        <f t="shared" si="0"/>
        <v>1</v>
      </c>
      <c r="R9" s="14">
        <f t="shared" si="1"/>
        <v>0</v>
      </c>
      <c r="S9" s="14">
        <f t="shared" si="2"/>
        <v>0</v>
      </c>
      <c r="T9" s="14">
        <f t="shared" si="3"/>
        <v>0</v>
      </c>
      <c r="U9" s="14">
        <f t="shared" si="4"/>
        <v>0</v>
      </c>
      <c r="V9" s="17">
        <f t="shared" si="5"/>
        <v>0</v>
      </c>
      <c r="W9" s="14">
        <f t="shared" si="6"/>
        <v>1</v>
      </c>
      <c r="X9" s="17">
        <f t="shared" si="7"/>
        <v>35.92</v>
      </c>
    </row>
    <row r="10" spans="1:24" x14ac:dyDescent="0.25">
      <c r="A10" s="14" t="s">
        <v>39</v>
      </c>
      <c r="B10" s="14" t="s">
        <v>1205</v>
      </c>
      <c r="C10" s="14" t="s">
        <v>1206</v>
      </c>
      <c r="D10" s="14" t="s">
        <v>60</v>
      </c>
      <c r="E10" s="14">
        <v>0</v>
      </c>
      <c r="F10" s="14">
        <v>0</v>
      </c>
      <c r="G10" s="14">
        <v>0</v>
      </c>
      <c r="H10" s="14">
        <v>0</v>
      </c>
      <c r="I10" s="14">
        <v>0</v>
      </c>
      <c r="J10" s="17">
        <v>0</v>
      </c>
      <c r="K10" s="14">
        <v>1</v>
      </c>
      <c r="L10" s="17">
        <v>0</v>
      </c>
      <c r="M10" s="14" t="s">
        <v>212</v>
      </c>
      <c r="P10" s="14" t="str">
        <f>Setup!$A$11</f>
        <v>Expert 07</v>
      </c>
      <c r="Q10" s="14">
        <f t="shared" si="0"/>
        <v>1</v>
      </c>
      <c r="R10" s="14">
        <f t="shared" si="1"/>
        <v>1</v>
      </c>
      <c r="S10" s="14">
        <f t="shared" si="2"/>
        <v>0</v>
      </c>
      <c r="T10" s="14">
        <f t="shared" si="3"/>
        <v>0</v>
      </c>
      <c r="U10" s="14">
        <f t="shared" si="4"/>
        <v>0</v>
      </c>
      <c r="V10" s="17">
        <f t="shared" si="5"/>
        <v>0</v>
      </c>
      <c r="W10" s="14">
        <f t="shared" si="6"/>
        <v>2</v>
      </c>
      <c r="X10" s="17">
        <f t="shared" si="7"/>
        <v>147.78</v>
      </c>
    </row>
    <row r="11" spans="1:24" x14ac:dyDescent="0.25">
      <c r="A11" s="14" t="s">
        <v>53</v>
      </c>
      <c r="B11" s="14" t="s">
        <v>1207</v>
      </c>
      <c r="C11" s="14" t="s">
        <v>1208</v>
      </c>
      <c r="D11" s="14" t="s">
        <v>40</v>
      </c>
      <c r="E11" s="14">
        <v>1</v>
      </c>
      <c r="F11" s="14">
        <v>0</v>
      </c>
      <c r="G11" s="14">
        <v>0</v>
      </c>
      <c r="H11" s="14">
        <v>0</v>
      </c>
      <c r="I11" s="14">
        <v>0</v>
      </c>
      <c r="J11" s="17">
        <v>0</v>
      </c>
      <c r="K11" s="14">
        <v>1</v>
      </c>
      <c r="L11" s="17">
        <v>139.05000000000001</v>
      </c>
      <c r="M11" s="14" t="s">
        <v>86</v>
      </c>
      <c r="P11" s="14" t="str">
        <f>Setup!$A$12</f>
        <v>Expert 08</v>
      </c>
      <c r="Q11" s="14">
        <f t="shared" si="0"/>
        <v>3</v>
      </c>
      <c r="R11" s="14">
        <f t="shared" si="1"/>
        <v>0</v>
      </c>
      <c r="S11" s="14">
        <f t="shared" si="2"/>
        <v>0</v>
      </c>
      <c r="T11" s="14">
        <f t="shared" si="3"/>
        <v>0</v>
      </c>
      <c r="U11" s="14">
        <f t="shared" si="4"/>
        <v>0</v>
      </c>
      <c r="V11" s="17">
        <f t="shared" si="5"/>
        <v>0</v>
      </c>
      <c r="W11" s="14">
        <f t="shared" si="6"/>
        <v>2</v>
      </c>
      <c r="X11" s="17">
        <f t="shared" si="7"/>
        <v>178.67000000000002</v>
      </c>
    </row>
    <row r="12" spans="1:24" x14ac:dyDescent="0.25">
      <c r="A12" s="14" t="s">
        <v>45</v>
      </c>
      <c r="B12" s="14" t="s">
        <v>1209</v>
      </c>
      <c r="C12" s="14" t="s">
        <v>1210</v>
      </c>
      <c r="D12" s="14" t="s">
        <v>76</v>
      </c>
      <c r="E12" s="14">
        <v>0</v>
      </c>
      <c r="F12" s="14">
        <v>0</v>
      </c>
      <c r="G12" s="14">
        <v>0</v>
      </c>
      <c r="H12" s="14">
        <v>0</v>
      </c>
      <c r="I12" s="14">
        <v>0</v>
      </c>
      <c r="J12" s="17">
        <v>0</v>
      </c>
      <c r="K12" s="14">
        <v>0</v>
      </c>
      <c r="L12" s="17">
        <v>0</v>
      </c>
      <c r="M12" s="14" t="s">
        <v>86</v>
      </c>
      <c r="P12" s="14" t="str">
        <f>Setup!$A$13</f>
        <v>Expert 09</v>
      </c>
      <c r="Q12" s="14">
        <f t="shared" si="0"/>
        <v>1</v>
      </c>
      <c r="R12" s="14">
        <f t="shared" si="1"/>
        <v>0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7">
        <f t="shared" si="5"/>
        <v>0</v>
      </c>
      <c r="W12" s="14">
        <f t="shared" si="6"/>
        <v>4</v>
      </c>
      <c r="X12" s="17">
        <f t="shared" si="7"/>
        <v>67.89</v>
      </c>
    </row>
    <row r="13" spans="1:24" x14ac:dyDescent="0.25">
      <c r="A13" s="14" t="s">
        <v>59</v>
      </c>
      <c r="B13" s="14" t="s">
        <v>1211</v>
      </c>
      <c r="C13" s="14" t="s">
        <v>1212</v>
      </c>
      <c r="D13" s="14" t="s">
        <v>66</v>
      </c>
      <c r="E13" s="14">
        <v>1</v>
      </c>
      <c r="F13" s="14">
        <v>0</v>
      </c>
      <c r="G13" s="14">
        <v>0</v>
      </c>
      <c r="H13" s="14">
        <v>0</v>
      </c>
      <c r="I13" s="14">
        <v>0</v>
      </c>
      <c r="J13" s="17">
        <v>18</v>
      </c>
      <c r="K13" s="14">
        <v>1</v>
      </c>
      <c r="L13" s="17">
        <v>0</v>
      </c>
      <c r="M13" s="14" t="s">
        <v>86</v>
      </c>
      <c r="P13" s="14" t="str">
        <f>Setup!$A$14</f>
        <v>Expert 10</v>
      </c>
      <c r="Q13" s="14">
        <f t="shared" si="0"/>
        <v>3</v>
      </c>
      <c r="R13" s="14">
        <f t="shared" si="1"/>
        <v>0</v>
      </c>
      <c r="S13" s="14">
        <f t="shared" si="2"/>
        <v>0</v>
      </c>
      <c r="T13" s="14">
        <f t="shared" si="3"/>
        <v>1</v>
      </c>
      <c r="U13" s="14">
        <f t="shared" si="4"/>
        <v>0</v>
      </c>
      <c r="V13" s="17">
        <f t="shared" si="5"/>
        <v>15</v>
      </c>
      <c r="W13" s="14">
        <f t="shared" si="6"/>
        <v>3</v>
      </c>
      <c r="X13" s="17">
        <f t="shared" si="7"/>
        <v>358.13</v>
      </c>
    </row>
    <row r="14" spans="1:24" x14ac:dyDescent="0.25">
      <c r="A14" s="14" t="s">
        <v>43</v>
      </c>
      <c r="B14" s="14" t="s">
        <v>1213</v>
      </c>
      <c r="C14" s="14" t="s">
        <v>1214</v>
      </c>
      <c r="D14" s="14" t="s">
        <v>68</v>
      </c>
      <c r="E14" s="14">
        <v>0</v>
      </c>
      <c r="F14" s="14">
        <v>0</v>
      </c>
      <c r="G14" s="14">
        <v>1</v>
      </c>
      <c r="H14" s="14">
        <v>1</v>
      </c>
      <c r="I14" s="14">
        <v>0</v>
      </c>
      <c r="J14" s="17">
        <v>0</v>
      </c>
      <c r="K14" s="14">
        <v>1</v>
      </c>
      <c r="L14" s="17">
        <v>157.16999999999999</v>
      </c>
      <c r="M14" s="14" t="s">
        <v>86</v>
      </c>
      <c r="P14" s="14" t="str">
        <f>Setup!$A$15</f>
        <v>Expert 11</v>
      </c>
      <c r="Q14" s="14">
        <f t="shared" si="0"/>
        <v>2</v>
      </c>
      <c r="R14" s="14">
        <f t="shared" si="1"/>
        <v>0</v>
      </c>
      <c r="S14" s="14">
        <f t="shared" si="2"/>
        <v>0</v>
      </c>
      <c r="T14" s="14">
        <f t="shared" si="3"/>
        <v>0</v>
      </c>
      <c r="U14" s="14">
        <f t="shared" si="4"/>
        <v>0</v>
      </c>
      <c r="V14" s="17">
        <f t="shared" si="5"/>
        <v>18</v>
      </c>
      <c r="W14" s="14">
        <f t="shared" si="6"/>
        <v>2</v>
      </c>
      <c r="X14" s="17">
        <f t="shared" si="7"/>
        <v>32.97</v>
      </c>
    </row>
    <row r="15" spans="1:24" x14ac:dyDescent="0.25">
      <c r="A15" s="14" t="s">
        <v>61</v>
      </c>
      <c r="B15" s="14" t="s">
        <v>1215</v>
      </c>
      <c r="C15" s="14" t="s">
        <v>1216</v>
      </c>
      <c r="D15" s="14" t="s">
        <v>66</v>
      </c>
      <c r="E15" s="14">
        <v>0</v>
      </c>
      <c r="F15" s="14">
        <v>0</v>
      </c>
      <c r="G15" s="14">
        <v>0</v>
      </c>
      <c r="H15" s="14">
        <v>0</v>
      </c>
      <c r="I15" s="14">
        <v>0</v>
      </c>
      <c r="J15" s="17">
        <v>0</v>
      </c>
      <c r="K15" s="14">
        <v>1</v>
      </c>
      <c r="L15" s="17">
        <v>106.9</v>
      </c>
      <c r="M15" s="14" t="s">
        <v>86</v>
      </c>
      <c r="P15" s="14" t="str">
        <f>Setup!$A$16</f>
        <v>Expert 12</v>
      </c>
      <c r="Q15" s="14">
        <f t="shared" si="0"/>
        <v>0</v>
      </c>
      <c r="R15" s="14">
        <f t="shared" si="1"/>
        <v>0</v>
      </c>
      <c r="S15" s="14">
        <f t="shared" si="2"/>
        <v>0</v>
      </c>
      <c r="T15" s="14">
        <f t="shared" si="3"/>
        <v>0</v>
      </c>
      <c r="U15" s="14">
        <f t="shared" si="4"/>
        <v>1</v>
      </c>
      <c r="V15" s="17">
        <f t="shared" si="5"/>
        <v>24</v>
      </c>
      <c r="W15" s="14">
        <f t="shared" si="6"/>
        <v>2</v>
      </c>
      <c r="X15" s="17">
        <f t="shared" si="7"/>
        <v>131.07</v>
      </c>
    </row>
    <row r="16" spans="1:24" x14ac:dyDescent="0.25">
      <c r="A16" s="14" t="s">
        <v>41</v>
      </c>
      <c r="B16" s="14" t="s">
        <v>1217</v>
      </c>
      <c r="C16" s="14" t="s">
        <v>1218</v>
      </c>
      <c r="D16" s="14" t="s">
        <v>72</v>
      </c>
      <c r="E16" s="14">
        <v>0</v>
      </c>
      <c r="F16" s="14">
        <v>0</v>
      </c>
      <c r="G16" s="14">
        <v>0</v>
      </c>
      <c r="H16" s="14">
        <v>0</v>
      </c>
      <c r="I16" s="14">
        <v>1</v>
      </c>
      <c r="J16" s="17">
        <v>15</v>
      </c>
      <c r="K16" s="14">
        <v>0</v>
      </c>
      <c r="L16" s="17">
        <v>161.88999999999999</v>
      </c>
      <c r="M16" s="14" t="s">
        <v>86</v>
      </c>
      <c r="P16" s="18" t="s">
        <v>111</v>
      </c>
      <c r="Q16" s="19">
        <f t="shared" ref="Q16:X16" si="8">SUM(Q4:Q15)</f>
        <v>19</v>
      </c>
      <c r="R16" s="19">
        <f t="shared" si="8"/>
        <v>1</v>
      </c>
      <c r="S16" s="19">
        <f t="shared" si="8"/>
        <v>1</v>
      </c>
      <c r="T16" s="19">
        <f t="shared" si="8"/>
        <v>3</v>
      </c>
      <c r="U16" s="19">
        <f t="shared" si="8"/>
        <v>2</v>
      </c>
      <c r="V16" s="20">
        <f t="shared" si="8"/>
        <v>151</v>
      </c>
      <c r="W16" s="19">
        <f t="shared" si="8"/>
        <v>27</v>
      </c>
      <c r="X16" s="20">
        <f t="shared" si="8"/>
        <v>1629.4699999999998</v>
      </c>
    </row>
    <row r="17" spans="1:13" x14ac:dyDescent="0.25">
      <c r="A17" s="14" t="s">
        <v>49</v>
      </c>
      <c r="B17" s="14" t="s">
        <v>1219</v>
      </c>
      <c r="C17" s="14" t="s">
        <v>1220</v>
      </c>
      <c r="D17" s="14" t="s">
        <v>52</v>
      </c>
      <c r="E17" s="14">
        <v>1</v>
      </c>
      <c r="F17" s="14">
        <v>0</v>
      </c>
      <c r="G17" s="14">
        <v>0</v>
      </c>
      <c r="H17" s="14">
        <v>0</v>
      </c>
      <c r="I17" s="14">
        <v>0</v>
      </c>
      <c r="J17" s="17">
        <v>0</v>
      </c>
      <c r="K17" s="14">
        <v>1</v>
      </c>
      <c r="L17" s="17">
        <v>0</v>
      </c>
      <c r="M17" s="14" t="s">
        <v>86</v>
      </c>
    </row>
    <row r="18" spans="1:13" x14ac:dyDescent="0.25">
      <c r="A18" s="14" t="s">
        <v>41</v>
      </c>
      <c r="B18" s="14" t="s">
        <v>1221</v>
      </c>
      <c r="C18" s="14" t="s">
        <v>1222</v>
      </c>
      <c r="D18" s="14" t="s">
        <v>68</v>
      </c>
      <c r="E18" s="14">
        <v>1</v>
      </c>
      <c r="F18" s="14">
        <v>0</v>
      </c>
      <c r="G18" s="14">
        <v>0</v>
      </c>
      <c r="H18" s="14">
        <v>0</v>
      </c>
      <c r="I18" s="14">
        <v>0</v>
      </c>
      <c r="J18" s="17">
        <v>0</v>
      </c>
      <c r="K18" s="14">
        <v>1</v>
      </c>
      <c r="L18" s="17">
        <v>102.27</v>
      </c>
      <c r="M18" s="14" t="s">
        <v>86</v>
      </c>
    </row>
    <row r="19" spans="1:13" x14ac:dyDescent="0.25">
      <c r="A19" s="14" t="s">
        <v>43</v>
      </c>
      <c r="B19" s="14" t="s">
        <v>1223</v>
      </c>
      <c r="C19" s="14" t="s">
        <v>1224</v>
      </c>
      <c r="D19" s="14" t="s">
        <v>68</v>
      </c>
      <c r="E19" s="14">
        <v>1</v>
      </c>
      <c r="F19" s="14">
        <v>0</v>
      </c>
      <c r="G19" s="14">
        <v>0</v>
      </c>
      <c r="H19" s="14">
        <v>0</v>
      </c>
      <c r="I19" s="14">
        <v>0</v>
      </c>
      <c r="J19" s="17">
        <v>16</v>
      </c>
      <c r="K19" s="14">
        <v>1</v>
      </c>
      <c r="L19" s="17">
        <v>0</v>
      </c>
      <c r="M19" s="14" t="s">
        <v>86</v>
      </c>
    </row>
    <row r="20" spans="1:13" x14ac:dyDescent="0.25">
      <c r="A20" s="14" t="s">
        <v>47</v>
      </c>
      <c r="B20" s="14" t="s">
        <v>1225</v>
      </c>
      <c r="C20" s="14" t="s">
        <v>1226</v>
      </c>
      <c r="D20" s="14" t="s">
        <v>71</v>
      </c>
      <c r="E20" s="14">
        <v>1</v>
      </c>
      <c r="F20" s="14">
        <v>0</v>
      </c>
      <c r="G20" s="14">
        <v>0</v>
      </c>
      <c r="H20" s="14">
        <v>0</v>
      </c>
      <c r="I20" s="14">
        <v>0</v>
      </c>
      <c r="J20" s="17">
        <v>0</v>
      </c>
      <c r="K20" s="14">
        <v>1</v>
      </c>
      <c r="L20" s="17">
        <v>0</v>
      </c>
      <c r="M20" s="14" t="s">
        <v>86</v>
      </c>
    </row>
    <row r="21" spans="1:13" x14ac:dyDescent="0.25">
      <c r="A21" s="14" t="s">
        <v>51</v>
      </c>
      <c r="B21" s="14" t="s">
        <v>1227</v>
      </c>
      <c r="C21" s="14" t="s">
        <v>1228</v>
      </c>
      <c r="D21" s="14" t="s">
        <v>63</v>
      </c>
      <c r="E21" s="14">
        <v>1</v>
      </c>
      <c r="F21" s="14">
        <v>0</v>
      </c>
      <c r="G21" s="14">
        <v>0</v>
      </c>
      <c r="H21" s="14">
        <v>0</v>
      </c>
      <c r="I21" s="14">
        <v>0</v>
      </c>
      <c r="J21" s="17">
        <v>0</v>
      </c>
      <c r="K21" s="14">
        <v>1</v>
      </c>
      <c r="L21" s="17">
        <v>0</v>
      </c>
      <c r="M21" s="14" t="s">
        <v>86</v>
      </c>
    </row>
    <row r="22" spans="1:13" x14ac:dyDescent="0.25">
      <c r="A22" s="14" t="s">
        <v>53</v>
      </c>
      <c r="B22" s="14" t="s">
        <v>1229</v>
      </c>
      <c r="C22" s="14" t="s">
        <v>1230</v>
      </c>
      <c r="D22" s="14" t="s">
        <v>74</v>
      </c>
      <c r="E22" s="14">
        <v>1</v>
      </c>
      <c r="F22" s="14">
        <v>0</v>
      </c>
      <c r="G22" s="14">
        <v>0</v>
      </c>
      <c r="H22" s="14">
        <v>0</v>
      </c>
      <c r="I22" s="14">
        <v>0</v>
      </c>
      <c r="J22" s="17">
        <v>0</v>
      </c>
      <c r="K22" s="14">
        <v>0</v>
      </c>
      <c r="L22" s="17">
        <v>39.619999999999997</v>
      </c>
      <c r="M22" s="14" t="s">
        <v>86</v>
      </c>
    </row>
    <row r="23" spans="1:13" x14ac:dyDescent="0.25">
      <c r="A23" s="14" t="s">
        <v>55</v>
      </c>
      <c r="B23" s="14" t="s">
        <v>1231</v>
      </c>
      <c r="C23" s="14" t="s">
        <v>1232</v>
      </c>
      <c r="D23" s="14" t="s">
        <v>48</v>
      </c>
      <c r="E23" s="14">
        <v>0</v>
      </c>
      <c r="F23" s="14">
        <v>0</v>
      </c>
      <c r="G23" s="14">
        <v>0</v>
      </c>
      <c r="H23" s="14">
        <v>0</v>
      </c>
      <c r="I23" s="14">
        <v>0</v>
      </c>
      <c r="J23" s="17">
        <v>0</v>
      </c>
      <c r="K23" s="14">
        <v>1</v>
      </c>
      <c r="L23" s="17">
        <v>3.05</v>
      </c>
      <c r="M23" s="14" t="s">
        <v>86</v>
      </c>
    </row>
    <row r="24" spans="1:13" x14ac:dyDescent="0.25">
      <c r="A24" s="14" t="s">
        <v>43</v>
      </c>
      <c r="B24" s="14" t="s">
        <v>1233</v>
      </c>
      <c r="C24" s="14" t="s">
        <v>1234</v>
      </c>
      <c r="D24" s="14" t="s">
        <v>66</v>
      </c>
      <c r="E24" s="14">
        <v>1</v>
      </c>
      <c r="F24" s="14">
        <v>0</v>
      </c>
      <c r="G24" s="14">
        <v>0</v>
      </c>
      <c r="H24" s="14">
        <v>0</v>
      </c>
      <c r="I24" s="14">
        <v>0</v>
      </c>
      <c r="J24" s="17">
        <v>0</v>
      </c>
      <c r="K24" s="14">
        <v>1</v>
      </c>
      <c r="L24" s="17">
        <v>36.29</v>
      </c>
      <c r="M24" s="14" t="s">
        <v>86</v>
      </c>
    </row>
    <row r="25" spans="1:13" x14ac:dyDescent="0.25">
      <c r="A25" s="14" t="s">
        <v>51</v>
      </c>
      <c r="B25" s="14" t="s">
        <v>1235</v>
      </c>
      <c r="C25" s="14" t="s">
        <v>1236</v>
      </c>
      <c r="D25" s="14" t="s">
        <v>68</v>
      </c>
      <c r="E25" s="14">
        <v>0</v>
      </c>
      <c r="F25" s="14">
        <v>1</v>
      </c>
      <c r="G25" s="14">
        <v>0</v>
      </c>
      <c r="H25" s="14">
        <v>0</v>
      </c>
      <c r="I25" s="14">
        <v>0</v>
      </c>
      <c r="J25" s="17">
        <v>0</v>
      </c>
      <c r="K25" s="14">
        <v>1</v>
      </c>
      <c r="L25" s="17">
        <v>147.78</v>
      </c>
      <c r="M25" s="14" t="s">
        <v>86</v>
      </c>
    </row>
    <row r="26" spans="1:13" x14ac:dyDescent="0.25">
      <c r="A26" s="14" t="s">
        <v>59</v>
      </c>
      <c r="B26" s="14" t="s">
        <v>1237</v>
      </c>
      <c r="C26" s="14" t="s">
        <v>1238</v>
      </c>
      <c r="D26" s="14" t="s">
        <v>50</v>
      </c>
      <c r="E26" s="14">
        <v>1</v>
      </c>
      <c r="F26" s="14">
        <v>0</v>
      </c>
      <c r="G26" s="14">
        <v>0</v>
      </c>
      <c r="H26" s="14">
        <v>0</v>
      </c>
      <c r="I26" s="14">
        <v>0</v>
      </c>
      <c r="J26" s="17">
        <v>0</v>
      </c>
      <c r="K26" s="14">
        <v>1</v>
      </c>
      <c r="L26" s="17">
        <v>32.97</v>
      </c>
      <c r="M26" s="14" t="s">
        <v>86</v>
      </c>
    </row>
    <row r="27" spans="1:13" x14ac:dyDescent="0.25">
      <c r="A27" s="14" t="s">
        <v>47</v>
      </c>
      <c r="B27" s="14" t="s">
        <v>1239</v>
      </c>
      <c r="C27" s="14" t="s">
        <v>1240</v>
      </c>
      <c r="D27" s="14" t="s">
        <v>66</v>
      </c>
      <c r="E27" s="14">
        <v>1</v>
      </c>
      <c r="F27" s="14">
        <v>0</v>
      </c>
      <c r="G27" s="14">
        <v>0</v>
      </c>
      <c r="H27" s="14">
        <v>0</v>
      </c>
      <c r="I27" s="14">
        <v>0</v>
      </c>
      <c r="J27" s="17">
        <v>0</v>
      </c>
      <c r="K27" s="14">
        <v>1</v>
      </c>
      <c r="L27" s="17">
        <v>64.8</v>
      </c>
      <c r="M27" s="14" t="s">
        <v>86</v>
      </c>
    </row>
    <row r="28" spans="1:13" x14ac:dyDescent="0.25">
      <c r="A28" s="14" t="s">
        <v>41</v>
      </c>
      <c r="B28" s="14" t="s">
        <v>1241</v>
      </c>
      <c r="C28" s="14" t="s">
        <v>1242</v>
      </c>
      <c r="D28" s="14" t="s">
        <v>44</v>
      </c>
      <c r="E28" s="14">
        <v>1</v>
      </c>
      <c r="F28" s="14">
        <v>0</v>
      </c>
      <c r="G28" s="14">
        <v>0</v>
      </c>
      <c r="H28" s="14">
        <v>1</v>
      </c>
      <c r="I28" s="14">
        <v>0</v>
      </c>
      <c r="J28" s="17">
        <v>15</v>
      </c>
      <c r="K28" s="14">
        <v>1</v>
      </c>
      <c r="L28" s="17">
        <v>92.25</v>
      </c>
      <c r="M28" s="14" t="s">
        <v>86</v>
      </c>
    </row>
    <row r="29" spans="1:13" x14ac:dyDescent="0.25">
      <c r="A29" s="14" t="s">
        <v>57</v>
      </c>
      <c r="B29" s="14" t="s">
        <v>1243</v>
      </c>
      <c r="C29" s="14" t="s">
        <v>1244</v>
      </c>
      <c r="D29" s="14" t="s">
        <v>46</v>
      </c>
      <c r="E29" s="14">
        <v>1</v>
      </c>
      <c r="F29" s="14">
        <v>0</v>
      </c>
      <c r="G29" s="14">
        <v>0</v>
      </c>
      <c r="H29" s="14">
        <v>0</v>
      </c>
      <c r="I29" s="14">
        <v>0</v>
      </c>
      <c r="J29" s="17">
        <v>0</v>
      </c>
      <c r="K29" s="14">
        <v>1</v>
      </c>
      <c r="L29" s="17">
        <v>0</v>
      </c>
      <c r="M29" s="14" t="s">
        <v>86</v>
      </c>
    </row>
    <row r="30" spans="1:13" x14ac:dyDescent="0.25">
      <c r="A30" s="14" t="s">
        <v>55</v>
      </c>
      <c r="B30" s="14" t="s">
        <v>1245</v>
      </c>
      <c r="C30" s="14" t="s">
        <v>1246</v>
      </c>
      <c r="D30" s="14" t="s">
        <v>42</v>
      </c>
      <c r="E30" s="14">
        <v>1</v>
      </c>
      <c r="F30" s="14">
        <v>0</v>
      </c>
      <c r="G30" s="14">
        <v>0</v>
      </c>
      <c r="H30" s="14">
        <v>0</v>
      </c>
      <c r="I30" s="14">
        <v>0</v>
      </c>
      <c r="J30" s="17">
        <v>0</v>
      </c>
      <c r="K30" s="14">
        <v>1</v>
      </c>
      <c r="L30" s="17">
        <v>1.96</v>
      </c>
      <c r="M30" s="14" t="s">
        <v>86</v>
      </c>
    </row>
    <row r="31" spans="1:13" x14ac:dyDescent="0.25">
      <c r="A31" s="14" t="s">
        <v>57</v>
      </c>
      <c r="B31" s="14" t="s">
        <v>1247</v>
      </c>
      <c r="C31" s="14" t="s">
        <v>1248</v>
      </c>
      <c r="D31" s="14" t="s">
        <v>58</v>
      </c>
      <c r="E31" s="14">
        <v>1</v>
      </c>
      <c r="F31" s="14">
        <v>0</v>
      </c>
      <c r="G31" s="14">
        <v>0</v>
      </c>
      <c r="H31" s="14">
        <v>0</v>
      </c>
      <c r="I31" s="14">
        <v>0</v>
      </c>
      <c r="J31" s="17">
        <v>0</v>
      </c>
      <c r="K31" s="14">
        <v>1</v>
      </c>
      <c r="L31" s="17">
        <v>44.32</v>
      </c>
      <c r="M31" s="14" t="s">
        <v>86</v>
      </c>
    </row>
    <row r="32" spans="1:13" x14ac:dyDescent="0.25">
      <c r="A32" s="14" t="s">
        <v>61</v>
      </c>
      <c r="B32" s="14" t="s">
        <v>1249</v>
      </c>
      <c r="C32" s="14" t="s">
        <v>1250</v>
      </c>
      <c r="D32" s="14" t="s">
        <v>60</v>
      </c>
      <c r="E32" s="14">
        <v>0</v>
      </c>
      <c r="F32" s="14">
        <v>0</v>
      </c>
      <c r="G32" s="14">
        <v>0</v>
      </c>
      <c r="H32" s="14">
        <v>0</v>
      </c>
      <c r="I32" s="14">
        <v>0</v>
      </c>
      <c r="J32" s="17">
        <v>0</v>
      </c>
      <c r="K32" s="14">
        <v>1</v>
      </c>
      <c r="L32" s="17">
        <v>0</v>
      </c>
      <c r="M32" s="14" t="s">
        <v>86</v>
      </c>
    </row>
    <row r="33" spans="1:13" x14ac:dyDescent="0.25">
      <c r="A33" s="14" t="s">
        <v>57</v>
      </c>
      <c r="B33" s="14" t="s">
        <v>1251</v>
      </c>
      <c r="C33" s="14" t="s">
        <v>1252</v>
      </c>
      <c r="D33" s="14" t="s">
        <v>75</v>
      </c>
      <c r="E33" s="14">
        <v>0</v>
      </c>
      <c r="F33" s="14">
        <v>0</v>
      </c>
      <c r="G33" s="14">
        <v>0</v>
      </c>
      <c r="H33" s="14">
        <v>0</v>
      </c>
      <c r="I33" s="14">
        <v>0</v>
      </c>
      <c r="J33" s="17">
        <v>15</v>
      </c>
      <c r="K33" s="14">
        <v>0</v>
      </c>
      <c r="L33" s="17">
        <v>161.94</v>
      </c>
      <c r="M33" s="14" t="s">
        <v>212</v>
      </c>
    </row>
    <row r="34" spans="1:13" x14ac:dyDescent="0.25">
      <c r="A34" s="14" t="s">
        <v>61</v>
      </c>
      <c r="B34" s="14" t="s">
        <v>1253</v>
      </c>
      <c r="C34" s="14" t="s">
        <v>1254</v>
      </c>
      <c r="D34" s="14" t="s">
        <v>73</v>
      </c>
      <c r="E34" s="14">
        <v>0</v>
      </c>
      <c r="F34" s="14">
        <v>0</v>
      </c>
      <c r="G34" s="14">
        <v>0</v>
      </c>
      <c r="H34" s="14">
        <v>0</v>
      </c>
      <c r="I34" s="14">
        <v>1</v>
      </c>
      <c r="J34" s="17">
        <v>24</v>
      </c>
      <c r="K34" s="14">
        <v>0</v>
      </c>
      <c r="L34" s="17">
        <v>24.17</v>
      </c>
      <c r="M34" s="14" t="s">
        <v>86</v>
      </c>
    </row>
    <row r="35" spans="1:13" x14ac:dyDescent="0.25">
      <c r="A35" s="14" t="s">
        <v>55</v>
      </c>
      <c r="B35" s="14" t="s">
        <v>1255</v>
      </c>
      <c r="C35" s="14" t="s">
        <v>1256</v>
      </c>
      <c r="D35" s="14" t="s">
        <v>60</v>
      </c>
      <c r="E35" s="14">
        <v>0</v>
      </c>
      <c r="F35" s="14">
        <v>0</v>
      </c>
      <c r="G35" s="14">
        <v>0</v>
      </c>
      <c r="H35" s="14">
        <v>0</v>
      </c>
      <c r="I35" s="14">
        <v>0</v>
      </c>
      <c r="J35" s="17">
        <v>0</v>
      </c>
      <c r="K35" s="14">
        <v>1</v>
      </c>
      <c r="L35" s="17">
        <v>62.88</v>
      </c>
      <c r="M35" s="14" t="s">
        <v>86</v>
      </c>
    </row>
    <row r="36" spans="1:13" x14ac:dyDescent="0.25">
      <c r="A36" s="14" t="s">
        <v>53</v>
      </c>
      <c r="B36" s="14" t="s">
        <v>1257</v>
      </c>
      <c r="C36" s="14" t="s">
        <v>1258</v>
      </c>
      <c r="D36" s="14" t="s">
        <v>50</v>
      </c>
      <c r="E36" s="14">
        <v>1</v>
      </c>
      <c r="F36" s="14">
        <v>0</v>
      </c>
      <c r="G36" s="14">
        <v>0</v>
      </c>
      <c r="H36" s="14">
        <v>0</v>
      </c>
      <c r="I36" s="14">
        <v>0</v>
      </c>
      <c r="J36" s="17">
        <v>0</v>
      </c>
      <c r="K36" s="14">
        <v>1</v>
      </c>
      <c r="L36" s="17">
        <v>0</v>
      </c>
      <c r="M36" s="14" t="s">
        <v>86</v>
      </c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7"/>
      <c r="K37" s="14"/>
      <c r="L37" s="17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7"/>
      <c r="K38" s="14"/>
      <c r="L38" s="17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7"/>
      <c r="K39" s="14"/>
      <c r="L39" s="17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7"/>
      <c r="K40" s="14"/>
      <c r="L40" s="17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7"/>
      <c r="K41" s="14"/>
      <c r="L41" s="17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7"/>
      <c r="K42" s="14"/>
      <c r="L42" s="17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7"/>
      <c r="K43" s="14"/>
      <c r="L43" s="17"/>
      <c r="M43" s="14"/>
    </row>
  </sheetData>
  <mergeCells count="2">
    <mergeCell ref="A2:M2"/>
    <mergeCell ref="A1:M1"/>
  </mergeCells>
  <dataValidations count="1">
    <dataValidation type="list" allowBlank="1" sqref="M4:M43" xr:uid="{00000000-0002-0000-19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900-000000000000}">
          <x14:formula1>
            <xm:f>Setup!$A$5:$A$16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900-000001000000}">
          <x14:formula1>
            <xm:f>Setup!$C$5:$C$30</xm:f>
          </x14:formula1>
          <xm:sqref>D4:D43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4" t="s">
        <v>1259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</row>
    <row r="2" spans="1:24" ht="21.95" customHeight="1" x14ac:dyDescent="0.25">
      <c r="A2" s="43" t="s">
        <v>19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</row>
    <row r="3" spans="1:24" x14ac:dyDescent="0.25">
      <c r="A3" s="12" t="s">
        <v>79</v>
      </c>
      <c r="B3" s="12" t="s">
        <v>80</v>
      </c>
      <c r="C3" s="12" t="s">
        <v>81</v>
      </c>
      <c r="D3" s="12" t="s">
        <v>82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83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53</v>
      </c>
      <c r="B4" s="14" t="s">
        <v>1260</v>
      </c>
      <c r="C4" s="14" t="s">
        <v>1261</v>
      </c>
      <c r="D4" s="14" t="s">
        <v>54</v>
      </c>
      <c r="E4" s="14">
        <v>1</v>
      </c>
      <c r="F4" s="14">
        <v>0</v>
      </c>
      <c r="G4" s="14">
        <v>0</v>
      </c>
      <c r="H4" s="14">
        <v>0</v>
      </c>
      <c r="I4" s="14">
        <v>0</v>
      </c>
      <c r="J4" s="17">
        <v>16</v>
      </c>
      <c r="K4" s="14">
        <v>1</v>
      </c>
      <c r="L4" s="17">
        <v>118.54</v>
      </c>
      <c r="M4" s="14" t="s">
        <v>86</v>
      </c>
      <c r="P4" s="14" t="str">
        <f>Setup!$A$5</f>
        <v>Expert 01</v>
      </c>
      <c r="Q4" s="14">
        <f t="shared" ref="Q4:Q15" si="0">SUMIF($A$4:$A$43,$P4,E$4:E$43)</f>
        <v>1</v>
      </c>
      <c r="R4" s="14">
        <f t="shared" ref="R4:R15" si="1">SUMIF($A$4:$A$43,$P4,F$4:F$43)</f>
        <v>0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7">
        <f t="shared" ref="V4:V15" si="5">SUMIF($A$4:$A$43,$P4,J$4:J$43)</f>
        <v>0</v>
      </c>
      <c r="W4" s="14">
        <f t="shared" ref="W4:W15" si="6">SUMIF($A$4:$A$43,$P4,K$4:K$43)</f>
        <v>1</v>
      </c>
      <c r="X4" s="17">
        <f t="shared" ref="X4:X15" si="7">SUMIF($A$4:$A$43,$P4,L$4:L$43)</f>
        <v>217.34</v>
      </c>
    </row>
    <row r="5" spans="1:24" x14ac:dyDescent="0.25">
      <c r="A5" s="14" t="s">
        <v>57</v>
      </c>
      <c r="B5" s="14" t="s">
        <v>1262</v>
      </c>
      <c r="C5" s="14" t="s">
        <v>1263</v>
      </c>
      <c r="D5" s="14" t="s">
        <v>60</v>
      </c>
      <c r="E5" s="14">
        <v>1</v>
      </c>
      <c r="F5" s="14">
        <v>0</v>
      </c>
      <c r="G5" s="14">
        <v>0</v>
      </c>
      <c r="H5" s="14">
        <v>0</v>
      </c>
      <c r="I5" s="14">
        <v>0</v>
      </c>
      <c r="J5" s="17">
        <v>0</v>
      </c>
      <c r="K5" s="14">
        <v>1</v>
      </c>
      <c r="L5" s="17">
        <v>36.840000000000003</v>
      </c>
      <c r="M5" s="14" t="s">
        <v>86</v>
      </c>
      <c r="P5" s="14" t="str">
        <f>Setup!$A$6</f>
        <v>Expert 02</v>
      </c>
      <c r="Q5" s="14">
        <f t="shared" si="0"/>
        <v>2</v>
      </c>
      <c r="R5" s="14">
        <f t="shared" si="1"/>
        <v>1</v>
      </c>
      <c r="S5" s="14">
        <f t="shared" si="2"/>
        <v>0</v>
      </c>
      <c r="T5" s="14">
        <f t="shared" si="3"/>
        <v>0</v>
      </c>
      <c r="U5" s="14">
        <f t="shared" si="4"/>
        <v>0</v>
      </c>
      <c r="V5" s="17">
        <f t="shared" si="5"/>
        <v>51</v>
      </c>
      <c r="W5" s="14">
        <f t="shared" si="6"/>
        <v>3</v>
      </c>
      <c r="X5" s="17">
        <f t="shared" si="7"/>
        <v>5.31</v>
      </c>
    </row>
    <row r="6" spans="1:24" x14ac:dyDescent="0.25">
      <c r="A6" s="14" t="s">
        <v>49</v>
      </c>
      <c r="B6" s="14" t="s">
        <v>1264</v>
      </c>
      <c r="C6" s="14" t="s">
        <v>1265</v>
      </c>
      <c r="D6" s="14" t="s">
        <v>70</v>
      </c>
      <c r="E6" s="14">
        <v>1</v>
      </c>
      <c r="F6" s="14">
        <v>0</v>
      </c>
      <c r="G6" s="14">
        <v>0</v>
      </c>
      <c r="H6" s="14">
        <v>0</v>
      </c>
      <c r="I6" s="14">
        <v>0</v>
      </c>
      <c r="J6" s="17">
        <v>24</v>
      </c>
      <c r="K6" s="14">
        <v>1</v>
      </c>
      <c r="L6" s="17">
        <v>74.150000000000006</v>
      </c>
      <c r="M6" s="14" t="s">
        <v>86</v>
      </c>
      <c r="P6" s="14" t="str">
        <f>Setup!$A$7</f>
        <v>Expert 03</v>
      </c>
      <c r="Q6" s="14">
        <f t="shared" si="0"/>
        <v>3</v>
      </c>
      <c r="R6" s="14">
        <f t="shared" si="1"/>
        <v>0</v>
      </c>
      <c r="S6" s="14">
        <f t="shared" si="2"/>
        <v>0</v>
      </c>
      <c r="T6" s="14">
        <f t="shared" si="3"/>
        <v>0</v>
      </c>
      <c r="U6" s="14">
        <f t="shared" si="4"/>
        <v>0</v>
      </c>
      <c r="V6" s="17">
        <f t="shared" si="5"/>
        <v>51</v>
      </c>
      <c r="W6" s="14">
        <f t="shared" si="6"/>
        <v>4</v>
      </c>
      <c r="X6" s="17">
        <f t="shared" si="7"/>
        <v>362.79999999999995</v>
      </c>
    </row>
    <row r="7" spans="1:24" x14ac:dyDescent="0.25">
      <c r="A7" s="14" t="s">
        <v>43</v>
      </c>
      <c r="B7" s="14" t="s">
        <v>1266</v>
      </c>
      <c r="C7" s="14" t="s">
        <v>1267</v>
      </c>
      <c r="D7" s="14" t="s">
        <v>58</v>
      </c>
      <c r="E7" s="14">
        <v>0</v>
      </c>
      <c r="F7" s="14">
        <v>0</v>
      </c>
      <c r="G7" s="14">
        <v>0</v>
      </c>
      <c r="H7" s="14">
        <v>0</v>
      </c>
      <c r="I7" s="14">
        <v>0</v>
      </c>
      <c r="J7" s="17">
        <v>0</v>
      </c>
      <c r="K7" s="14">
        <v>1</v>
      </c>
      <c r="L7" s="17">
        <v>173.2</v>
      </c>
      <c r="M7" s="14" t="s">
        <v>86</v>
      </c>
      <c r="P7" s="14" t="str">
        <f>Setup!$A$8</f>
        <v>Expert 04</v>
      </c>
      <c r="Q7" s="14">
        <f t="shared" si="0"/>
        <v>0</v>
      </c>
      <c r="R7" s="14">
        <f t="shared" si="1"/>
        <v>0</v>
      </c>
      <c r="S7" s="14">
        <f t="shared" si="2"/>
        <v>0</v>
      </c>
      <c r="T7" s="14">
        <f t="shared" si="3"/>
        <v>0</v>
      </c>
      <c r="U7" s="14">
        <f t="shared" si="4"/>
        <v>0</v>
      </c>
      <c r="V7" s="17">
        <f t="shared" si="5"/>
        <v>0</v>
      </c>
      <c r="W7" s="14">
        <f t="shared" si="6"/>
        <v>0</v>
      </c>
      <c r="X7" s="17">
        <f t="shared" si="7"/>
        <v>0</v>
      </c>
    </row>
    <row r="8" spans="1:24" x14ac:dyDescent="0.25">
      <c r="A8" s="14" t="s">
        <v>49</v>
      </c>
      <c r="B8" s="14" t="s">
        <v>1268</v>
      </c>
      <c r="C8" s="14" t="s">
        <v>1269</v>
      </c>
      <c r="D8" s="14" t="s">
        <v>64</v>
      </c>
      <c r="E8" s="14">
        <v>0</v>
      </c>
      <c r="F8" s="14">
        <v>0</v>
      </c>
      <c r="G8" s="14">
        <v>0</v>
      </c>
      <c r="H8" s="14">
        <v>0</v>
      </c>
      <c r="I8" s="14">
        <v>0</v>
      </c>
      <c r="J8" s="17">
        <v>33</v>
      </c>
      <c r="K8" s="14">
        <v>1</v>
      </c>
      <c r="L8" s="17">
        <v>66.13</v>
      </c>
      <c r="M8" s="14" t="s">
        <v>86</v>
      </c>
      <c r="P8" s="14" t="str">
        <f>Setup!$A$9</f>
        <v>Expert 05</v>
      </c>
      <c r="Q8" s="14">
        <f t="shared" si="0"/>
        <v>1</v>
      </c>
      <c r="R8" s="14">
        <f t="shared" si="1"/>
        <v>0</v>
      </c>
      <c r="S8" s="14">
        <f t="shared" si="2"/>
        <v>0</v>
      </c>
      <c r="T8" s="14">
        <f t="shared" si="3"/>
        <v>0</v>
      </c>
      <c r="U8" s="14">
        <f t="shared" si="4"/>
        <v>0</v>
      </c>
      <c r="V8" s="17">
        <f t="shared" si="5"/>
        <v>33</v>
      </c>
      <c r="W8" s="14">
        <f t="shared" si="6"/>
        <v>2</v>
      </c>
      <c r="X8" s="17">
        <f t="shared" si="7"/>
        <v>134.13999999999999</v>
      </c>
    </row>
    <row r="9" spans="1:24" x14ac:dyDescent="0.25">
      <c r="A9" s="14" t="s">
        <v>39</v>
      </c>
      <c r="B9" s="14" t="s">
        <v>1270</v>
      </c>
      <c r="C9" s="14" t="s">
        <v>1271</v>
      </c>
      <c r="D9" s="14" t="s">
        <v>76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7">
        <v>0</v>
      </c>
      <c r="K9" s="14">
        <v>0</v>
      </c>
      <c r="L9" s="17">
        <v>58.72</v>
      </c>
      <c r="M9" s="14" t="s">
        <v>212</v>
      </c>
      <c r="P9" s="14" t="str">
        <f>Setup!$A$10</f>
        <v>Expert 06</v>
      </c>
      <c r="Q9" s="14">
        <f t="shared" si="0"/>
        <v>3</v>
      </c>
      <c r="R9" s="14">
        <f t="shared" si="1"/>
        <v>0</v>
      </c>
      <c r="S9" s="14">
        <f t="shared" si="2"/>
        <v>0</v>
      </c>
      <c r="T9" s="14">
        <f t="shared" si="3"/>
        <v>0</v>
      </c>
      <c r="U9" s="14">
        <f t="shared" si="4"/>
        <v>0</v>
      </c>
      <c r="V9" s="17">
        <f t="shared" si="5"/>
        <v>90</v>
      </c>
      <c r="W9" s="14">
        <f t="shared" si="6"/>
        <v>4</v>
      </c>
      <c r="X9" s="17">
        <f t="shared" si="7"/>
        <v>419.87</v>
      </c>
    </row>
    <row r="10" spans="1:24" x14ac:dyDescent="0.25">
      <c r="A10" s="14" t="s">
        <v>39</v>
      </c>
      <c r="B10" s="14" t="s">
        <v>1272</v>
      </c>
      <c r="C10" s="14" t="s">
        <v>1273</v>
      </c>
      <c r="D10" s="14" t="s">
        <v>62</v>
      </c>
      <c r="E10" s="14">
        <v>1</v>
      </c>
      <c r="F10" s="14">
        <v>0</v>
      </c>
      <c r="G10" s="14">
        <v>0</v>
      </c>
      <c r="H10" s="14">
        <v>0</v>
      </c>
      <c r="I10" s="14">
        <v>0</v>
      </c>
      <c r="J10" s="17">
        <v>0</v>
      </c>
      <c r="K10" s="14">
        <v>1</v>
      </c>
      <c r="L10" s="17">
        <v>158.62</v>
      </c>
      <c r="M10" s="14" t="s">
        <v>86</v>
      </c>
      <c r="P10" s="14" t="str">
        <f>Setup!$A$11</f>
        <v>Expert 07</v>
      </c>
      <c r="Q10" s="14">
        <f t="shared" si="0"/>
        <v>0</v>
      </c>
      <c r="R10" s="14">
        <f t="shared" si="1"/>
        <v>0</v>
      </c>
      <c r="S10" s="14">
        <f t="shared" si="2"/>
        <v>0</v>
      </c>
      <c r="T10" s="14">
        <f t="shared" si="3"/>
        <v>0</v>
      </c>
      <c r="U10" s="14">
        <f t="shared" si="4"/>
        <v>0</v>
      </c>
      <c r="V10" s="17">
        <f t="shared" si="5"/>
        <v>0</v>
      </c>
      <c r="W10" s="14">
        <f t="shared" si="6"/>
        <v>0</v>
      </c>
      <c r="X10" s="17">
        <f t="shared" si="7"/>
        <v>0</v>
      </c>
    </row>
    <row r="11" spans="1:24" x14ac:dyDescent="0.25">
      <c r="A11" s="14" t="s">
        <v>57</v>
      </c>
      <c r="B11" s="14" t="s">
        <v>1274</v>
      </c>
      <c r="C11" s="14" t="s">
        <v>1275</v>
      </c>
      <c r="D11" s="14" t="s">
        <v>66</v>
      </c>
      <c r="E11" s="14">
        <v>1</v>
      </c>
      <c r="F11" s="14">
        <v>0</v>
      </c>
      <c r="G11" s="14">
        <v>0</v>
      </c>
      <c r="H11" s="14">
        <v>1</v>
      </c>
      <c r="I11" s="14">
        <v>0</v>
      </c>
      <c r="J11" s="17">
        <v>0</v>
      </c>
      <c r="K11" s="14">
        <v>1</v>
      </c>
      <c r="L11" s="17">
        <v>0</v>
      </c>
      <c r="M11" s="14" t="s">
        <v>86</v>
      </c>
      <c r="P11" s="14" t="str">
        <f>Setup!$A$12</f>
        <v>Expert 08</v>
      </c>
      <c r="Q11" s="14">
        <f t="shared" si="0"/>
        <v>1</v>
      </c>
      <c r="R11" s="14">
        <f t="shared" si="1"/>
        <v>0</v>
      </c>
      <c r="S11" s="14">
        <f t="shared" si="2"/>
        <v>0</v>
      </c>
      <c r="T11" s="14">
        <f t="shared" si="3"/>
        <v>0</v>
      </c>
      <c r="U11" s="14">
        <f t="shared" si="4"/>
        <v>0</v>
      </c>
      <c r="V11" s="17">
        <f t="shared" si="5"/>
        <v>16</v>
      </c>
      <c r="W11" s="14">
        <f t="shared" si="6"/>
        <v>1</v>
      </c>
      <c r="X11" s="17">
        <f t="shared" si="7"/>
        <v>118.54</v>
      </c>
    </row>
    <row r="12" spans="1:24" x14ac:dyDescent="0.25">
      <c r="A12" s="14" t="s">
        <v>55</v>
      </c>
      <c r="B12" s="14" t="s">
        <v>1276</v>
      </c>
      <c r="C12" s="14" t="s">
        <v>1277</v>
      </c>
      <c r="D12" s="14" t="s">
        <v>75</v>
      </c>
      <c r="E12" s="14">
        <v>0</v>
      </c>
      <c r="F12" s="14">
        <v>0</v>
      </c>
      <c r="G12" s="14">
        <v>0</v>
      </c>
      <c r="H12" s="14">
        <v>1</v>
      </c>
      <c r="I12" s="14">
        <v>0</v>
      </c>
      <c r="J12" s="17">
        <v>0</v>
      </c>
      <c r="K12" s="14">
        <v>0</v>
      </c>
      <c r="L12" s="17">
        <v>54.96</v>
      </c>
      <c r="M12" s="14" t="s">
        <v>86</v>
      </c>
      <c r="P12" s="14" t="str">
        <f>Setup!$A$13</f>
        <v>Expert 09</v>
      </c>
      <c r="Q12" s="14">
        <f t="shared" si="0"/>
        <v>1</v>
      </c>
      <c r="R12" s="14">
        <f t="shared" si="1"/>
        <v>0</v>
      </c>
      <c r="S12" s="14">
        <f t="shared" si="2"/>
        <v>0</v>
      </c>
      <c r="T12" s="14">
        <f t="shared" si="3"/>
        <v>1</v>
      </c>
      <c r="U12" s="14">
        <f t="shared" si="4"/>
        <v>0</v>
      </c>
      <c r="V12" s="17">
        <f t="shared" si="5"/>
        <v>18</v>
      </c>
      <c r="W12" s="14">
        <f t="shared" si="6"/>
        <v>0</v>
      </c>
      <c r="X12" s="17">
        <f t="shared" si="7"/>
        <v>54.96</v>
      </c>
    </row>
    <row r="13" spans="1:24" x14ac:dyDescent="0.25">
      <c r="A13" s="14" t="s">
        <v>43</v>
      </c>
      <c r="B13" s="14" t="s">
        <v>1278</v>
      </c>
      <c r="C13" s="14" t="s">
        <v>1279</v>
      </c>
      <c r="D13" s="14" t="s">
        <v>71</v>
      </c>
      <c r="E13" s="14">
        <v>1</v>
      </c>
      <c r="F13" s="14">
        <v>0</v>
      </c>
      <c r="G13" s="14">
        <v>0</v>
      </c>
      <c r="H13" s="14">
        <v>0</v>
      </c>
      <c r="I13" s="14">
        <v>0</v>
      </c>
      <c r="J13" s="17">
        <v>0</v>
      </c>
      <c r="K13" s="14">
        <v>1</v>
      </c>
      <c r="L13" s="17">
        <v>0</v>
      </c>
      <c r="M13" s="14" t="s">
        <v>86</v>
      </c>
      <c r="P13" s="14" t="str">
        <f>Setup!$A$14</f>
        <v>Expert 10</v>
      </c>
      <c r="Q13" s="14">
        <f t="shared" si="0"/>
        <v>3</v>
      </c>
      <c r="R13" s="14">
        <f t="shared" si="1"/>
        <v>0</v>
      </c>
      <c r="S13" s="14">
        <f t="shared" si="2"/>
        <v>0</v>
      </c>
      <c r="T13" s="14">
        <f t="shared" si="3"/>
        <v>1</v>
      </c>
      <c r="U13" s="14">
        <f t="shared" si="4"/>
        <v>0</v>
      </c>
      <c r="V13" s="17">
        <f t="shared" si="5"/>
        <v>16</v>
      </c>
      <c r="W13" s="14">
        <f t="shared" si="6"/>
        <v>3</v>
      </c>
      <c r="X13" s="17">
        <f t="shared" si="7"/>
        <v>164.63</v>
      </c>
    </row>
    <row r="14" spans="1:24" x14ac:dyDescent="0.25">
      <c r="A14" s="14" t="s">
        <v>49</v>
      </c>
      <c r="B14" s="14" t="s">
        <v>1280</v>
      </c>
      <c r="C14" s="14" t="s">
        <v>1281</v>
      </c>
      <c r="D14" s="14" t="s">
        <v>67</v>
      </c>
      <c r="E14" s="14">
        <v>1</v>
      </c>
      <c r="F14" s="14">
        <v>0</v>
      </c>
      <c r="G14" s="14">
        <v>0</v>
      </c>
      <c r="H14" s="14">
        <v>0</v>
      </c>
      <c r="I14" s="14">
        <v>0</v>
      </c>
      <c r="J14" s="17">
        <v>0</v>
      </c>
      <c r="K14" s="14">
        <v>1</v>
      </c>
      <c r="L14" s="17">
        <v>120.04</v>
      </c>
      <c r="M14" s="14" t="s">
        <v>86</v>
      </c>
      <c r="P14" s="14" t="str">
        <f>Setup!$A$15</f>
        <v>Expert 11</v>
      </c>
      <c r="Q14" s="14">
        <f t="shared" si="0"/>
        <v>1</v>
      </c>
      <c r="R14" s="14">
        <f t="shared" si="1"/>
        <v>0</v>
      </c>
      <c r="S14" s="14">
        <f t="shared" si="2"/>
        <v>0</v>
      </c>
      <c r="T14" s="14">
        <f t="shared" si="3"/>
        <v>0</v>
      </c>
      <c r="U14" s="14">
        <f t="shared" si="4"/>
        <v>0</v>
      </c>
      <c r="V14" s="17">
        <f t="shared" si="5"/>
        <v>0</v>
      </c>
      <c r="W14" s="14">
        <f t="shared" si="6"/>
        <v>1</v>
      </c>
      <c r="X14" s="17">
        <f t="shared" si="7"/>
        <v>0</v>
      </c>
    </row>
    <row r="15" spans="1:24" x14ac:dyDescent="0.25">
      <c r="A15" s="14" t="s">
        <v>49</v>
      </c>
      <c r="B15" s="14" t="s">
        <v>1282</v>
      </c>
      <c r="C15" s="14" t="s">
        <v>1283</v>
      </c>
      <c r="D15" s="14" t="s">
        <v>48</v>
      </c>
      <c r="E15" s="14">
        <v>1</v>
      </c>
      <c r="F15" s="14">
        <v>0</v>
      </c>
      <c r="G15" s="14">
        <v>0</v>
      </c>
      <c r="H15" s="14">
        <v>0</v>
      </c>
      <c r="I15" s="14">
        <v>0</v>
      </c>
      <c r="J15" s="17">
        <v>33</v>
      </c>
      <c r="K15" s="14">
        <v>1</v>
      </c>
      <c r="L15" s="17">
        <v>159.55000000000001</v>
      </c>
      <c r="M15" s="14" t="s">
        <v>86</v>
      </c>
      <c r="P15" s="14" t="str">
        <f>Setup!$A$16</f>
        <v>Expert 12</v>
      </c>
      <c r="Q15" s="14">
        <f t="shared" si="0"/>
        <v>0</v>
      </c>
      <c r="R15" s="14">
        <f t="shared" si="1"/>
        <v>0</v>
      </c>
      <c r="S15" s="14">
        <f t="shared" si="2"/>
        <v>0</v>
      </c>
      <c r="T15" s="14">
        <f t="shared" si="3"/>
        <v>0</v>
      </c>
      <c r="U15" s="14">
        <f t="shared" si="4"/>
        <v>0</v>
      </c>
      <c r="V15" s="17">
        <f t="shared" si="5"/>
        <v>0</v>
      </c>
      <c r="W15" s="14">
        <f t="shared" si="6"/>
        <v>0</v>
      </c>
      <c r="X15" s="17">
        <f t="shared" si="7"/>
        <v>0</v>
      </c>
    </row>
    <row r="16" spans="1:24" x14ac:dyDescent="0.25">
      <c r="A16" s="14" t="s">
        <v>43</v>
      </c>
      <c r="B16" s="14" t="s">
        <v>1284</v>
      </c>
      <c r="C16" s="14" t="s">
        <v>1285</v>
      </c>
      <c r="D16" s="14" t="s">
        <v>69</v>
      </c>
      <c r="E16" s="14">
        <v>1</v>
      </c>
      <c r="F16" s="14">
        <v>0</v>
      </c>
      <c r="G16" s="14">
        <v>0</v>
      </c>
      <c r="H16" s="14">
        <v>0</v>
      </c>
      <c r="I16" s="14">
        <v>0</v>
      </c>
      <c r="J16" s="17">
        <v>18</v>
      </c>
      <c r="K16" s="14">
        <v>1</v>
      </c>
      <c r="L16" s="17">
        <v>132.38</v>
      </c>
      <c r="M16" s="14" t="s">
        <v>212</v>
      </c>
      <c r="P16" s="18" t="s">
        <v>111</v>
      </c>
      <c r="Q16" s="19">
        <f t="shared" ref="Q16:X16" si="8">SUM(Q4:Q15)</f>
        <v>16</v>
      </c>
      <c r="R16" s="19">
        <f t="shared" si="8"/>
        <v>1</v>
      </c>
      <c r="S16" s="19">
        <f t="shared" si="8"/>
        <v>0</v>
      </c>
      <c r="T16" s="19">
        <f t="shared" si="8"/>
        <v>2</v>
      </c>
      <c r="U16" s="19">
        <f t="shared" si="8"/>
        <v>0</v>
      </c>
      <c r="V16" s="20">
        <f t="shared" si="8"/>
        <v>275</v>
      </c>
      <c r="W16" s="19">
        <f t="shared" si="8"/>
        <v>19</v>
      </c>
      <c r="X16" s="20">
        <f t="shared" si="8"/>
        <v>1477.5900000000001</v>
      </c>
    </row>
    <row r="17" spans="1:13" x14ac:dyDescent="0.25">
      <c r="A17" s="14" t="s">
        <v>41</v>
      </c>
      <c r="B17" s="14" t="s">
        <v>1286</v>
      </c>
      <c r="C17" s="14" t="s">
        <v>1287</v>
      </c>
      <c r="D17" s="14" t="s">
        <v>74</v>
      </c>
      <c r="E17" s="14">
        <v>0</v>
      </c>
      <c r="F17" s="14">
        <v>1</v>
      </c>
      <c r="G17" s="14">
        <v>0</v>
      </c>
      <c r="H17" s="14">
        <v>0</v>
      </c>
      <c r="I17" s="14">
        <v>0</v>
      </c>
      <c r="J17" s="17">
        <v>0</v>
      </c>
      <c r="K17" s="14">
        <v>0</v>
      </c>
      <c r="L17" s="17">
        <v>5.31</v>
      </c>
      <c r="M17" s="14" t="s">
        <v>86</v>
      </c>
    </row>
    <row r="18" spans="1:13" x14ac:dyDescent="0.25">
      <c r="A18" s="14" t="s">
        <v>55</v>
      </c>
      <c r="B18" s="14" t="s">
        <v>1288</v>
      </c>
      <c r="C18" s="14" t="s">
        <v>1289</v>
      </c>
      <c r="D18" s="14" t="s">
        <v>74</v>
      </c>
      <c r="E18" s="14">
        <v>1</v>
      </c>
      <c r="F18" s="14">
        <v>0</v>
      </c>
      <c r="G18" s="14">
        <v>0</v>
      </c>
      <c r="H18" s="14">
        <v>0</v>
      </c>
      <c r="I18" s="14">
        <v>0</v>
      </c>
      <c r="J18" s="17">
        <v>18</v>
      </c>
      <c r="K18" s="14">
        <v>0</v>
      </c>
      <c r="L18" s="17">
        <v>0</v>
      </c>
      <c r="M18" s="14" t="s">
        <v>212</v>
      </c>
    </row>
    <row r="19" spans="1:13" x14ac:dyDescent="0.25">
      <c r="A19" s="14" t="s">
        <v>41</v>
      </c>
      <c r="B19" s="14" t="s">
        <v>1290</v>
      </c>
      <c r="C19" s="14" t="s">
        <v>1291</v>
      </c>
      <c r="D19" s="14" t="s">
        <v>69</v>
      </c>
      <c r="E19" s="14">
        <v>1</v>
      </c>
      <c r="F19" s="14">
        <v>0</v>
      </c>
      <c r="G19" s="14">
        <v>0</v>
      </c>
      <c r="H19" s="14">
        <v>0</v>
      </c>
      <c r="I19" s="14">
        <v>0</v>
      </c>
      <c r="J19" s="17">
        <v>18</v>
      </c>
      <c r="K19" s="14">
        <v>1</v>
      </c>
      <c r="L19" s="17">
        <v>0</v>
      </c>
      <c r="M19" s="14" t="s">
        <v>86</v>
      </c>
    </row>
    <row r="20" spans="1:13" x14ac:dyDescent="0.25">
      <c r="A20" s="14" t="s">
        <v>59</v>
      </c>
      <c r="B20" s="14" t="s">
        <v>1292</v>
      </c>
      <c r="C20" s="14" t="s">
        <v>1293</v>
      </c>
      <c r="D20" s="14" t="s">
        <v>67</v>
      </c>
      <c r="E20" s="14">
        <v>1</v>
      </c>
      <c r="F20" s="14">
        <v>0</v>
      </c>
      <c r="G20" s="14">
        <v>0</v>
      </c>
      <c r="H20" s="14">
        <v>0</v>
      </c>
      <c r="I20" s="14">
        <v>0</v>
      </c>
      <c r="J20" s="17">
        <v>0</v>
      </c>
      <c r="K20" s="14">
        <v>1</v>
      </c>
      <c r="L20" s="17">
        <v>0</v>
      </c>
      <c r="M20" s="14" t="s">
        <v>86</v>
      </c>
    </row>
    <row r="21" spans="1:13" x14ac:dyDescent="0.25">
      <c r="A21" s="14" t="s">
        <v>47</v>
      </c>
      <c r="B21" s="14" t="s">
        <v>1294</v>
      </c>
      <c r="C21" s="14" t="s">
        <v>1295</v>
      </c>
      <c r="D21" s="14" t="s">
        <v>52</v>
      </c>
      <c r="E21" s="14">
        <v>0</v>
      </c>
      <c r="F21" s="14">
        <v>0</v>
      </c>
      <c r="G21" s="14">
        <v>0</v>
      </c>
      <c r="H21" s="14">
        <v>0</v>
      </c>
      <c r="I21" s="14">
        <v>0</v>
      </c>
      <c r="J21" s="17">
        <v>0</v>
      </c>
      <c r="K21" s="14">
        <v>1</v>
      </c>
      <c r="L21" s="17">
        <v>0</v>
      </c>
      <c r="M21" s="14" t="s">
        <v>86</v>
      </c>
    </row>
    <row r="22" spans="1:13" x14ac:dyDescent="0.25">
      <c r="A22" s="14" t="s">
        <v>57</v>
      </c>
      <c r="B22" s="14" t="s">
        <v>1296</v>
      </c>
      <c r="C22" s="14" t="s">
        <v>1297</v>
      </c>
      <c r="D22" s="14" t="s">
        <v>64</v>
      </c>
      <c r="E22" s="14">
        <v>1</v>
      </c>
      <c r="F22" s="14">
        <v>0</v>
      </c>
      <c r="G22" s="14">
        <v>0</v>
      </c>
      <c r="H22" s="14">
        <v>0</v>
      </c>
      <c r="I22" s="14">
        <v>0</v>
      </c>
      <c r="J22" s="17">
        <v>16</v>
      </c>
      <c r="K22" s="14">
        <v>1</v>
      </c>
      <c r="L22" s="17">
        <v>127.79</v>
      </c>
      <c r="M22" s="14" t="s">
        <v>86</v>
      </c>
    </row>
    <row r="23" spans="1:13" x14ac:dyDescent="0.25">
      <c r="A23" s="14" t="s">
        <v>41</v>
      </c>
      <c r="B23" s="14" t="s">
        <v>1298</v>
      </c>
      <c r="C23" s="14" t="s">
        <v>1299</v>
      </c>
      <c r="D23" s="14" t="s">
        <v>50</v>
      </c>
      <c r="E23" s="14">
        <v>0</v>
      </c>
      <c r="F23" s="14">
        <v>0</v>
      </c>
      <c r="G23" s="14">
        <v>0</v>
      </c>
      <c r="H23" s="14">
        <v>0</v>
      </c>
      <c r="I23" s="14">
        <v>0</v>
      </c>
      <c r="J23" s="17">
        <v>33</v>
      </c>
      <c r="K23" s="14">
        <v>1</v>
      </c>
      <c r="L23" s="17">
        <v>0</v>
      </c>
      <c r="M23" s="14" t="s">
        <v>86</v>
      </c>
    </row>
    <row r="24" spans="1:13" x14ac:dyDescent="0.25">
      <c r="A24" s="14" t="s">
        <v>47</v>
      </c>
      <c r="B24" s="14" t="s">
        <v>1300</v>
      </c>
      <c r="C24" s="14" t="s">
        <v>1301</v>
      </c>
      <c r="D24" s="14" t="s">
        <v>65</v>
      </c>
      <c r="E24" s="14">
        <v>1</v>
      </c>
      <c r="F24" s="14">
        <v>0</v>
      </c>
      <c r="G24" s="14">
        <v>0</v>
      </c>
      <c r="H24" s="14">
        <v>0</v>
      </c>
      <c r="I24" s="14">
        <v>0</v>
      </c>
      <c r="J24" s="17">
        <v>33</v>
      </c>
      <c r="K24" s="14">
        <v>1</v>
      </c>
      <c r="L24" s="17">
        <v>134.13999999999999</v>
      </c>
      <c r="M24" s="14" t="s">
        <v>86</v>
      </c>
    </row>
    <row r="25" spans="1:13" x14ac:dyDescent="0.25">
      <c r="A25" s="14" t="s">
        <v>41</v>
      </c>
      <c r="B25" s="14" t="s">
        <v>1302</v>
      </c>
      <c r="C25" s="14" t="s">
        <v>1303</v>
      </c>
      <c r="D25" s="14" t="s">
        <v>67</v>
      </c>
      <c r="E25" s="14">
        <v>1</v>
      </c>
      <c r="F25" s="14">
        <v>0</v>
      </c>
      <c r="G25" s="14">
        <v>0</v>
      </c>
      <c r="H25" s="14">
        <v>0</v>
      </c>
      <c r="I25" s="14">
        <v>0</v>
      </c>
      <c r="J25" s="17">
        <v>0</v>
      </c>
      <c r="K25" s="14">
        <v>1</v>
      </c>
      <c r="L25" s="17">
        <v>0</v>
      </c>
      <c r="M25" s="14" t="s">
        <v>86</v>
      </c>
    </row>
    <row r="26" spans="1:13" x14ac:dyDescent="0.25">
      <c r="A26" s="14" t="s">
        <v>43</v>
      </c>
      <c r="B26" s="14" t="s">
        <v>1304</v>
      </c>
      <c r="C26" s="14" t="s">
        <v>1305</v>
      </c>
      <c r="D26" s="14" t="s">
        <v>56</v>
      </c>
      <c r="E26" s="14">
        <v>1</v>
      </c>
      <c r="F26" s="14">
        <v>0</v>
      </c>
      <c r="G26" s="14">
        <v>0</v>
      </c>
      <c r="H26" s="14">
        <v>0</v>
      </c>
      <c r="I26" s="14">
        <v>0</v>
      </c>
      <c r="J26" s="17">
        <v>33</v>
      </c>
      <c r="K26" s="14">
        <v>1</v>
      </c>
      <c r="L26" s="17">
        <v>57.22</v>
      </c>
      <c r="M26" s="14" t="s">
        <v>86</v>
      </c>
    </row>
    <row r="27" spans="1:13" x14ac:dyDescent="0.25">
      <c r="A27" s="14"/>
      <c r="B27" s="14"/>
      <c r="C27" s="14"/>
      <c r="D27" s="14"/>
      <c r="E27" s="14"/>
      <c r="F27" s="14"/>
      <c r="G27" s="14"/>
      <c r="H27" s="14"/>
      <c r="I27" s="14"/>
      <c r="J27" s="17"/>
      <c r="K27" s="14"/>
      <c r="L27" s="17"/>
      <c r="M27" s="14"/>
    </row>
    <row r="28" spans="1:13" x14ac:dyDescent="0.25">
      <c r="A28" s="14"/>
      <c r="B28" s="14"/>
      <c r="C28" s="14"/>
      <c r="D28" s="14"/>
      <c r="E28" s="14"/>
      <c r="F28" s="14"/>
      <c r="G28" s="14"/>
      <c r="H28" s="14"/>
      <c r="I28" s="14"/>
      <c r="J28" s="17"/>
      <c r="K28" s="14"/>
      <c r="L28" s="17"/>
      <c r="M28" s="14"/>
    </row>
    <row r="29" spans="1:13" x14ac:dyDescent="0.25">
      <c r="A29" s="14"/>
      <c r="B29" s="14"/>
      <c r="C29" s="14"/>
      <c r="D29" s="14"/>
      <c r="E29" s="14"/>
      <c r="F29" s="14"/>
      <c r="G29" s="14"/>
      <c r="H29" s="14"/>
      <c r="I29" s="14"/>
      <c r="J29" s="17"/>
      <c r="K29" s="14"/>
      <c r="L29" s="17"/>
      <c r="M29" s="14"/>
    </row>
    <row r="30" spans="1:13" x14ac:dyDescent="0.25">
      <c r="A30" s="14"/>
      <c r="B30" s="14"/>
      <c r="C30" s="14"/>
      <c r="D30" s="14"/>
      <c r="E30" s="14"/>
      <c r="F30" s="14"/>
      <c r="G30" s="14"/>
      <c r="H30" s="14"/>
      <c r="I30" s="14"/>
      <c r="J30" s="17"/>
      <c r="K30" s="14"/>
      <c r="L30" s="17"/>
      <c r="M30" s="14"/>
    </row>
    <row r="31" spans="1:13" x14ac:dyDescent="0.25">
      <c r="A31" s="14"/>
      <c r="B31" s="14"/>
      <c r="C31" s="14"/>
      <c r="D31" s="14"/>
      <c r="E31" s="14"/>
      <c r="F31" s="14"/>
      <c r="G31" s="14"/>
      <c r="H31" s="14"/>
      <c r="I31" s="14"/>
      <c r="J31" s="17"/>
      <c r="K31" s="14"/>
      <c r="L31" s="17"/>
      <c r="M31" s="14"/>
    </row>
    <row r="32" spans="1:13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7"/>
      <c r="K32" s="14"/>
      <c r="L32" s="17"/>
      <c r="M32" s="14"/>
    </row>
    <row r="33" spans="1:13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7"/>
      <c r="K33" s="14"/>
      <c r="L33" s="17"/>
      <c r="M33" s="14"/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7"/>
      <c r="K34" s="14"/>
      <c r="L34" s="17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7"/>
      <c r="K35" s="14"/>
      <c r="L35" s="17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7"/>
      <c r="K36" s="14"/>
      <c r="L36" s="17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7"/>
      <c r="K37" s="14"/>
      <c r="L37" s="17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7"/>
      <c r="K38" s="14"/>
      <c r="L38" s="17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7"/>
      <c r="K39" s="14"/>
      <c r="L39" s="17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7"/>
      <c r="K40" s="14"/>
      <c r="L40" s="17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7"/>
      <c r="K41" s="14"/>
      <c r="L41" s="17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7"/>
      <c r="K42" s="14"/>
      <c r="L42" s="17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7"/>
      <c r="K43" s="14"/>
      <c r="L43" s="17"/>
      <c r="M43" s="14"/>
    </row>
  </sheetData>
  <mergeCells count="2">
    <mergeCell ref="A2:M2"/>
    <mergeCell ref="A1:M1"/>
  </mergeCells>
  <dataValidations count="1">
    <dataValidation type="list" allowBlank="1" sqref="M4:M43" xr:uid="{00000000-0002-0000-1A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A00-000000000000}">
          <x14:formula1>
            <xm:f>Setup!$A$5:$A$16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A00-000001000000}">
          <x14:formula1>
            <xm:f>Setup!$C$5:$C$30</xm:f>
          </x14:formula1>
          <xm:sqref>D4:D43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4" t="s">
        <v>1306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</row>
    <row r="2" spans="1:24" ht="21.95" customHeight="1" x14ac:dyDescent="0.25">
      <c r="A2" s="43" t="s">
        <v>19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</row>
    <row r="3" spans="1:24" x14ac:dyDescent="0.25">
      <c r="A3" s="12" t="s">
        <v>79</v>
      </c>
      <c r="B3" s="12" t="s">
        <v>80</v>
      </c>
      <c r="C3" s="12" t="s">
        <v>81</v>
      </c>
      <c r="D3" s="12" t="s">
        <v>82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83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51</v>
      </c>
      <c r="B4" s="14" t="s">
        <v>1307</v>
      </c>
      <c r="C4" s="14" t="s">
        <v>1308</v>
      </c>
      <c r="D4" s="14" t="s">
        <v>44</v>
      </c>
      <c r="E4" s="14">
        <v>0</v>
      </c>
      <c r="F4" s="14">
        <v>1</v>
      </c>
      <c r="G4" s="14">
        <v>0</v>
      </c>
      <c r="H4" s="14">
        <v>0</v>
      </c>
      <c r="I4" s="14">
        <v>0</v>
      </c>
      <c r="J4" s="17">
        <v>0</v>
      </c>
      <c r="K4" s="14">
        <v>1</v>
      </c>
      <c r="L4" s="17">
        <v>0</v>
      </c>
      <c r="M4" s="14" t="s">
        <v>86</v>
      </c>
      <c r="P4" s="14" t="str">
        <f>Setup!$A$5</f>
        <v>Expert 01</v>
      </c>
      <c r="Q4" s="14">
        <f t="shared" ref="Q4:Q15" si="0">SUMIF($A$4:$A$43,$P4,E$4:E$43)</f>
        <v>1</v>
      </c>
      <c r="R4" s="14">
        <f t="shared" ref="R4:R15" si="1">SUMIF($A$4:$A$43,$P4,F$4:F$43)</f>
        <v>0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1</v>
      </c>
      <c r="V4" s="17">
        <f t="shared" ref="V4:V15" si="5">SUMIF($A$4:$A$43,$P4,J$4:J$43)</f>
        <v>0</v>
      </c>
      <c r="W4" s="14">
        <f t="shared" ref="W4:W15" si="6">SUMIF($A$4:$A$43,$P4,K$4:K$43)</f>
        <v>1</v>
      </c>
      <c r="X4" s="17">
        <f t="shared" ref="X4:X15" si="7">SUMIF($A$4:$A$43,$P4,L$4:L$43)</f>
        <v>99</v>
      </c>
    </row>
    <row r="5" spans="1:24" x14ac:dyDescent="0.25">
      <c r="A5" s="14" t="s">
        <v>55</v>
      </c>
      <c r="B5" s="14" t="s">
        <v>1309</v>
      </c>
      <c r="C5" s="14" t="s">
        <v>1310</v>
      </c>
      <c r="D5" s="14" t="s">
        <v>72</v>
      </c>
      <c r="E5" s="14">
        <v>0</v>
      </c>
      <c r="F5" s="14">
        <v>1</v>
      </c>
      <c r="G5" s="14">
        <v>0</v>
      </c>
      <c r="H5" s="14">
        <v>0</v>
      </c>
      <c r="I5" s="14">
        <v>1</v>
      </c>
      <c r="J5" s="17">
        <v>15</v>
      </c>
      <c r="K5" s="14">
        <v>0</v>
      </c>
      <c r="L5" s="17">
        <v>0</v>
      </c>
      <c r="M5" s="14" t="s">
        <v>86</v>
      </c>
      <c r="P5" s="14" t="str">
        <f>Setup!$A$6</f>
        <v>Expert 02</v>
      </c>
      <c r="Q5" s="14">
        <f t="shared" si="0"/>
        <v>2</v>
      </c>
      <c r="R5" s="14">
        <f t="shared" si="1"/>
        <v>0</v>
      </c>
      <c r="S5" s="14">
        <f t="shared" si="2"/>
        <v>1</v>
      </c>
      <c r="T5" s="14">
        <f t="shared" si="3"/>
        <v>0</v>
      </c>
      <c r="U5" s="14">
        <f t="shared" si="4"/>
        <v>0</v>
      </c>
      <c r="V5" s="17">
        <f t="shared" si="5"/>
        <v>36</v>
      </c>
      <c r="W5" s="14">
        <f t="shared" si="6"/>
        <v>2</v>
      </c>
      <c r="X5" s="17">
        <f t="shared" si="7"/>
        <v>125.09</v>
      </c>
    </row>
    <row r="6" spans="1:24" x14ac:dyDescent="0.25">
      <c r="A6" s="14" t="s">
        <v>59</v>
      </c>
      <c r="B6" s="14" t="s">
        <v>1311</v>
      </c>
      <c r="C6" s="14" t="s">
        <v>1312</v>
      </c>
      <c r="D6" s="14" t="s">
        <v>75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7">
        <v>0</v>
      </c>
      <c r="K6" s="14">
        <v>0</v>
      </c>
      <c r="L6" s="17">
        <v>81.16</v>
      </c>
      <c r="M6" s="14" t="s">
        <v>86</v>
      </c>
      <c r="P6" s="14" t="str">
        <f>Setup!$A$7</f>
        <v>Expert 03</v>
      </c>
      <c r="Q6" s="14">
        <f t="shared" si="0"/>
        <v>2</v>
      </c>
      <c r="R6" s="14">
        <f t="shared" si="1"/>
        <v>1</v>
      </c>
      <c r="S6" s="14">
        <f t="shared" si="2"/>
        <v>0</v>
      </c>
      <c r="T6" s="14">
        <f t="shared" si="3"/>
        <v>0</v>
      </c>
      <c r="U6" s="14">
        <f t="shared" si="4"/>
        <v>0</v>
      </c>
      <c r="V6" s="17">
        <f t="shared" si="5"/>
        <v>33</v>
      </c>
      <c r="W6" s="14">
        <f t="shared" si="6"/>
        <v>3</v>
      </c>
      <c r="X6" s="17">
        <f t="shared" si="7"/>
        <v>309.08999999999997</v>
      </c>
    </row>
    <row r="7" spans="1:24" x14ac:dyDescent="0.25">
      <c r="A7" s="14" t="s">
        <v>43</v>
      </c>
      <c r="B7" s="14" t="s">
        <v>1313</v>
      </c>
      <c r="C7" s="14" t="s">
        <v>1314</v>
      </c>
      <c r="D7" s="14" t="s">
        <v>66</v>
      </c>
      <c r="E7" s="14">
        <v>0</v>
      </c>
      <c r="F7" s="14">
        <v>1</v>
      </c>
      <c r="G7" s="14">
        <v>0</v>
      </c>
      <c r="H7" s="14">
        <v>0</v>
      </c>
      <c r="I7" s="14">
        <v>0</v>
      </c>
      <c r="J7" s="17">
        <v>18</v>
      </c>
      <c r="K7" s="14">
        <v>1</v>
      </c>
      <c r="L7" s="17">
        <v>144.41</v>
      </c>
      <c r="M7" s="14" t="s">
        <v>86</v>
      </c>
      <c r="P7" s="14" t="str">
        <f>Setup!$A$8</f>
        <v>Expert 04</v>
      </c>
      <c r="Q7" s="14">
        <f t="shared" si="0"/>
        <v>2</v>
      </c>
      <c r="R7" s="14">
        <f t="shared" si="1"/>
        <v>0</v>
      </c>
      <c r="S7" s="14">
        <f t="shared" si="2"/>
        <v>0</v>
      </c>
      <c r="T7" s="14">
        <f t="shared" si="3"/>
        <v>0</v>
      </c>
      <c r="U7" s="14">
        <f t="shared" si="4"/>
        <v>0</v>
      </c>
      <c r="V7" s="17">
        <f t="shared" si="5"/>
        <v>36</v>
      </c>
      <c r="W7" s="14">
        <f t="shared" si="6"/>
        <v>2</v>
      </c>
      <c r="X7" s="17">
        <f t="shared" si="7"/>
        <v>37.520000000000003</v>
      </c>
    </row>
    <row r="8" spans="1:24" x14ac:dyDescent="0.25">
      <c r="A8" s="14" t="s">
        <v>55</v>
      </c>
      <c r="B8" s="14" t="s">
        <v>1315</v>
      </c>
      <c r="C8" s="14" t="s">
        <v>1316</v>
      </c>
      <c r="D8" s="14" t="s">
        <v>40</v>
      </c>
      <c r="E8" s="14">
        <v>1</v>
      </c>
      <c r="F8" s="14">
        <v>0</v>
      </c>
      <c r="G8" s="14">
        <v>0</v>
      </c>
      <c r="H8" s="14">
        <v>0</v>
      </c>
      <c r="I8" s="14">
        <v>0</v>
      </c>
      <c r="J8" s="17">
        <v>0</v>
      </c>
      <c r="K8" s="14">
        <v>1</v>
      </c>
      <c r="L8" s="17">
        <v>145.03</v>
      </c>
      <c r="M8" s="14" t="s">
        <v>86</v>
      </c>
      <c r="P8" s="14" t="str">
        <f>Setup!$A$9</f>
        <v>Expert 05</v>
      </c>
      <c r="Q8" s="14">
        <f t="shared" si="0"/>
        <v>1</v>
      </c>
      <c r="R8" s="14">
        <f t="shared" si="1"/>
        <v>0</v>
      </c>
      <c r="S8" s="14">
        <f t="shared" si="2"/>
        <v>0</v>
      </c>
      <c r="T8" s="14">
        <f t="shared" si="3"/>
        <v>0</v>
      </c>
      <c r="U8" s="14">
        <f t="shared" si="4"/>
        <v>0</v>
      </c>
      <c r="V8" s="17">
        <f t="shared" si="5"/>
        <v>33</v>
      </c>
      <c r="W8" s="14">
        <f t="shared" si="6"/>
        <v>1</v>
      </c>
      <c r="X8" s="17">
        <f t="shared" si="7"/>
        <v>0</v>
      </c>
    </row>
    <row r="9" spans="1:24" x14ac:dyDescent="0.25">
      <c r="A9" s="14" t="s">
        <v>61</v>
      </c>
      <c r="B9" s="14" t="s">
        <v>1317</v>
      </c>
      <c r="C9" s="14" t="s">
        <v>1318</v>
      </c>
      <c r="D9" s="14" t="s">
        <v>75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7">
        <v>0</v>
      </c>
      <c r="K9" s="14">
        <v>0</v>
      </c>
      <c r="L9" s="17">
        <v>121.4</v>
      </c>
      <c r="M9" s="14" t="s">
        <v>86</v>
      </c>
      <c r="P9" s="14" t="str">
        <f>Setup!$A$10</f>
        <v>Expert 06</v>
      </c>
      <c r="Q9" s="14">
        <f t="shared" si="0"/>
        <v>0</v>
      </c>
      <c r="R9" s="14">
        <f t="shared" si="1"/>
        <v>0</v>
      </c>
      <c r="S9" s="14">
        <f t="shared" si="2"/>
        <v>0</v>
      </c>
      <c r="T9" s="14">
        <f t="shared" si="3"/>
        <v>0</v>
      </c>
      <c r="U9" s="14">
        <f t="shared" si="4"/>
        <v>0</v>
      </c>
      <c r="V9" s="17">
        <f t="shared" si="5"/>
        <v>0</v>
      </c>
      <c r="W9" s="14">
        <f t="shared" si="6"/>
        <v>0</v>
      </c>
      <c r="X9" s="17">
        <f t="shared" si="7"/>
        <v>0</v>
      </c>
    </row>
    <row r="10" spans="1:24" x14ac:dyDescent="0.25">
      <c r="A10" s="14" t="s">
        <v>39</v>
      </c>
      <c r="B10" s="14" t="s">
        <v>1319</v>
      </c>
      <c r="C10" s="14" t="s">
        <v>1320</v>
      </c>
      <c r="D10" s="14" t="s">
        <v>40</v>
      </c>
      <c r="E10" s="14">
        <v>1</v>
      </c>
      <c r="F10" s="14">
        <v>0</v>
      </c>
      <c r="G10" s="14">
        <v>0</v>
      </c>
      <c r="H10" s="14">
        <v>0</v>
      </c>
      <c r="I10" s="14">
        <v>0</v>
      </c>
      <c r="J10" s="17">
        <v>0</v>
      </c>
      <c r="K10" s="14">
        <v>1</v>
      </c>
      <c r="L10" s="17">
        <v>99</v>
      </c>
      <c r="M10" s="14" t="s">
        <v>86</v>
      </c>
      <c r="P10" s="14" t="str">
        <f>Setup!$A$11</f>
        <v>Expert 07</v>
      </c>
      <c r="Q10" s="14">
        <f t="shared" si="0"/>
        <v>1</v>
      </c>
      <c r="R10" s="14">
        <f t="shared" si="1"/>
        <v>1</v>
      </c>
      <c r="S10" s="14">
        <f t="shared" si="2"/>
        <v>0</v>
      </c>
      <c r="T10" s="14">
        <f t="shared" si="3"/>
        <v>0</v>
      </c>
      <c r="U10" s="14">
        <f t="shared" si="4"/>
        <v>0</v>
      </c>
      <c r="V10" s="17">
        <f t="shared" si="5"/>
        <v>18</v>
      </c>
      <c r="W10" s="14">
        <f t="shared" si="6"/>
        <v>2</v>
      </c>
      <c r="X10" s="17">
        <f t="shared" si="7"/>
        <v>0</v>
      </c>
    </row>
    <row r="11" spans="1:24" x14ac:dyDescent="0.25">
      <c r="A11" s="14" t="s">
        <v>51</v>
      </c>
      <c r="B11" s="14" t="s">
        <v>1321</v>
      </c>
      <c r="C11" s="14" t="s">
        <v>1322</v>
      </c>
      <c r="D11" s="14" t="s">
        <v>68</v>
      </c>
      <c r="E11" s="14">
        <v>1</v>
      </c>
      <c r="F11" s="14">
        <v>0</v>
      </c>
      <c r="G11" s="14">
        <v>0</v>
      </c>
      <c r="H11" s="14">
        <v>0</v>
      </c>
      <c r="I11" s="14">
        <v>0</v>
      </c>
      <c r="J11" s="17">
        <v>18</v>
      </c>
      <c r="K11" s="14">
        <v>1</v>
      </c>
      <c r="L11" s="17">
        <v>0</v>
      </c>
      <c r="M11" s="14" t="s">
        <v>86</v>
      </c>
      <c r="P11" s="14" t="str">
        <f>Setup!$A$12</f>
        <v>Expert 08</v>
      </c>
      <c r="Q11" s="14">
        <f t="shared" si="0"/>
        <v>0</v>
      </c>
      <c r="R11" s="14">
        <f t="shared" si="1"/>
        <v>0</v>
      </c>
      <c r="S11" s="14">
        <f t="shared" si="2"/>
        <v>0</v>
      </c>
      <c r="T11" s="14">
        <f t="shared" si="3"/>
        <v>0</v>
      </c>
      <c r="U11" s="14">
        <f t="shared" si="4"/>
        <v>0</v>
      </c>
      <c r="V11" s="17">
        <f t="shared" si="5"/>
        <v>0</v>
      </c>
      <c r="W11" s="14">
        <f t="shared" si="6"/>
        <v>0</v>
      </c>
      <c r="X11" s="17">
        <f t="shared" si="7"/>
        <v>0</v>
      </c>
    </row>
    <row r="12" spans="1:24" x14ac:dyDescent="0.25">
      <c r="A12" s="14" t="s">
        <v>47</v>
      </c>
      <c r="B12" s="14" t="s">
        <v>1323</v>
      </c>
      <c r="C12" s="14" t="s">
        <v>1324</v>
      </c>
      <c r="D12" s="14" t="s">
        <v>52</v>
      </c>
      <c r="E12" s="14">
        <v>1</v>
      </c>
      <c r="F12" s="14">
        <v>0</v>
      </c>
      <c r="G12" s="14">
        <v>0</v>
      </c>
      <c r="H12" s="14">
        <v>0</v>
      </c>
      <c r="I12" s="14">
        <v>0</v>
      </c>
      <c r="J12" s="17">
        <v>33</v>
      </c>
      <c r="K12" s="14">
        <v>1</v>
      </c>
      <c r="L12" s="17">
        <v>0</v>
      </c>
      <c r="M12" s="14" t="s">
        <v>86</v>
      </c>
      <c r="P12" s="14" t="str">
        <f>Setup!$A$13</f>
        <v>Expert 09</v>
      </c>
      <c r="Q12" s="14">
        <f t="shared" si="0"/>
        <v>1</v>
      </c>
      <c r="R12" s="14">
        <f t="shared" si="1"/>
        <v>1</v>
      </c>
      <c r="S12" s="14">
        <f t="shared" si="2"/>
        <v>0</v>
      </c>
      <c r="T12" s="14">
        <f t="shared" si="3"/>
        <v>0</v>
      </c>
      <c r="U12" s="14">
        <f t="shared" si="4"/>
        <v>1</v>
      </c>
      <c r="V12" s="17">
        <f t="shared" si="5"/>
        <v>15</v>
      </c>
      <c r="W12" s="14">
        <f t="shared" si="6"/>
        <v>2</v>
      </c>
      <c r="X12" s="17">
        <f t="shared" si="7"/>
        <v>427.93000000000006</v>
      </c>
    </row>
    <row r="13" spans="1:24" x14ac:dyDescent="0.25">
      <c r="A13" s="14" t="s">
        <v>55</v>
      </c>
      <c r="B13" s="14" t="s">
        <v>1325</v>
      </c>
      <c r="C13" s="14" t="s">
        <v>1326</v>
      </c>
      <c r="D13" s="14" t="s">
        <v>54</v>
      </c>
      <c r="E13" s="14">
        <v>0</v>
      </c>
      <c r="F13" s="14">
        <v>0</v>
      </c>
      <c r="G13" s="14">
        <v>0</v>
      </c>
      <c r="H13" s="14">
        <v>0</v>
      </c>
      <c r="I13" s="14">
        <v>0</v>
      </c>
      <c r="J13" s="17">
        <v>0</v>
      </c>
      <c r="K13" s="14">
        <v>1</v>
      </c>
      <c r="L13" s="17">
        <v>151.69</v>
      </c>
      <c r="M13" s="14" t="s">
        <v>86</v>
      </c>
      <c r="P13" s="14" t="str">
        <f>Setup!$A$14</f>
        <v>Expert 10</v>
      </c>
      <c r="Q13" s="14">
        <f t="shared" si="0"/>
        <v>0</v>
      </c>
      <c r="R13" s="14">
        <f t="shared" si="1"/>
        <v>0</v>
      </c>
      <c r="S13" s="14">
        <f t="shared" si="2"/>
        <v>0</v>
      </c>
      <c r="T13" s="14">
        <f t="shared" si="3"/>
        <v>0</v>
      </c>
      <c r="U13" s="14">
        <f t="shared" si="4"/>
        <v>0</v>
      </c>
      <c r="V13" s="17">
        <f t="shared" si="5"/>
        <v>0</v>
      </c>
      <c r="W13" s="14">
        <f t="shared" si="6"/>
        <v>0</v>
      </c>
      <c r="X13" s="17">
        <f t="shared" si="7"/>
        <v>0</v>
      </c>
    </row>
    <row r="14" spans="1:24" x14ac:dyDescent="0.25">
      <c r="A14" s="14" t="s">
        <v>41</v>
      </c>
      <c r="B14" s="14" t="s">
        <v>1327</v>
      </c>
      <c r="C14" s="14" t="s">
        <v>1328</v>
      </c>
      <c r="D14" s="14" t="s">
        <v>50</v>
      </c>
      <c r="E14" s="14">
        <v>1</v>
      </c>
      <c r="F14" s="14">
        <v>0</v>
      </c>
      <c r="G14" s="14">
        <v>0</v>
      </c>
      <c r="H14" s="14">
        <v>0</v>
      </c>
      <c r="I14" s="14">
        <v>0</v>
      </c>
      <c r="J14" s="17">
        <v>18</v>
      </c>
      <c r="K14" s="14">
        <v>1</v>
      </c>
      <c r="L14" s="17">
        <v>0</v>
      </c>
      <c r="M14" s="14" t="s">
        <v>86</v>
      </c>
      <c r="P14" s="14" t="str">
        <f>Setup!$A$15</f>
        <v>Expert 11</v>
      </c>
      <c r="Q14" s="14">
        <f t="shared" si="0"/>
        <v>1</v>
      </c>
      <c r="R14" s="14">
        <f t="shared" si="1"/>
        <v>0</v>
      </c>
      <c r="S14" s="14">
        <f t="shared" si="2"/>
        <v>0</v>
      </c>
      <c r="T14" s="14">
        <f t="shared" si="3"/>
        <v>0</v>
      </c>
      <c r="U14" s="14">
        <f t="shared" si="4"/>
        <v>0</v>
      </c>
      <c r="V14" s="17">
        <f t="shared" si="5"/>
        <v>0</v>
      </c>
      <c r="W14" s="14">
        <f t="shared" si="6"/>
        <v>0</v>
      </c>
      <c r="X14" s="17">
        <f t="shared" si="7"/>
        <v>81.16</v>
      </c>
    </row>
    <row r="15" spans="1:24" x14ac:dyDescent="0.25">
      <c r="A15" s="14" t="s">
        <v>45</v>
      </c>
      <c r="B15" s="14" t="s">
        <v>1329</v>
      </c>
      <c r="C15" s="14" t="s">
        <v>1330</v>
      </c>
      <c r="D15" s="14" t="s">
        <v>54</v>
      </c>
      <c r="E15" s="14">
        <v>1</v>
      </c>
      <c r="F15" s="14">
        <v>0</v>
      </c>
      <c r="G15" s="14">
        <v>0</v>
      </c>
      <c r="H15" s="14">
        <v>0</v>
      </c>
      <c r="I15" s="14">
        <v>0</v>
      </c>
      <c r="J15" s="17">
        <v>18</v>
      </c>
      <c r="K15" s="14">
        <v>1</v>
      </c>
      <c r="L15" s="17">
        <v>0</v>
      </c>
      <c r="M15" s="14" t="s">
        <v>86</v>
      </c>
      <c r="P15" s="14" t="str">
        <f>Setup!$A$16</f>
        <v>Expert 12</v>
      </c>
      <c r="Q15" s="14">
        <f t="shared" si="0"/>
        <v>0</v>
      </c>
      <c r="R15" s="14">
        <f t="shared" si="1"/>
        <v>0</v>
      </c>
      <c r="S15" s="14">
        <f t="shared" si="2"/>
        <v>0</v>
      </c>
      <c r="T15" s="14">
        <f t="shared" si="3"/>
        <v>0</v>
      </c>
      <c r="U15" s="14">
        <f t="shared" si="4"/>
        <v>0</v>
      </c>
      <c r="V15" s="17">
        <f t="shared" si="5"/>
        <v>0</v>
      </c>
      <c r="W15" s="14">
        <f t="shared" si="6"/>
        <v>0</v>
      </c>
      <c r="X15" s="17">
        <f t="shared" si="7"/>
        <v>121.4</v>
      </c>
    </row>
    <row r="16" spans="1:24" x14ac:dyDescent="0.25">
      <c r="A16" s="14" t="s">
        <v>45</v>
      </c>
      <c r="B16" s="14" t="s">
        <v>1331</v>
      </c>
      <c r="C16" s="14" t="s">
        <v>1332</v>
      </c>
      <c r="D16" s="14" t="s">
        <v>40</v>
      </c>
      <c r="E16" s="14">
        <v>1</v>
      </c>
      <c r="F16" s="14">
        <v>0</v>
      </c>
      <c r="G16" s="14">
        <v>0</v>
      </c>
      <c r="H16" s="14">
        <v>0</v>
      </c>
      <c r="I16" s="14">
        <v>0</v>
      </c>
      <c r="J16" s="17">
        <v>0</v>
      </c>
      <c r="K16" s="14">
        <v>1</v>
      </c>
      <c r="L16" s="17">
        <v>10.6</v>
      </c>
      <c r="M16" s="14" t="s">
        <v>86</v>
      </c>
      <c r="P16" s="18" t="s">
        <v>111</v>
      </c>
      <c r="Q16" s="19">
        <f t="shared" ref="Q16:X16" si="8">SUM(Q4:Q15)</f>
        <v>11</v>
      </c>
      <c r="R16" s="19">
        <f t="shared" si="8"/>
        <v>3</v>
      </c>
      <c r="S16" s="19">
        <f t="shared" si="8"/>
        <v>1</v>
      </c>
      <c r="T16" s="19">
        <f t="shared" si="8"/>
        <v>0</v>
      </c>
      <c r="U16" s="19">
        <f t="shared" si="8"/>
        <v>2</v>
      </c>
      <c r="V16" s="20">
        <f t="shared" si="8"/>
        <v>171</v>
      </c>
      <c r="W16" s="19">
        <f t="shared" si="8"/>
        <v>13</v>
      </c>
      <c r="X16" s="20">
        <f t="shared" si="8"/>
        <v>1201.19</v>
      </c>
    </row>
    <row r="17" spans="1:13" x14ac:dyDescent="0.25">
      <c r="A17" s="14" t="s">
        <v>43</v>
      </c>
      <c r="B17" s="14" t="s">
        <v>1333</v>
      </c>
      <c r="C17" s="14" t="s">
        <v>1334</v>
      </c>
      <c r="D17" s="14" t="s">
        <v>68</v>
      </c>
      <c r="E17" s="14">
        <v>1</v>
      </c>
      <c r="F17" s="14">
        <v>0</v>
      </c>
      <c r="G17" s="14">
        <v>0</v>
      </c>
      <c r="H17" s="14">
        <v>0</v>
      </c>
      <c r="I17" s="14">
        <v>0</v>
      </c>
      <c r="J17" s="17">
        <v>0</v>
      </c>
      <c r="K17" s="14">
        <v>1</v>
      </c>
      <c r="L17" s="17">
        <v>100.41</v>
      </c>
      <c r="M17" s="14" t="s">
        <v>86</v>
      </c>
    </row>
    <row r="18" spans="1:13" x14ac:dyDescent="0.25">
      <c r="A18" s="14" t="s">
        <v>43</v>
      </c>
      <c r="B18" s="14" t="s">
        <v>1335</v>
      </c>
      <c r="C18" s="14" t="s">
        <v>1336</v>
      </c>
      <c r="D18" s="14" t="s">
        <v>60</v>
      </c>
      <c r="E18" s="14">
        <v>1</v>
      </c>
      <c r="F18" s="14">
        <v>0</v>
      </c>
      <c r="G18" s="14">
        <v>0</v>
      </c>
      <c r="H18" s="14">
        <v>0</v>
      </c>
      <c r="I18" s="14">
        <v>0</v>
      </c>
      <c r="J18" s="17">
        <v>15</v>
      </c>
      <c r="K18" s="14">
        <v>1</v>
      </c>
      <c r="L18" s="17">
        <v>64.27</v>
      </c>
      <c r="M18" s="14" t="s">
        <v>86</v>
      </c>
    </row>
    <row r="19" spans="1:13" x14ac:dyDescent="0.25">
      <c r="A19" s="14" t="s">
        <v>39</v>
      </c>
      <c r="B19" s="14" t="s">
        <v>1337</v>
      </c>
      <c r="C19" s="14" t="s">
        <v>1338</v>
      </c>
      <c r="D19" s="14" t="s">
        <v>73</v>
      </c>
      <c r="E19" s="14">
        <v>0</v>
      </c>
      <c r="F19" s="14">
        <v>0</v>
      </c>
      <c r="G19" s="14">
        <v>0</v>
      </c>
      <c r="H19" s="14">
        <v>0</v>
      </c>
      <c r="I19" s="14">
        <v>1</v>
      </c>
      <c r="J19" s="17">
        <v>0</v>
      </c>
      <c r="K19" s="14">
        <v>0</v>
      </c>
      <c r="L19" s="17">
        <v>0</v>
      </c>
      <c r="M19" s="14" t="s">
        <v>86</v>
      </c>
    </row>
    <row r="20" spans="1:13" x14ac:dyDescent="0.25">
      <c r="A20" s="14" t="s">
        <v>41</v>
      </c>
      <c r="B20" s="14" t="s">
        <v>1339</v>
      </c>
      <c r="C20" s="14" t="s">
        <v>1340</v>
      </c>
      <c r="D20" s="14" t="s">
        <v>68</v>
      </c>
      <c r="E20" s="14">
        <v>1</v>
      </c>
      <c r="F20" s="14">
        <v>0</v>
      </c>
      <c r="G20" s="14">
        <v>1</v>
      </c>
      <c r="H20" s="14">
        <v>0</v>
      </c>
      <c r="I20" s="14">
        <v>0</v>
      </c>
      <c r="J20" s="17">
        <v>18</v>
      </c>
      <c r="K20" s="14">
        <v>1</v>
      </c>
      <c r="L20" s="17">
        <v>125.09</v>
      </c>
      <c r="M20" s="14" t="s">
        <v>86</v>
      </c>
    </row>
    <row r="21" spans="1:13" x14ac:dyDescent="0.25">
      <c r="A21" s="14" t="s">
        <v>59</v>
      </c>
      <c r="B21" s="14" t="s">
        <v>1341</v>
      </c>
      <c r="C21" s="14" t="s">
        <v>1342</v>
      </c>
      <c r="D21" s="14" t="s">
        <v>74</v>
      </c>
      <c r="E21" s="14">
        <v>1</v>
      </c>
      <c r="F21" s="14">
        <v>0</v>
      </c>
      <c r="G21" s="14">
        <v>0</v>
      </c>
      <c r="H21" s="14">
        <v>0</v>
      </c>
      <c r="I21" s="14">
        <v>0</v>
      </c>
      <c r="J21" s="17">
        <v>0</v>
      </c>
      <c r="K21" s="14">
        <v>0</v>
      </c>
      <c r="L21" s="17">
        <v>0</v>
      </c>
      <c r="M21" s="14" t="s">
        <v>86</v>
      </c>
    </row>
    <row r="22" spans="1:13" x14ac:dyDescent="0.25">
      <c r="A22" s="14" t="s">
        <v>45</v>
      </c>
      <c r="B22" s="14" t="s">
        <v>1343</v>
      </c>
      <c r="C22" s="14" t="s">
        <v>1344</v>
      </c>
      <c r="D22" s="14" t="s">
        <v>76</v>
      </c>
      <c r="E22" s="14">
        <v>0</v>
      </c>
      <c r="F22" s="14">
        <v>0</v>
      </c>
      <c r="G22" s="14">
        <v>0</v>
      </c>
      <c r="H22" s="14">
        <v>0</v>
      </c>
      <c r="I22" s="14">
        <v>0</v>
      </c>
      <c r="J22" s="17">
        <v>18</v>
      </c>
      <c r="K22" s="14">
        <v>0</v>
      </c>
      <c r="L22" s="17">
        <v>26.92</v>
      </c>
      <c r="M22" s="14" t="s">
        <v>86</v>
      </c>
    </row>
    <row r="23" spans="1:13" x14ac:dyDescent="0.25">
      <c r="A23" s="14" t="s">
        <v>55</v>
      </c>
      <c r="B23" s="14" t="s">
        <v>1345</v>
      </c>
      <c r="C23" s="14" t="s">
        <v>1346</v>
      </c>
      <c r="D23" s="14" t="s">
        <v>75</v>
      </c>
      <c r="E23" s="14">
        <v>0</v>
      </c>
      <c r="F23" s="14">
        <v>0</v>
      </c>
      <c r="G23" s="14">
        <v>0</v>
      </c>
      <c r="H23" s="14">
        <v>0</v>
      </c>
      <c r="I23" s="14">
        <v>0</v>
      </c>
      <c r="J23" s="17">
        <v>0</v>
      </c>
      <c r="K23" s="14">
        <v>0</v>
      </c>
      <c r="L23" s="17">
        <v>131.21</v>
      </c>
      <c r="M23" s="14" t="s">
        <v>86</v>
      </c>
    </row>
    <row r="24" spans="1:13" x14ac:dyDescent="0.25">
      <c r="A24" s="14"/>
      <c r="B24" s="14"/>
      <c r="C24" s="14"/>
      <c r="D24" s="14"/>
      <c r="E24" s="14"/>
      <c r="F24" s="14"/>
      <c r="G24" s="14"/>
      <c r="H24" s="14"/>
      <c r="I24" s="14"/>
      <c r="J24" s="17"/>
      <c r="K24" s="14"/>
      <c r="L24" s="17"/>
      <c r="M24" s="14"/>
    </row>
    <row r="25" spans="1:13" x14ac:dyDescent="0.25">
      <c r="A25" s="14"/>
      <c r="B25" s="14"/>
      <c r="C25" s="14"/>
      <c r="D25" s="14"/>
      <c r="E25" s="14"/>
      <c r="F25" s="14"/>
      <c r="G25" s="14"/>
      <c r="H25" s="14"/>
      <c r="I25" s="14"/>
      <c r="J25" s="17"/>
      <c r="K25" s="14"/>
      <c r="L25" s="17"/>
      <c r="M25" s="14"/>
    </row>
    <row r="26" spans="1:13" x14ac:dyDescent="0.25">
      <c r="A26" s="14"/>
      <c r="B26" s="14"/>
      <c r="C26" s="14"/>
      <c r="D26" s="14"/>
      <c r="E26" s="14"/>
      <c r="F26" s="14"/>
      <c r="G26" s="14"/>
      <c r="H26" s="14"/>
      <c r="I26" s="14"/>
      <c r="J26" s="17"/>
      <c r="K26" s="14"/>
      <c r="L26" s="17"/>
      <c r="M26" s="14"/>
    </row>
    <row r="27" spans="1:13" x14ac:dyDescent="0.25">
      <c r="A27" s="14"/>
      <c r="B27" s="14"/>
      <c r="C27" s="14"/>
      <c r="D27" s="14"/>
      <c r="E27" s="14"/>
      <c r="F27" s="14"/>
      <c r="G27" s="14"/>
      <c r="H27" s="14"/>
      <c r="I27" s="14"/>
      <c r="J27" s="17"/>
      <c r="K27" s="14"/>
      <c r="L27" s="17"/>
      <c r="M27" s="14"/>
    </row>
    <row r="28" spans="1:13" x14ac:dyDescent="0.25">
      <c r="A28" s="14"/>
      <c r="B28" s="14"/>
      <c r="C28" s="14"/>
      <c r="D28" s="14"/>
      <c r="E28" s="14"/>
      <c r="F28" s="14"/>
      <c r="G28" s="14"/>
      <c r="H28" s="14"/>
      <c r="I28" s="14"/>
      <c r="J28" s="17"/>
      <c r="K28" s="14"/>
      <c r="L28" s="17"/>
      <c r="M28" s="14"/>
    </row>
    <row r="29" spans="1:13" x14ac:dyDescent="0.25">
      <c r="A29" s="14"/>
      <c r="B29" s="14"/>
      <c r="C29" s="14"/>
      <c r="D29" s="14"/>
      <c r="E29" s="14"/>
      <c r="F29" s="14"/>
      <c r="G29" s="14"/>
      <c r="H29" s="14"/>
      <c r="I29" s="14"/>
      <c r="J29" s="17"/>
      <c r="K29" s="14"/>
      <c r="L29" s="17"/>
      <c r="M29" s="14"/>
    </row>
    <row r="30" spans="1:13" x14ac:dyDescent="0.25">
      <c r="A30" s="14"/>
      <c r="B30" s="14"/>
      <c r="C30" s="14"/>
      <c r="D30" s="14"/>
      <c r="E30" s="14"/>
      <c r="F30" s="14"/>
      <c r="G30" s="14"/>
      <c r="H30" s="14"/>
      <c r="I30" s="14"/>
      <c r="J30" s="17"/>
      <c r="K30" s="14"/>
      <c r="L30" s="17"/>
      <c r="M30" s="14"/>
    </row>
    <row r="31" spans="1:13" x14ac:dyDescent="0.25">
      <c r="A31" s="14"/>
      <c r="B31" s="14"/>
      <c r="C31" s="14"/>
      <c r="D31" s="14"/>
      <c r="E31" s="14"/>
      <c r="F31" s="14"/>
      <c r="G31" s="14"/>
      <c r="H31" s="14"/>
      <c r="I31" s="14"/>
      <c r="J31" s="17"/>
      <c r="K31" s="14"/>
      <c r="L31" s="17"/>
      <c r="M31" s="14"/>
    </row>
    <row r="32" spans="1:13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7"/>
      <c r="K32" s="14"/>
      <c r="L32" s="17"/>
      <c r="M32" s="14"/>
    </row>
    <row r="33" spans="1:13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7"/>
      <c r="K33" s="14"/>
      <c r="L33" s="17"/>
      <c r="M33" s="14"/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7"/>
      <c r="K34" s="14"/>
      <c r="L34" s="17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7"/>
      <c r="K35" s="14"/>
      <c r="L35" s="17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7"/>
      <c r="K36" s="14"/>
      <c r="L36" s="17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7"/>
      <c r="K37" s="14"/>
      <c r="L37" s="17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7"/>
      <c r="K38" s="14"/>
      <c r="L38" s="17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7"/>
      <c r="K39" s="14"/>
      <c r="L39" s="17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7"/>
      <c r="K40" s="14"/>
      <c r="L40" s="17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7"/>
      <c r="K41" s="14"/>
      <c r="L41" s="17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7"/>
      <c r="K42" s="14"/>
      <c r="L42" s="17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7"/>
      <c r="K43" s="14"/>
      <c r="L43" s="17"/>
      <c r="M43" s="14"/>
    </row>
  </sheetData>
  <mergeCells count="2">
    <mergeCell ref="A2:M2"/>
    <mergeCell ref="A1:M1"/>
  </mergeCells>
  <dataValidations count="1">
    <dataValidation type="list" allowBlank="1" sqref="M4:M43" xr:uid="{00000000-0002-0000-1B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B00-000000000000}">
          <x14:formula1>
            <xm:f>Setup!$A$5:$A$16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B00-000001000000}">
          <x14:formula1>
            <xm:f>Setup!$C$5:$C$30</xm:f>
          </x14:formula1>
          <xm:sqref>D4:D43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4" t="s">
        <v>1347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</row>
    <row r="2" spans="1:24" ht="21.95" customHeight="1" x14ac:dyDescent="0.25">
      <c r="A2" s="43" t="s">
        <v>19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</row>
    <row r="3" spans="1:24" x14ac:dyDescent="0.25">
      <c r="A3" s="12" t="s">
        <v>79</v>
      </c>
      <c r="B3" s="12" t="s">
        <v>80</v>
      </c>
      <c r="C3" s="12" t="s">
        <v>81</v>
      </c>
      <c r="D3" s="12" t="s">
        <v>82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83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57</v>
      </c>
      <c r="B4" s="14" t="s">
        <v>1348</v>
      </c>
      <c r="C4" s="14" t="s">
        <v>1349</v>
      </c>
      <c r="D4" s="14" t="s">
        <v>46</v>
      </c>
      <c r="E4" s="14">
        <v>1</v>
      </c>
      <c r="F4" s="14">
        <v>0</v>
      </c>
      <c r="G4" s="14">
        <v>0</v>
      </c>
      <c r="H4" s="14">
        <v>0</v>
      </c>
      <c r="I4" s="14">
        <v>0</v>
      </c>
      <c r="J4" s="17">
        <v>24</v>
      </c>
      <c r="K4" s="14">
        <v>1</v>
      </c>
      <c r="L4" s="17">
        <v>5.53</v>
      </c>
      <c r="M4" s="14" t="s">
        <v>86</v>
      </c>
      <c r="P4" s="14" t="str">
        <f>Setup!$A$5</f>
        <v>Expert 01</v>
      </c>
      <c r="Q4" s="14">
        <f t="shared" ref="Q4:Q15" si="0">SUMIF($A$4:$A$43,$P4,E$4:E$43)</f>
        <v>3</v>
      </c>
      <c r="R4" s="14">
        <f t="shared" ref="R4:R15" si="1">SUMIF($A$4:$A$43,$P4,F$4:F$43)</f>
        <v>0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7">
        <f t="shared" ref="V4:V15" si="5">SUMIF($A$4:$A$43,$P4,J$4:J$43)</f>
        <v>42</v>
      </c>
      <c r="W4" s="14">
        <f t="shared" ref="W4:W15" si="6">SUMIF($A$4:$A$43,$P4,K$4:K$43)</f>
        <v>2</v>
      </c>
      <c r="X4" s="17">
        <f t="shared" ref="X4:X15" si="7">SUMIF($A$4:$A$43,$P4,L$4:L$43)</f>
        <v>82.699999999999989</v>
      </c>
    </row>
    <row r="5" spans="1:24" x14ac:dyDescent="0.25">
      <c r="A5" s="14" t="s">
        <v>49</v>
      </c>
      <c r="B5" s="14" t="s">
        <v>1350</v>
      </c>
      <c r="C5" s="14" t="s">
        <v>1351</v>
      </c>
      <c r="D5" s="14" t="s">
        <v>69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7">
        <v>0</v>
      </c>
      <c r="K5" s="14">
        <v>1</v>
      </c>
      <c r="L5" s="17">
        <v>62.37</v>
      </c>
      <c r="M5" s="14" t="s">
        <v>86</v>
      </c>
      <c r="P5" s="14" t="str">
        <f>Setup!$A$6</f>
        <v>Expert 02</v>
      </c>
      <c r="Q5" s="14">
        <f t="shared" si="0"/>
        <v>0</v>
      </c>
      <c r="R5" s="14">
        <f t="shared" si="1"/>
        <v>1</v>
      </c>
      <c r="S5" s="14">
        <f t="shared" si="2"/>
        <v>0</v>
      </c>
      <c r="T5" s="14">
        <f t="shared" si="3"/>
        <v>0</v>
      </c>
      <c r="U5" s="14">
        <f t="shared" si="4"/>
        <v>0</v>
      </c>
      <c r="V5" s="17">
        <f t="shared" si="5"/>
        <v>24</v>
      </c>
      <c r="W5" s="14">
        <f t="shared" si="6"/>
        <v>1</v>
      </c>
      <c r="X5" s="17">
        <f t="shared" si="7"/>
        <v>0</v>
      </c>
    </row>
    <row r="6" spans="1:24" x14ac:dyDescent="0.25">
      <c r="A6" s="14" t="s">
        <v>39</v>
      </c>
      <c r="B6" s="14" t="s">
        <v>1352</v>
      </c>
      <c r="C6" s="14" t="s">
        <v>1353</v>
      </c>
      <c r="D6" s="14" t="s">
        <v>63</v>
      </c>
      <c r="E6" s="14">
        <v>1</v>
      </c>
      <c r="F6" s="14">
        <v>0</v>
      </c>
      <c r="G6" s="14">
        <v>0</v>
      </c>
      <c r="H6" s="14">
        <v>0</v>
      </c>
      <c r="I6" s="14">
        <v>0</v>
      </c>
      <c r="J6" s="17">
        <v>24</v>
      </c>
      <c r="K6" s="14">
        <v>1</v>
      </c>
      <c r="L6" s="17">
        <v>0</v>
      </c>
      <c r="M6" s="14" t="s">
        <v>86</v>
      </c>
      <c r="P6" s="14" t="str">
        <f>Setup!$A$7</f>
        <v>Expert 03</v>
      </c>
      <c r="Q6" s="14">
        <f t="shared" si="0"/>
        <v>0</v>
      </c>
      <c r="R6" s="14">
        <f t="shared" si="1"/>
        <v>1</v>
      </c>
      <c r="S6" s="14">
        <f t="shared" si="2"/>
        <v>0</v>
      </c>
      <c r="T6" s="14">
        <f t="shared" si="3"/>
        <v>0</v>
      </c>
      <c r="U6" s="14">
        <f t="shared" si="4"/>
        <v>0</v>
      </c>
      <c r="V6" s="17">
        <f t="shared" si="5"/>
        <v>0</v>
      </c>
      <c r="W6" s="14">
        <f t="shared" si="6"/>
        <v>1</v>
      </c>
      <c r="X6" s="17">
        <f t="shared" si="7"/>
        <v>0</v>
      </c>
    </row>
    <row r="7" spans="1:24" x14ac:dyDescent="0.25">
      <c r="A7" s="14" t="s">
        <v>53</v>
      </c>
      <c r="B7" s="14" t="s">
        <v>1354</v>
      </c>
      <c r="C7" s="14" t="s">
        <v>1355</v>
      </c>
      <c r="D7" s="14" t="s">
        <v>70</v>
      </c>
      <c r="E7" s="14">
        <v>1</v>
      </c>
      <c r="F7" s="14">
        <v>0</v>
      </c>
      <c r="G7" s="14">
        <v>0</v>
      </c>
      <c r="H7" s="14">
        <v>0</v>
      </c>
      <c r="I7" s="14">
        <v>0</v>
      </c>
      <c r="J7" s="17">
        <v>33</v>
      </c>
      <c r="K7" s="14">
        <v>1</v>
      </c>
      <c r="L7" s="17">
        <v>0</v>
      </c>
      <c r="M7" s="14" t="s">
        <v>86</v>
      </c>
      <c r="P7" s="14" t="str">
        <f>Setup!$A$8</f>
        <v>Expert 04</v>
      </c>
      <c r="Q7" s="14">
        <f t="shared" si="0"/>
        <v>1</v>
      </c>
      <c r="R7" s="14">
        <f t="shared" si="1"/>
        <v>0</v>
      </c>
      <c r="S7" s="14">
        <f t="shared" si="2"/>
        <v>0</v>
      </c>
      <c r="T7" s="14">
        <f t="shared" si="3"/>
        <v>1</v>
      </c>
      <c r="U7" s="14">
        <f t="shared" si="4"/>
        <v>0</v>
      </c>
      <c r="V7" s="17">
        <f t="shared" si="5"/>
        <v>18</v>
      </c>
      <c r="W7" s="14">
        <f t="shared" si="6"/>
        <v>2</v>
      </c>
      <c r="X7" s="17">
        <f t="shared" si="7"/>
        <v>26.53</v>
      </c>
    </row>
    <row r="8" spans="1:24" x14ac:dyDescent="0.25">
      <c r="A8" s="14" t="s">
        <v>53</v>
      </c>
      <c r="B8" s="14" t="s">
        <v>1356</v>
      </c>
      <c r="C8" s="14" t="s">
        <v>1357</v>
      </c>
      <c r="D8" s="14" t="s">
        <v>58</v>
      </c>
      <c r="E8" s="14">
        <v>1</v>
      </c>
      <c r="F8" s="14">
        <v>0</v>
      </c>
      <c r="G8" s="14">
        <v>0</v>
      </c>
      <c r="H8" s="14">
        <v>0</v>
      </c>
      <c r="I8" s="14">
        <v>0</v>
      </c>
      <c r="J8" s="17">
        <v>0</v>
      </c>
      <c r="K8" s="14">
        <v>1</v>
      </c>
      <c r="L8" s="17">
        <v>0</v>
      </c>
      <c r="M8" s="14" t="s">
        <v>86</v>
      </c>
      <c r="P8" s="14" t="str">
        <f>Setup!$A$9</f>
        <v>Expert 05</v>
      </c>
      <c r="Q8" s="14">
        <f t="shared" si="0"/>
        <v>1</v>
      </c>
      <c r="R8" s="14">
        <f t="shared" si="1"/>
        <v>0</v>
      </c>
      <c r="S8" s="14">
        <f t="shared" si="2"/>
        <v>0</v>
      </c>
      <c r="T8" s="14">
        <f t="shared" si="3"/>
        <v>0</v>
      </c>
      <c r="U8" s="14">
        <f t="shared" si="4"/>
        <v>0</v>
      </c>
      <c r="V8" s="17">
        <f t="shared" si="5"/>
        <v>24</v>
      </c>
      <c r="W8" s="14">
        <f t="shared" si="6"/>
        <v>0</v>
      </c>
      <c r="X8" s="17">
        <f t="shared" si="7"/>
        <v>150.18</v>
      </c>
    </row>
    <row r="9" spans="1:24" x14ac:dyDescent="0.25">
      <c r="A9" s="14" t="s">
        <v>57</v>
      </c>
      <c r="B9" s="14" t="s">
        <v>1358</v>
      </c>
      <c r="C9" s="14" t="s">
        <v>1359</v>
      </c>
      <c r="D9" s="14" t="s">
        <v>75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7">
        <v>0</v>
      </c>
      <c r="K9" s="14">
        <v>0</v>
      </c>
      <c r="L9" s="17">
        <v>147.83000000000001</v>
      </c>
      <c r="M9" s="14" t="s">
        <v>86</v>
      </c>
      <c r="P9" s="14" t="str">
        <f>Setup!$A$10</f>
        <v>Expert 06</v>
      </c>
      <c r="Q9" s="14">
        <f t="shared" si="0"/>
        <v>4</v>
      </c>
      <c r="R9" s="14">
        <f t="shared" si="1"/>
        <v>1</v>
      </c>
      <c r="S9" s="14">
        <f t="shared" si="2"/>
        <v>1</v>
      </c>
      <c r="T9" s="14">
        <f t="shared" si="3"/>
        <v>2</v>
      </c>
      <c r="U9" s="14">
        <f t="shared" si="4"/>
        <v>0</v>
      </c>
      <c r="V9" s="17">
        <f t="shared" si="5"/>
        <v>98</v>
      </c>
      <c r="W9" s="14">
        <f t="shared" si="6"/>
        <v>7</v>
      </c>
      <c r="X9" s="17">
        <f t="shared" si="7"/>
        <v>282.02</v>
      </c>
    </row>
    <row r="10" spans="1:24" x14ac:dyDescent="0.25">
      <c r="A10" s="14" t="s">
        <v>51</v>
      </c>
      <c r="B10" s="14" t="s">
        <v>1360</v>
      </c>
      <c r="C10" s="14" t="s">
        <v>1361</v>
      </c>
      <c r="D10" s="14" t="s">
        <v>66</v>
      </c>
      <c r="E10" s="14">
        <v>1</v>
      </c>
      <c r="F10" s="14">
        <v>0</v>
      </c>
      <c r="G10" s="14">
        <v>0</v>
      </c>
      <c r="H10" s="14">
        <v>0</v>
      </c>
      <c r="I10" s="14">
        <v>0</v>
      </c>
      <c r="J10" s="17">
        <v>0</v>
      </c>
      <c r="K10" s="14">
        <v>1</v>
      </c>
      <c r="L10" s="17">
        <v>22.89</v>
      </c>
      <c r="M10" s="14" t="s">
        <v>86</v>
      </c>
      <c r="P10" s="14" t="str">
        <f>Setup!$A$11</f>
        <v>Expert 07</v>
      </c>
      <c r="Q10" s="14">
        <f t="shared" si="0"/>
        <v>2</v>
      </c>
      <c r="R10" s="14">
        <f t="shared" si="1"/>
        <v>0</v>
      </c>
      <c r="S10" s="14">
        <f t="shared" si="2"/>
        <v>0</v>
      </c>
      <c r="T10" s="14">
        <f t="shared" si="3"/>
        <v>0</v>
      </c>
      <c r="U10" s="14">
        <f t="shared" si="4"/>
        <v>0</v>
      </c>
      <c r="V10" s="17">
        <f t="shared" si="5"/>
        <v>0</v>
      </c>
      <c r="W10" s="14">
        <f t="shared" si="6"/>
        <v>3</v>
      </c>
      <c r="X10" s="17">
        <f t="shared" si="7"/>
        <v>126.04</v>
      </c>
    </row>
    <row r="11" spans="1:24" x14ac:dyDescent="0.25">
      <c r="A11" s="14" t="s">
        <v>39</v>
      </c>
      <c r="B11" s="14" t="s">
        <v>1362</v>
      </c>
      <c r="C11" s="14" t="s">
        <v>1363</v>
      </c>
      <c r="D11" s="14" t="s">
        <v>74</v>
      </c>
      <c r="E11" s="14">
        <v>1</v>
      </c>
      <c r="F11" s="14">
        <v>0</v>
      </c>
      <c r="G11" s="14">
        <v>0</v>
      </c>
      <c r="H11" s="14">
        <v>0</v>
      </c>
      <c r="I11" s="14">
        <v>0</v>
      </c>
      <c r="J11" s="17">
        <v>18</v>
      </c>
      <c r="K11" s="14">
        <v>0</v>
      </c>
      <c r="L11" s="17">
        <v>73.959999999999994</v>
      </c>
      <c r="M11" s="14" t="s">
        <v>86</v>
      </c>
      <c r="P11" s="14" t="str">
        <f>Setup!$A$12</f>
        <v>Expert 08</v>
      </c>
      <c r="Q11" s="14">
        <f t="shared" si="0"/>
        <v>4</v>
      </c>
      <c r="R11" s="14">
        <f t="shared" si="1"/>
        <v>0</v>
      </c>
      <c r="S11" s="14">
        <f t="shared" si="2"/>
        <v>0</v>
      </c>
      <c r="T11" s="14">
        <f t="shared" si="3"/>
        <v>0</v>
      </c>
      <c r="U11" s="14">
        <f t="shared" si="4"/>
        <v>0</v>
      </c>
      <c r="V11" s="17">
        <f t="shared" si="5"/>
        <v>51</v>
      </c>
      <c r="W11" s="14">
        <f t="shared" si="6"/>
        <v>5</v>
      </c>
      <c r="X11" s="17">
        <f t="shared" si="7"/>
        <v>303.18</v>
      </c>
    </row>
    <row r="12" spans="1:24" x14ac:dyDescent="0.25">
      <c r="A12" s="14" t="s">
        <v>49</v>
      </c>
      <c r="B12" s="14" t="s">
        <v>1364</v>
      </c>
      <c r="C12" s="14" t="s">
        <v>1365</v>
      </c>
      <c r="D12" s="14" t="s">
        <v>68</v>
      </c>
      <c r="E12" s="14">
        <v>1</v>
      </c>
      <c r="F12" s="14">
        <v>0</v>
      </c>
      <c r="G12" s="14">
        <v>0</v>
      </c>
      <c r="H12" s="14">
        <v>0</v>
      </c>
      <c r="I12" s="14">
        <v>0</v>
      </c>
      <c r="J12" s="17">
        <v>0</v>
      </c>
      <c r="K12" s="14">
        <v>1</v>
      </c>
      <c r="L12" s="17">
        <v>0</v>
      </c>
      <c r="M12" s="14" t="s">
        <v>86</v>
      </c>
      <c r="P12" s="14" t="str">
        <f>Setup!$A$13</f>
        <v>Expert 09</v>
      </c>
      <c r="Q12" s="14">
        <f t="shared" si="0"/>
        <v>1</v>
      </c>
      <c r="R12" s="14">
        <f t="shared" si="1"/>
        <v>0</v>
      </c>
      <c r="S12" s="14">
        <f t="shared" si="2"/>
        <v>1</v>
      </c>
      <c r="T12" s="14">
        <f t="shared" si="3"/>
        <v>0</v>
      </c>
      <c r="U12" s="14">
        <f t="shared" si="4"/>
        <v>0</v>
      </c>
      <c r="V12" s="17">
        <f t="shared" si="5"/>
        <v>0</v>
      </c>
      <c r="W12" s="14">
        <f t="shared" si="6"/>
        <v>1</v>
      </c>
      <c r="X12" s="17">
        <f t="shared" si="7"/>
        <v>58.43</v>
      </c>
    </row>
    <row r="13" spans="1:24" x14ac:dyDescent="0.25">
      <c r="A13" s="14" t="s">
        <v>51</v>
      </c>
      <c r="B13" s="14" t="s">
        <v>1366</v>
      </c>
      <c r="C13" s="14" t="s">
        <v>1367</v>
      </c>
      <c r="D13" s="14" t="s">
        <v>46</v>
      </c>
      <c r="E13" s="14">
        <v>1</v>
      </c>
      <c r="F13" s="14">
        <v>0</v>
      </c>
      <c r="G13" s="14">
        <v>0</v>
      </c>
      <c r="H13" s="14">
        <v>0</v>
      </c>
      <c r="I13" s="14">
        <v>0</v>
      </c>
      <c r="J13" s="17">
        <v>0</v>
      </c>
      <c r="K13" s="14">
        <v>1</v>
      </c>
      <c r="L13" s="17">
        <v>0</v>
      </c>
      <c r="M13" s="14" t="s">
        <v>86</v>
      </c>
      <c r="P13" s="14" t="str">
        <f>Setup!$A$14</f>
        <v>Expert 10</v>
      </c>
      <c r="Q13" s="14">
        <f t="shared" si="0"/>
        <v>3</v>
      </c>
      <c r="R13" s="14">
        <f t="shared" si="1"/>
        <v>1</v>
      </c>
      <c r="S13" s="14">
        <f t="shared" si="2"/>
        <v>0</v>
      </c>
      <c r="T13" s="14">
        <f t="shared" si="3"/>
        <v>0</v>
      </c>
      <c r="U13" s="14">
        <f t="shared" si="4"/>
        <v>0</v>
      </c>
      <c r="V13" s="17">
        <f t="shared" si="5"/>
        <v>90</v>
      </c>
      <c r="W13" s="14">
        <f t="shared" si="6"/>
        <v>4</v>
      </c>
      <c r="X13" s="17">
        <f t="shared" si="7"/>
        <v>153.36000000000001</v>
      </c>
    </row>
    <row r="14" spans="1:24" x14ac:dyDescent="0.25">
      <c r="A14" s="14" t="s">
        <v>61</v>
      </c>
      <c r="B14" s="14" t="s">
        <v>1368</v>
      </c>
      <c r="C14" s="14" t="s">
        <v>1369</v>
      </c>
      <c r="D14" s="14" t="s">
        <v>72</v>
      </c>
      <c r="E14" s="14">
        <v>0</v>
      </c>
      <c r="F14" s="14">
        <v>0</v>
      </c>
      <c r="G14" s="14">
        <v>0</v>
      </c>
      <c r="H14" s="14">
        <v>0</v>
      </c>
      <c r="I14" s="14">
        <v>1</v>
      </c>
      <c r="J14" s="17">
        <v>0</v>
      </c>
      <c r="K14" s="14">
        <v>0</v>
      </c>
      <c r="L14" s="17">
        <v>87.88</v>
      </c>
      <c r="M14" s="14" t="s">
        <v>86</v>
      </c>
      <c r="P14" s="14" t="str">
        <f>Setup!$A$15</f>
        <v>Expert 11</v>
      </c>
      <c r="Q14" s="14">
        <f t="shared" si="0"/>
        <v>0</v>
      </c>
      <c r="R14" s="14">
        <f t="shared" si="1"/>
        <v>0</v>
      </c>
      <c r="S14" s="14">
        <f t="shared" si="2"/>
        <v>0</v>
      </c>
      <c r="T14" s="14">
        <f t="shared" si="3"/>
        <v>0</v>
      </c>
      <c r="U14" s="14">
        <f t="shared" si="4"/>
        <v>0</v>
      </c>
      <c r="V14" s="17">
        <f t="shared" si="5"/>
        <v>0</v>
      </c>
      <c r="W14" s="14">
        <f t="shared" si="6"/>
        <v>0</v>
      </c>
      <c r="X14" s="17">
        <f t="shared" si="7"/>
        <v>0</v>
      </c>
    </row>
    <row r="15" spans="1:24" x14ac:dyDescent="0.25">
      <c r="A15" s="14" t="s">
        <v>39</v>
      </c>
      <c r="B15" s="14" t="s">
        <v>1370</v>
      </c>
      <c r="C15" s="14" t="s">
        <v>1371</v>
      </c>
      <c r="D15" s="14" t="s">
        <v>42</v>
      </c>
      <c r="E15" s="14">
        <v>1</v>
      </c>
      <c r="F15" s="14">
        <v>0</v>
      </c>
      <c r="G15" s="14">
        <v>0</v>
      </c>
      <c r="H15" s="14">
        <v>0</v>
      </c>
      <c r="I15" s="14">
        <v>0</v>
      </c>
      <c r="J15" s="17">
        <v>0</v>
      </c>
      <c r="K15" s="14">
        <v>1</v>
      </c>
      <c r="L15" s="17">
        <v>8.74</v>
      </c>
      <c r="M15" s="14" t="s">
        <v>86</v>
      </c>
      <c r="P15" s="14" t="str">
        <f>Setup!$A$16</f>
        <v>Expert 12</v>
      </c>
      <c r="Q15" s="14">
        <f t="shared" si="0"/>
        <v>0</v>
      </c>
      <c r="R15" s="14">
        <f t="shared" si="1"/>
        <v>0</v>
      </c>
      <c r="S15" s="14">
        <f t="shared" si="2"/>
        <v>0</v>
      </c>
      <c r="T15" s="14">
        <f t="shared" si="3"/>
        <v>0</v>
      </c>
      <c r="U15" s="14">
        <f t="shared" si="4"/>
        <v>1</v>
      </c>
      <c r="V15" s="17">
        <f t="shared" si="5"/>
        <v>0</v>
      </c>
      <c r="W15" s="14">
        <f t="shared" si="6"/>
        <v>0</v>
      </c>
      <c r="X15" s="17">
        <f t="shared" si="7"/>
        <v>87.88</v>
      </c>
    </row>
    <row r="16" spans="1:24" x14ac:dyDescent="0.25">
      <c r="A16" s="14" t="s">
        <v>45</v>
      </c>
      <c r="B16" s="14" t="s">
        <v>1372</v>
      </c>
      <c r="C16" s="14" t="s">
        <v>1373</v>
      </c>
      <c r="D16" s="14" t="s">
        <v>62</v>
      </c>
      <c r="E16" s="14">
        <v>0</v>
      </c>
      <c r="F16" s="14">
        <v>0</v>
      </c>
      <c r="G16" s="14">
        <v>0</v>
      </c>
      <c r="H16" s="14">
        <v>1</v>
      </c>
      <c r="I16" s="14">
        <v>0</v>
      </c>
      <c r="J16" s="17">
        <v>0</v>
      </c>
      <c r="K16" s="14">
        <v>1</v>
      </c>
      <c r="L16" s="17">
        <v>26.53</v>
      </c>
      <c r="M16" s="14" t="s">
        <v>86</v>
      </c>
      <c r="P16" s="18" t="s">
        <v>111</v>
      </c>
      <c r="Q16" s="19">
        <f t="shared" ref="Q16:X16" si="8">SUM(Q4:Q15)</f>
        <v>19</v>
      </c>
      <c r="R16" s="19">
        <f t="shared" si="8"/>
        <v>4</v>
      </c>
      <c r="S16" s="19">
        <f t="shared" si="8"/>
        <v>2</v>
      </c>
      <c r="T16" s="19">
        <f t="shared" si="8"/>
        <v>3</v>
      </c>
      <c r="U16" s="19">
        <f t="shared" si="8"/>
        <v>1</v>
      </c>
      <c r="V16" s="20">
        <f t="shared" si="8"/>
        <v>347</v>
      </c>
      <c r="W16" s="19">
        <f t="shared" si="8"/>
        <v>26</v>
      </c>
      <c r="X16" s="20">
        <f t="shared" si="8"/>
        <v>1270.3200000000002</v>
      </c>
    </row>
    <row r="17" spans="1:13" x14ac:dyDescent="0.25">
      <c r="A17" s="14" t="s">
        <v>41</v>
      </c>
      <c r="B17" s="14" t="s">
        <v>1374</v>
      </c>
      <c r="C17" s="14" t="s">
        <v>1375</v>
      </c>
      <c r="D17" s="14" t="s">
        <v>40</v>
      </c>
      <c r="E17" s="14">
        <v>0</v>
      </c>
      <c r="F17" s="14">
        <v>1</v>
      </c>
      <c r="G17" s="14">
        <v>0</v>
      </c>
      <c r="H17" s="14">
        <v>0</v>
      </c>
      <c r="I17" s="14">
        <v>0</v>
      </c>
      <c r="J17" s="17">
        <v>24</v>
      </c>
      <c r="K17" s="14">
        <v>1</v>
      </c>
      <c r="L17" s="17">
        <v>0</v>
      </c>
      <c r="M17" s="14" t="s">
        <v>86</v>
      </c>
    </row>
    <row r="18" spans="1:13" x14ac:dyDescent="0.25">
      <c r="A18" s="14" t="s">
        <v>57</v>
      </c>
      <c r="B18" s="14" t="s">
        <v>1376</v>
      </c>
      <c r="C18" s="14" t="s">
        <v>1377</v>
      </c>
      <c r="D18" s="14" t="s">
        <v>68</v>
      </c>
      <c r="E18" s="14">
        <v>0</v>
      </c>
      <c r="F18" s="14">
        <v>1</v>
      </c>
      <c r="G18" s="14">
        <v>0</v>
      </c>
      <c r="H18" s="14">
        <v>0</v>
      </c>
      <c r="I18" s="14">
        <v>0</v>
      </c>
      <c r="J18" s="17">
        <v>24</v>
      </c>
      <c r="K18" s="14">
        <v>1</v>
      </c>
      <c r="L18" s="17">
        <v>0</v>
      </c>
      <c r="M18" s="14" t="s">
        <v>86</v>
      </c>
    </row>
    <row r="19" spans="1:13" x14ac:dyDescent="0.25">
      <c r="A19" s="14" t="s">
        <v>49</v>
      </c>
      <c r="B19" s="14" t="s">
        <v>1378</v>
      </c>
      <c r="C19" s="14" t="s">
        <v>1379</v>
      </c>
      <c r="D19" s="14" t="s">
        <v>74</v>
      </c>
      <c r="E19" s="14">
        <v>1</v>
      </c>
      <c r="F19" s="14">
        <v>0</v>
      </c>
      <c r="G19" s="14">
        <v>0</v>
      </c>
      <c r="H19" s="14">
        <v>1</v>
      </c>
      <c r="I19" s="14">
        <v>0</v>
      </c>
      <c r="J19" s="17">
        <v>33</v>
      </c>
      <c r="K19" s="14">
        <v>0</v>
      </c>
      <c r="L19" s="17">
        <v>0</v>
      </c>
      <c r="M19" s="14" t="s">
        <v>86</v>
      </c>
    </row>
    <row r="20" spans="1:13" x14ac:dyDescent="0.25">
      <c r="A20" s="14" t="s">
        <v>45</v>
      </c>
      <c r="B20" s="14" t="s">
        <v>1380</v>
      </c>
      <c r="C20" s="14" t="s">
        <v>1381</v>
      </c>
      <c r="D20" s="14" t="s">
        <v>70</v>
      </c>
      <c r="E20" s="14">
        <v>1</v>
      </c>
      <c r="F20" s="14">
        <v>0</v>
      </c>
      <c r="G20" s="14">
        <v>0</v>
      </c>
      <c r="H20" s="14">
        <v>0</v>
      </c>
      <c r="I20" s="14">
        <v>0</v>
      </c>
      <c r="J20" s="17">
        <v>18</v>
      </c>
      <c r="K20" s="14">
        <v>1</v>
      </c>
      <c r="L20" s="17">
        <v>0</v>
      </c>
      <c r="M20" s="14" t="s">
        <v>212</v>
      </c>
    </row>
    <row r="21" spans="1:13" x14ac:dyDescent="0.25">
      <c r="A21" s="14" t="s">
        <v>49</v>
      </c>
      <c r="B21" s="14" t="s">
        <v>1382</v>
      </c>
      <c r="C21" s="14" t="s">
        <v>1383</v>
      </c>
      <c r="D21" s="14" t="s">
        <v>42</v>
      </c>
      <c r="E21" s="14">
        <v>0</v>
      </c>
      <c r="F21" s="14">
        <v>0</v>
      </c>
      <c r="G21" s="14">
        <v>0</v>
      </c>
      <c r="H21" s="14">
        <v>0</v>
      </c>
      <c r="I21" s="14">
        <v>0</v>
      </c>
      <c r="J21" s="17">
        <v>0</v>
      </c>
      <c r="K21" s="14">
        <v>1</v>
      </c>
      <c r="L21" s="17">
        <v>64.489999999999995</v>
      </c>
      <c r="M21" s="14" t="s">
        <v>86</v>
      </c>
    </row>
    <row r="22" spans="1:13" x14ac:dyDescent="0.25">
      <c r="A22" s="14" t="s">
        <v>49</v>
      </c>
      <c r="B22" s="14" t="s">
        <v>1384</v>
      </c>
      <c r="C22" s="14" t="s">
        <v>1385</v>
      </c>
      <c r="D22" s="14" t="s">
        <v>42</v>
      </c>
      <c r="E22" s="14">
        <v>1</v>
      </c>
      <c r="F22" s="14">
        <v>0</v>
      </c>
      <c r="G22" s="14">
        <v>0</v>
      </c>
      <c r="H22" s="14">
        <v>0</v>
      </c>
      <c r="I22" s="14">
        <v>0</v>
      </c>
      <c r="J22" s="17">
        <v>16</v>
      </c>
      <c r="K22" s="14">
        <v>1</v>
      </c>
      <c r="L22" s="17">
        <v>0</v>
      </c>
      <c r="M22" s="14" t="s">
        <v>86</v>
      </c>
    </row>
    <row r="23" spans="1:13" x14ac:dyDescent="0.25">
      <c r="A23" s="14" t="s">
        <v>57</v>
      </c>
      <c r="B23" s="14" t="s">
        <v>1386</v>
      </c>
      <c r="C23" s="14" t="s">
        <v>1387</v>
      </c>
      <c r="D23" s="14" t="s">
        <v>48</v>
      </c>
      <c r="E23" s="14">
        <v>1</v>
      </c>
      <c r="F23" s="14">
        <v>0</v>
      </c>
      <c r="G23" s="14">
        <v>0</v>
      </c>
      <c r="H23" s="14">
        <v>0</v>
      </c>
      <c r="I23" s="14">
        <v>0</v>
      </c>
      <c r="J23" s="17">
        <v>18</v>
      </c>
      <c r="K23" s="14">
        <v>1</v>
      </c>
      <c r="L23" s="17">
        <v>0</v>
      </c>
      <c r="M23" s="14" t="s">
        <v>86</v>
      </c>
    </row>
    <row r="24" spans="1:13" x14ac:dyDescent="0.25">
      <c r="A24" s="14" t="s">
        <v>57</v>
      </c>
      <c r="B24" s="14" t="s">
        <v>1388</v>
      </c>
      <c r="C24" s="14" t="s">
        <v>1389</v>
      </c>
      <c r="D24" s="14" t="s">
        <v>54</v>
      </c>
      <c r="E24" s="14">
        <v>1</v>
      </c>
      <c r="F24" s="14">
        <v>0</v>
      </c>
      <c r="G24" s="14">
        <v>0</v>
      </c>
      <c r="H24" s="14">
        <v>0</v>
      </c>
      <c r="I24" s="14">
        <v>0</v>
      </c>
      <c r="J24" s="17">
        <v>24</v>
      </c>
      <c r="K24" s="14">
        <v>1</v>
      </c>
      <c r="L24" s="17">
        <v>0</v>
      </c>
      <c r="M24" s="14" t="s">
        <v>86</v>
      </c>
    </row>
    <row r="25" spans="1:13" x14ac:dyDescent="0.25">
      <c r="A25" s="14" t="s">
        <v>47</v>
      </c>
      <c r="B25" s="14" t="s">
        <v>1390</v>
      </c>
      <c r="C25" s="14" t="s">
        <v>1391</v>
      </c>
      <c r="D25" s="14" t="s">
        <v>74</v>
      </c>
      <c r="E25" s="14">
        <v>1</v>
      </c>
      <c r="F25" s="14">
        <v>0</v>
      </c>
      <c r="G25" s="14">
        <v>0</v>
      </c>
      <c r="H25" s="14">
        <v>0</v>
      </c>
      <c r="I25" s="14">
        <v>0</v>
      </c>
      <c r="J25" s="17">
        <v>24</v>
      </c>
      <c r="K25" s="14">
        <v>0</v>
      </c>
      <c r="L25" s="17">
        <v>150.18</v>
      </c>
      <c r="M25" s="14" t="s">
        <v>86</v>
      </c>
    </row>
    <row r="26" spans="1:13" x14ac:dyDescent="0.25">
      <c r="A26" s="14" t="s">
        <v>53</v>
      </c>
      <c r="B26" s="14" t="s">
        <v>1392</v>
      </c>
      <c r="C26" s="14" t="s">
        <v>1393</v>
      </c>
      <c r="D26" s="14" t="s">
        <v>58</v>
      </c>
      <c r="E26" s="14">
        <v>1</v>
      </c>
      <c r="F26" s="14">
        <v>0</v>
      </c>
      <c r="G26" s="14">
        <v>0</v>
      </c>
      <c r="H26" s="14">
        <v>0</v>
      </c>
      <c r="I26" s="14">
        <v>0</v>
      </c>
      <c r="J26" s="17">
        <v>18</v>
      </c>
      <c r="K26" s="14">
        <v>1</v>
      </c>
      <c r="L26" s="17">
        <v>89.59</v>
      </c>
      <c r="M26" s="14" t="s">
        <v>86</v>
      </c>
    </row>
    <row r="27" spans="1:13" x14ac:dyDescent="0.25">
      <c r="A27" s="14" t="s">
        <v>53</v>
      </c>
      <c r="B27" s="14" t="s">
        <v>1394</v>
      </c>
      <c r="C27" s="14" t="s">
        <v>1395</v>
      </c>
      <c r="D27" s="14" t="s">
        <v>63</v>
      </c>
      <c r="E27" s="14">
        <v>1</v>
      </c>
      <c r="F27" s="14">
        <v>0</v>
      </c>
      <c r="G27" s="14">
        <v>0</v>
      </c>
      <c r="H27" s="14">
        <v>0</v>
      </c>
      <c r="I27" s="14">
        <v>0</v>
      </c>
      <c r="J27" s="17">
        <v>0</v>
      </c>
      <c r="K27" s="14">
        <v>1</v>
      </c>
      <c r="L27" s="17">
        <v>98.02</v>
      </c>
      <c r="M27" s="14" t="s">
        <v>86</v>
      </c>
    </row>
    <row r="28" spans="1:13" x14ac:dyDescent="0.25">
      <c r="A28" s="14" t="s">
        <v>49</v>
      </c>
      <c r="B28" s="14" t="s">
        <v>1396</v>
      </c>
      <c r="C28" s="14" t="s">
        <v>1397</v>
      </c>
      <c r="D28" s="14" t="s">
        <v>50</v>
      </c>
      <c r="E28" s="14">
        <v>1</v>
      </c>
      <c r="F28" s="14">
        <v>0</v>
      </c>
      <c r="G28" s="14">
        <v>0</v>
      </c>
      <c r="H28" s="14">
        <v>0</v>
      </c>
      <c r="I28" s="14">
        <v>0</v>
      </c>
      <c r="J28" s="17">
        <v>16</v>
      </c>
      <c r="K28" s="14">
        <v>1</v>
      </c>
      <c r="L28" s="17">
        <v>0</v>
      </c>
      <c r="M28" s="14" t="s">
        <v>86</v>
      </c>
    </row>
    <row r="29" spans="1:13" x14ac:dyDescent="0.25">
      <c r="A29" s="14" t="s">
        <v>49</v>
      </c>
      <c r="B29" s="14" t="s">
        <v>1398</v>
      </c>
      <c r="C29" s="14" t="s">
        <v>1399</v>
      </c>
      <c r="D29" s="14" t="s">
        <v>70</v>
      </c>
      <c r="E29" s="14">
        <v>0</v>
      </c>
      <c r="F29" s="14">
        <v>0</v>
      </c>
      <c r="G29" s="14">
        <v>0</v>
      </c>
      <c r="H29" s="14">
        <v>0</v>
      </c>
      <c r="I29" s="14">
        <v>0</v>
      </c>
      <c r="J29" s="17">
        <v>0</v>
      </c>
      <c r="K29" s="14">
        <v>1</v>
      </c>
      <c r="L29" s="17">
        <v>80.099999999999994</v>
      </c>
      <c r="M29" s="14" t="s">
        <v>86</v>
      </c>
    </row>
    <row r="30" spans="1:13" x14ac:dyDescent="0.25">
      <c r="A30" s="14" t="s">
        <v>51</v>
      </c>
      <c r="B30" s="14" t="s">
        <v>1400</v>
      </c>
      <c r="C30" s="14" t="s">
        <v>1401</v>
      </c>
      <c r="D30" s="14" t="s">
        <v>56</v>
      </c>
      <c r="E30" s="14">
        <v>0</v>
      </c>
      <c r="F30" s="14">
        <v>0</v>
      </c>
      <c r="G30" s="14">
        <v>0</v>
      </c>
      <c r="H30" s="14">
        <v>0</v>
      </c>
      <c r="I30" s="14">
        <v>0</v>
      </c>
      <c r="J30" s="17">
        <v>0</v>
      </c>
      <c r="K30" s="14">
        <v>1</v>
      </c>
      <c r="L30" s="17">
        <v>103.15</v>
      </c>
      <c r="M30" s="14" t="s">
        <v>86</v>
      </c>
    </row>
    <row r="31" spans="1:13" x14ac:dyDescent="0.25">
      <c r="A31" s="14" t="s">
        <v>55</v>
      </c>
      <c r="B31" s="14" t="s">
        <v>1402</v>
      </c>
      <c r="C31" s="14" t="s">
        <v>1403</v>
      </c>
      <c r="D31" s="14" t="s">
        <v>56</v>
      </c>
      <c r="E31" s="14">
        <v>1</v>
      </c>
      <c r="F31" s="14">
        <v>0</v>
      </c>
      <c r="G31" s="14">
        <v>1</v>
      </c>
      <c r="H31" s="14">
        <v>0</v>
      </c>
      <c r="I31" s="14">
        <v>0</v>
      </c>
      <c r="J31" s="17">
        <v>0</v>
      </c>
      <c r="K31" s="14">
        <v>1</v>
      </c>
      <c r="L31" s="17">
        <v>58.43</v>
      </c>
      <c r="M31" s="14" t="s">
        <v>86</v>
      </c>
    </row>
    <row r="32" spans="1:13" x14ac:dyDescent="0.25">
      <c r="A32" s="14" t="s">
        <v>43</v>
      </c>
      <c r="B32" s="14" t="s">
        <v>1404</v>
      </c>
      <c r="C32" s="14" t="s">
        <v>1405</v>
      </c>
      <c r="D32" s="14" t="s">
        <v>65</v>
      </c>
      <c r="E32" s="14">
        <v>0</v>
      </c>
      <c r="F32" s="14">
        <v>1</v>
      </c>
      <c r="G32" s="14">
        <v>0</v>
      </c>
      <c r="H32" s="14">
        <v>0</v>
      </c>
      <c r="I32" s="14">
        <v>0</v>
      </c>
      <c r="J32" s="17">
        <v>0</v>
      </c>
      <c r="K32" s="14">
        <v>1</v>
      </c>
      <c r="L32" s="17">
        <v>0</v>
      </c>
      <c r="M32" s="14" t="s">
        <v>86</v>
      </c>
    </row>
    <row r="33" spans="1:13" x14ac:dyDescent="0.25">
      <c r="A33" s="14" t="s">
        <v>53</v>
      </c>
      <c r="B33" s="14" t="s">
        <v>1406</v>
      </c>
      <c r="C33" s="14" t="s">
        <v>1407</v>
      </c>
      <c r="D33" s="14" t="s">
        <v>68</v>
      </c>
      <c r="E33" s="14">
        <v>0</v>
      </c>
      <c r="F33" s="14">
        <v>0</v>
      </c>
      <c r="G33" s="14">
        <v>0</v>
      </c>
      <c r="H33" s="14">
        <v>0</v>
      </c>
      <c r="I33" s="14">
        <v>0</v>
      </c>
      <c r="J33" s="17">
        <v>0</v>
      </c>
      <c r="K33" s="14">
        <v>1</v>
      </c>
      <c r="L33" s="17">
        <v>115.57</v>
      </c>
      <c r="M33" s="14" t="s">
        <v>86</v>
      </c>
    </row>
    <row r="34" spans="1:13" x14ac:dyDescent="0.25">
      <c r="A34" s="14" t="s">
        <v>49</v>
      </c>
      <c r="B34" s="14" t="s">
        <v>1408</v>
      </c>
      <c r="C34" s="14" t="s">
        <v>1409</v>
      </c>
      <c r="D34" s="14" t="s">
        <v>48</v>
      </c>
      <c r="E34" s="14">
        <v>0</v>
      </c>
      <c r="F34" s="14">
        <v>1</v>
      </c>
      <c r="G34" s="14">
        <v>1</v>
      </c>
      <c r="H34" s="14">
        <v>1</v>
      </c>
      <c r="I34" s="14">
        <v>0</v>
      </c>
      <c r="J34" s="17">
        <v>33</v>
      </c>
      <c r="K34" s="14">
        <v>1</v>
      </c>
      <c r="L34" s="17">
        <v>75.06</v>
      </c>
      <c r="M34" s="14" t="s">
        <v>86</v>
      </c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7"/>
      <c r="K35" s="14"/>
      <c r="L35" s="17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7"/>
      <c r="K36" s="14"/>
      <c r="L36" s="17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7"/>
      <c r="K37" s="14"/>
      <c r="L37" s="17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7"/>
      <c r="K38" s="14"/>
      <c r="L38" s="17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7"/>
      <c r="K39" s="14"/>
      <c r="L39" s="17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7"/>
      <c r="K40" s="14"/>
      <c r="L40" s="17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7"/>
      <c r="K41" s="14"/>
      <c r="L41" s="17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7"/>
      <c r="K42" s="14"/>
      <c r="L42" s="17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7"/>
      <c r="K43" s="14"/>
      <c r="L43" s="17"/>
      <c r="M43" s="14"/>
    </row>
  </sheetData>
  <mergeCells count="2">
    <mergeCell ref="A2:M2"/>
    <mergeCell ref="A1:M1"/>
  </mergeCells>
  <dataValidations count="1">
    <dataValidation type="list" allowBlank="1" sqref="M4:M43" xr:uid="{00000000-0002-0000-1C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C00-000000000000}">
          <x14:formula1>
            <xm:f>Setup!$A$5:$A$16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C00-000001000000}">
          <x14:formula1>
            <xm:f>Setup!$C$5:$C$30</xm:f>
          </x14:formula1>
          <xm:sqref>D4:D43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4" t="s">
        <v>1410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</row>
    <row r="2" spans="1:24" ht="21.95" customHeight="1" x14ac:dyDescent="0.25">
      <c r="A2" s="43" t="s">
        <v>19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</row>
    <row r="3" spans="1:24" x14ac:dyDescent="0.25">
      <c r="A3" s="12" t="s">
        <v>79</v>
      </c>
      <c r="B3" s="12" t="s">
        <v>80</v>
      </c>
      <c r="C3" s="12" t="s">
        <v>81</v>
      </c>
      <c r="D3" s="12" t="s">
        <v>82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83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43</v>
      </c>
      <c r="B4" s="14" t="s">
        <v>1411</v>
      </c>
      <c r="C4" s="14" t="s">
        <v>1412</v>
      </c>
      <c r="D4" s="14" t="s">
        <v>74</v>
      </c>
      <c r="E4" s="14">
        <v>1</v>
      </c>
      <c r="F4" s="14">
        <v>0</v>
      </c>
      <c r="G4" s="14">
        <v>0</v>
      </c>
      <c r="H4" s="14">
        <v>0</v>
      </c>
      <c r="I4" s="14">
        <v>0</v>
      </c>
      <c r="J4" s="17">
        <v>0</v>
      </c>
      <c r="K4" s="14">
        <v>0</v>
      </c>
      <c r="L4" s="17">
        <v>112.96</v>
      </c>
      <c r="M4" s="14" t="s">
        <v>86</v>
      </c>
      <c r="P4" s="14" t="str">
        <f>Setup!$A$5</f>
        <v>Expert 01</v>
      </c>
      <c r="Q4" s="14">
        <f t="shared" ref="Q4:Q15" si="0">SUMIF($A$4:$A$43,$P4,E$4:E$43)</f>
        <v>1</v>
      </c>
      <c r="R4" s="14">
        <f t="shared" ref="R4:R15" si="1">SUMIF($A$4:$A$43,$P4,F$4:F$43)</f>
        <v>0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7">
        <f t="shared" ref="V4:V15" si="5">SUMIF($A$4:$A$43,$P4,J$4:J$43)</f>
        <v>0</v>
      </c>
      <c r="W4" s="14">
        <f t="shared" ref="W4:W15" si="6">SUMIF($A$4:$A$43,$P4,K$4:K$43)</f>
        <v>1</v>
      </c>
      <c r="X4" s="17">
        <f t="shared" ref="X4:X15" si="7">SUMIF($A$4:$A$43,$P4,L$4:L$43)</f>
        <v>60.52</v>
      </c>
    </row>
    <row r="5" spans="1:24" x14ac:dyDescent="0.25">
      <c r="A5" s="14" t="s">
        <v>39</v>
      </c>
      <c r="B5" s="14" t="s">
        <v>1413</v>
      </c>
      <c r="C5" s="14" t="s">
        <v>1414</v>
      </c>
      <c r="D5" s="14" t="s">
        <v>67</v>
      </c>
      <c r="E5" s="14">
        <v>1</v>
      </c>
      <c r="F5" s="14">
        <v>0</v>
      </c>
      <c r="G5" s="14">
        <v>0</v>
      </c>
      <c r="H5" s="14">
        <v>0</v>
      </c>
      <c r="I5" s="14">
        <v>0</v>
      </c>
      <c r="J5" s="17">
        <v>0</v>
      </c>
      <c r="K5" s="14">
        <v>1</v>
      </c>
      <c r="L5" s="17">
        <v>60.52</v>
      </c>
      <c r="M5" s="14" t="s">
        <v>86</v>
      </c>
      <c r="P5" s="14" t="str">
        <f>Setup!$A$6</f>
        <v>Expert 02</v>
      </c>
      <c r="Q5" s="14">
        <f t="shared" si="0"/>
        <v>0</v>
      </c>
      <c r="R5" s="14">
        <f t="shared" si="1"/>
        <v>1</v>
      </c>
      <c r="S5" s="14">
        <f t="shared" si="2"/>
        <v>0</v>
      </c>
      <c r="T5" s="14">
        <f t="shared" si="3"/>
        <v>1</v>
      </c>
      <c r="U5" s="14">
        <f t="shared" si="4"/>
        <v>0</v>
      </c>
      <c r="V5" s="17">
        <f t="shared" si="5"/>
        <v>33</v>
      </c>
      <c r="W5" s="14">
        <f t="shared" si="6"/>
        <v>1</v>
      </c>
      <c r="X5" s="17">
        <f t="shared" si="7"/>
        <v>140.91</v>
      </c>
    </row>
    <row r="6" spans="1:24" x14ac:dyDescent="0.25">
      <c r="A6" s="14" t="s">
        <v>55</v>
      </c>
      <c r="B6" s="14" t="s">
        <v>1415</v>
      </c>
      <c r="C6" s="14" t="s">
        <v>1416</v>
      </c>
      <c r="D6" s="14" t="s">
        <v>54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7">
        <v>0</v>
      </c>
      <c r="K6" s="14">
        <v>1</v>
      </c>
      <c r="L6" s="17">
        <v>0</v>
      </c>
      <c r="M6" s="14" t="s">
        <v>86</v>
      </c>
      <c r="P6" s="14" t="str">
        <f>Setup!$A$7</f>
        <v>Expert 03</v>
      </c>
      <c r="Q6" s="14">
        <f t="shared" si="0"/>
        <v>3</v>
      </c>
      <c r="R6" s="14">
        <f t="shared" si="1"/>
        <v>1</v>
      </c>
      <c r="S6" s="14">
        <f t="shared" si="2"/>
        <v>0</v>
      </c>
      <c r="T6" s="14">
        <f t="shared" si="3"/>
        <v>1</v>
      </c>
      <c r="U6" s="14">
        <f t="shared" si="4"/>
        <v>0</v>
      </c>
      <c r="V6" s="17">
        <f t="shared" si="5"/>
        <v>34</v>
      </c>
      <c r="W6" s="14">
        <f t="shared" si="6"/>
        <v>3</v>
      </c>
      <c r="X6" s="17">
        <f t="shared" si="7"/>
        <v>372.61</v>
      </c>
    </row>
    <row r="7" spans="1:24" x14ac:dyDescent="0.25">
      <c r="A7" s="14" t="s">
        <v>43</v>
      </c>
      <c r="B7" s="14" t="s">
        <v>1417</v>
      </c>
      <c r="C7" s="14" t="s">
        <v>1418</v>
      </c>
      <c r="D7" s="14" t="s">
        <v>40</v>
      </c>
      <c r="E7" s="14">
        <v>1</v>
      </c>
      <c r="F7" s="14">
        <v>0</v>
      </c>
      <c r="G7" s="14">
        <v>0</v>
      </c>
      <c r="H7" s="14">
        <v>0</v>
      </c>
      <c r="I7" s="14">
        <v>0</v>
      </c>
      <c r="J7" s="17">
        <v>18</v>
      </c>
      <c r="K7" s="14">
        <v>1</v>
      </c>
      <c r="L7" s="17">
        <v>18.14</v>
      </c>
      <c r="M7" s="14" t="s">
        <v>86</v>
      </c>
      <c r="P7" s="14" t="str">
        <f>Setup!$A$8</f>
        <v>Expert 04</v>
      </c>
      <c r="Q7" s="14">
        <f t="shared" si="0"/>
        <v>3</v>
      </c>
      <c r="R7" s="14">
        <f t="shared" si="1"/>
        <v>0</v>
      </c>
      <c r="S7" s="14">
        <f t="shared" si="2"/>
        <v>0</v>
      </c>
      <c r="T7" s="14">
        <f t="shared" si="3"/>
        <v>2</v>
      </c>
      <c r="U7" s="14">
        <f t="shared" si="4"/>
        <v>0</v>
      </c>
      <c r="V7" s="17">
        <f t="shared" si="5"/>
        <v>31</v>
      </c>
      <c r="W7" s="14">
        <f t="shared" si="6"/>
        <v>3</v>
      </c>
      <c r="X7" s="17">
        <f t="shared" si="7"/>
        <v>342.27</v>
      </c>
    </row>
    <row r="8" spans="1:24" x14ac:dyDescent="0.25">
      <c r="A8" s="14" t="s">
        <v>53</v>
      </c>
      <c r="B8" s="14" t="s">
        <v>1419</v>
      </c>
      <c r="C8" s="14" t="s">
        <v>1420</v>
      </c>
      <c r="D8" s="14" t="s">
        <v>74</v>
      </c>
      <c r="E8" s="14">
        <v>1</v>
      </c>
      <c r="F8" s="14">
        <v>0</v>
      </c>
      <c r="G8" s="14">
        <v>0</v>
      </c>
      <c r="H8" s="14">
        <v>0</v>
      </c>
      <c r="I8" s="14">
        <v>0</v>
      </c>
      <c r="J8" s="17">
        <v>16</v>
      </c>
      <c r="K8" s="14">
        <v>0</v>
      </c>
      <c r="L8" s="17">
        <v>36.9</v>
      </c>
      <c r="M8" s="14" t="s">
        <v>86</v>
      </c>
      <c r="P8" s="14" t="str">
        <f>Setup!$A$9</f>
        <v>Expert 05</v>
      </c>
      <c r="Q8" s="14">
        <f t="shared" si="0"/>
        <v>0</v>
      </c>
      <c r="R8" s="14">
        <f t="shared" si="1"/>
        <v>0</v>
      </c>
      <c r="S8" s="14">
        <f t="shared" si="2"/>
        <v>0</v>
      </c>
      <c r="T8" s="14">
        <f t="shared" si="3"/>
        <v>1</v>
      </c>
      <c r="U8" s="14">
        <f t="shared" si="4"/>
        <v>0</v>
      </c>
      <c r="V8" s="17">
        <f t="shared" si="5"/>
        <v>0</v>
      </c>
      <c r="W8" s="14">
        <f t="shared" si="6"/>
        <v>1</v>
      </c>
      <c r="X8" s="17">
        <f t="shared" si="7"/>
        <v>177.39</v>
      </c>
    </row>
    <row r="9" spans="1:24" x14ac:dyDescent="0.25">
      <c r="A9" s="14" t="s">
        <v>49</v>
      </c>
      <c r="B9" s="14" t="s">
        <v>1421</v>
      </c>
      <c r="C9" s="14" t="s">
        <v>1422</v>
      </c>
      <c r="D9" s="14" t="s">
        <v>73</v>
      </c>
      <c r="E9" s="14">
        <v>0</v>
      </c>
      <c r="F9" s="14">
        <v>0</v>
      </c>
      <c r="G9" s="14">
        <v>1</v>
      </c>
      <c r="H9" s="14">
        <v>0</v>
      </c>
      <c r="I9" s="14">
        <v>1</v>
      </c>
      <c r="J9" s="17">
        <v>0</v>
      </c>
      <c r="K9" s="14">
        <v>0</v>
      </c>
      <c r="L9" s="17">
        <v>0</v>
      </c>
      <c r="M9" s="14" t="s">
        <v>86</v>
      </c>
      <c r="P9" s="14" t="str">
        <f>Setup!$A$10</f>
        <v>Expert 06</v>
      </c>
      <c r="Q9" s="14">
        <f t="shared" si="0"/>
        <v>0</v>
      </c>
      <c r="R9" s="14">
        <f t="shared" si="1"/>
        <v>0</v>
      </c>
      <c r="S9" s="14">
        <f t="shared" si="2"/>
        <v>1</v>
      </c>
      <c r="T9" s="14">
        <f t="shared" si="3"/>
        <v>1</v>
      </c>
      <c r="U9" s="14">
        <f t="shared" si="4"/>
        <v>1</v>
      </c>
      <c r="V9" s="17">
        <f t="shared" si="5"/>
        <v>24</v>
      </c>
      <c r="W9" s="14">
        <f t="shared" si="6"/>
        <v>1</v>
      </c>
      <c r="X9" s="17">
        <f t="shared" si="7"/>
        <v>165.38</v>
      </c>
    </row>
    <row r="10" spans="1:24" x14ac:dyDescent="0.25">
      <c r="A10" s="14" t="s">
        <v>49</v>
      </c>
      <c r="B10" s="14" t="s">
        <v>1423</v>
      </c>
      <c r="C10" s="14" t="s">
        <v>1424</v>
      </c>
      <c r="D10" s="14" t="s">
        <v>68</v>
      </c>
      <c r="E10" s="14">
        <v>0</v>
      </c>
      <c r="F10" s="14">
        <v>0</v>
      </c>
      <c r="G10" s="14">
        <v>0</v>
      </c>
      <c r="H10" s="14">
        <v>1</v>
      </c>
      <c r="I10" s="14">
        <v>0</v>
      </c>
      <c r="J10" s="17">
        <v>24</v>
      </c>
      <c r="K10" s="14">
        <v>1</v>
      </c>
      <c r="L10" s="17">
        <v>165.38</v>
      </c>
      <c r="M10" s="14" t="s">
        <v>212</v>
      </c>
      <c r="P10" s="14" t="str">
        <f>Setup!$A$11</f>
        <v>Expert 07</v>
      </c>
      <c r="Q10" s="14">
        <f t="shared" si="0"/>
        <v>0</v>
      </c>
      <c r="R10" s="14">
        <f t="shared" si="1"/>
        <v>0</v>
      </c>
      <c r="S10" s="14">
        <f t="shared" si="2"/>
        <v>0</v>
      </c>
      <c r="T10" s="14">
        <f t="shared" si="3"/>
        <v>1</v>
      </c>
      <c r="U10" s="14">
        <f t="shared" si="4"/>
        <v>1</v>
      </c>
      <c r="V10" s="17">
        <f t="shared" si="5"/>
        <v>0</v>
      </c>
      <c r="W10" s="14">
        <f t="shared" si="6"/>
        <v>0</v>
      </c>
      <c r="X10" s="17">
        <f t="shared" si="7"/>
        <v>0</v>
      </c>
    </row>
    <row r="11" spans="1:24" x14ac:dyDescent="0.25">
      <c r="A11" s="14" t="s">
        <v>41</v>
      </c>
      <c r="B11" s="14" t="s">
        <v>1425</v>
      </c>
      <c r="C11" s="14" t="s">
        <v>1426</v>
      </c>
      <c r="D11" s="14" t="s">
        <v>48</v>
      </c>
      <c r="E11" s="14">
        <v>0</v>
      </c>
      <c r="F11" s="14">
        <v>1</v>
      </c>
      <c r="G11" s="14">
        <v>0</v>
      </c>
      <c r="H11" s="14">
        <v>1</v>
      </c>
      <c r="I11" s="14">
        <v>0</v>
      </c>
      <c r="J11" s="17">
        <v>33</v>
      </c>
      <c r="K11" s="14">
        <v>1</v>
      </c>
      <c r="L11" s="17">
        <v>140.91</v>
      </c>
      <c r="M11" s="14" t="s">
        <v>86</v>
      </c>
      <c r="P11" s="14" t="str">
        <f>Setup!$A$12</f>
        <v>Expert 08</v>
      </c>
      <c r="Q11" s="14">
        <f t="shared" si="0"/>
        <v>1</v>
      </c>
      <c r="R11" s="14">
        <f t="shared" si="1"/>
        <v>0</v>
      </c>
      <c r="S11" s="14">
        <f t="shared" si="2"/>
        <v>0</v>
      </c>
      <c r="T11" s="14">
        <f t="shared" si="3"/>
        <v>0</v>
      </c>
      <c r="U11" s="14">
        <f t="shared" si="4"/>
        <v>0</v>
      </c>
      <c r="V11" s="17">
        <f t="shared" si="5"/>
        <v>31</v>
      </c>
      <c r="W11" s="14">
        <f t="shared" si="6"/>
        <v>0</v>
      </c>
      <c r="X11" s="17">
        <f t="shared" si="7"/>
        <v>70.5</v>
      </c>
    </row>
    <row r="12" spans="1:24" x14ac:dyDescent="0.25">
      <c r="A12" s="14" t="s">
        <v>59</v>
      </c>
      <c r="B12" s="14" t="s">
        <v>1427</v>
      </c>
      <c r="C12" s="14" t="s">
        <v>1428</v>
      </c>
      <c r="D12" s="14" t="s">
        <v>68</v>
      </c>
      <c r="E12" s="14">
        <v>0</v>
      </c>
      <c r="F12" s="14">
        <v>0</v>
      </c>
      <c r="G12" s="14">
        <v>0</v>
      </c>
      <c r="H12" s="14">
        <v>0</v>
      </c>
      <c r="I12" s="14">
        <v>0</v>
      </c>
      <c r="J12" s="17">
        <v>16</v>
      </c>
      <c r="K12" s="14">
        <v>1</v>
      </c>
      <c r="L12" s="17">
        <v>0</v>
      </c>
      <c r="M12" s="14" t="s">
        <v>86</v>
      </c>
      <c r="P12" s="14" t="str">
        <f>Setup!$A$13</f>
        <v>Expert 09</v>
      </c>
      <c r="Q12" s="14">
        <f t="shared" si="0"/>
        <v>0</v>
      </c>
      <c r="R12" s="14">
        <f t="shared" si="1"/>
        <v>0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7">
        <f t="shared" si="5"/>
        <v>0</v>
      </c>
      <c r="W12" s="14">
        <f t="shared" si="6"/>
        <v>1</v>
      </c>
      <c r="X12" s="17">
        <f t="shared" si="7"/>
        <v>0</v>
      </c>
    </row>
    <row r="13" spans="1:24" x14ac:dyDescent="0.25">
      <c r="A13" s="14" t="s">
        <v>57</v>
      </c>
      <c r="B13" s="14" t="s">
        <v>1429</v>
      </c>
      <c r="C13" s="14" t="s">
        <v>1430</v>
      </c>
      <c r="D13" s="14" t="s">
        <v>75</v>
      </c>
      <c r="E13" s="14">
        <v>0</v>
      </c>
      <c r="F13" s="14">
        <v>0</v>
      </c>
      <c r="G13" s="14">
        <v>0</v>
      </c>
      <c r="H13" s="14">
        <v>1</v>
      </c>
      <c r="I13" s="14">
        <v>0</v>
      </c>
      <c r="J13" s="17">
        <v>24</v>
      </c>
      <c r="K13" s="14">
        <v>0</v>
      </c>
      <c r="L13" s="17">
        <v>0</v>
      </c>
      <c r="M13" s="14" t="s">
        <v>86</v>
      </c>
      <c r="P13" s="14" t="str">
        <f>Setup!$A$14</f>
        <v>Expert 10</v>
      </c>
      <c r="Q13" s="14">
        <f t="shared" si="0"/>
        <v>0</v>
      </c>
      <c r="R13" s="14">
        <f t="shared" si="1"/>
        <v>0</v>
      </c>
      <c r="S13" s="14">
        <f t="shared" si="2"/>
        <v>0</v>
      </c>
      <c r="T13" s="14">
        <f t="shared" si="3"/>
        <v>1</v>
      </c>
      <c r="U13" s="14">
        <f t="shared" si="4"/>
        <v>0</v>
      </c>
      <c r="V13" s="17">
        <f t="shared" si="5"/>
        <v>24</v>
      </c>
      <c r="W13" s="14">
        <f t="shared" si="6"/>
        <v>0</v>
      </c>
      <c r="X13" s="17">
        <f t="shared" si="7"/>
        <v>0</v>
      </c>
    </row>
    <row r="14" spans="1:24" x14ac:dyDescent="0.25">
      <c r="A14" s="14" t="s">
        <v>47</v>
      </c>
      <c r="B14" s="14" t="s">
        <v>1431</v>
      </c>
      <c r="C14" s="14" t="s">
        <v>1432</v>
      </c>
      <c r="D14" s="14" t="s">
        <v>69</v>
      </c>
      <c r="E14" s="14">
        <v>0</v>
      </c>
      <c r="F14" s="14">
        <v>0</v>
      </c>
      <c r="G14" s="14">
        <v>0</v>
      </c>
      <c r="H14" s="14">
        <v>1</v>
      </c>
      <c r="I14" s="14">
        <v>0</v>
      </c>
      <c r="J14" s="17">
        <v>0</v>
      </c>
      <c r="K14" s="14">
        <v>1</v>
      </c>
      <c r="L14" s="17">
        <v>177.39</v>
      </c>
      <c r="M14" s="14" t="s">
        <v>86</v>
      </c>
      <c r="P14" s="14" t="str">
        <f>Setup!$A$15</f>
        <v>Expert 11</v>
      </c>
      <c r="Q14" s="14">
        <f t="shared" si="0"/>
        <v>0</v>
      </c>
      <c r="R14" s="14">
        <f t="shared" si="1"/>
        <v>0</v>
      </c>
      <c r="S14" s="14">
        <f t="shared" si="2"/>
        <v>0</v>
      </c>
      <c r="T14" s="14">
        <f t="shared" si="3"/>
        <v>0</v>
      </c>
      <c r="U14" s="14">
        <f t="shared" si="4"/>
        <v>0</v>
      </c>
      <c r="V14" s="17">
        <f t="shared" si="5"/>
        <v>16</v>
      </c>
      <c r="W14" s="14">
        <f t="shared" si="6"/>
        <v>1</v>
      </c>
      <c r="X14" s="17">
        <f t="shared" si="7"/>
        <v>0</v>
      </c>
    </row>
    <row r="15" spans="1:24" x14ac:dyDescent="0.25">
      <c r="A15" s="14" t="s">
        <v>53</v>
      </c>
      <c r="B15" s="14" t="s">
        <v>1433</v>
      </c>
      <c r="C15" s="14" t="s">
        <v>1434</v>
      </c>
      <c r="D15" s="14" t="s">
        <v>75</v>
      </c>
      <c r="E15" s="14">
        <v>0</v>
      </c>
      <c r="F15" s="14">
        <v>0</v>
      </c>
      <c r="G15" s="14">
        <v>0</v>
      </c>
      <c r="H15" s="14">
        <v>0</v>
      </c>
      <c r="I15" s="14">
        <v>0</v>
      </c>
      <c r="J15" s="17">
        <v>15</v>
      </c>
      <c r="K15" s="14">
        <v>0</v>
      </c>
      <c r="L15" s="17">
        <v>33.6</v>
      </c>
      <c r="M15" s="14" t="s">
        <v>86</v>
      </c>
      <c r="P15" s="14" t="str">
        <f>Setup!$A$16</f>
        <v>Expert 12</v>
      </c>
      <c r="Q15" s="14">
        <f t="shared" si="0"/>
        <v>0</v>
      </c>
      <c r="R15" s="14">
        <f t="shared" si="1"/>
        <v>0</v>
      </c>
      <c r="S15" s="14">
        <f t="shared" si="2"/>
        <v>0</v>
      </c>
      <c r="T15" s="14">
        <f t="shared" si="3"/>
        <v>0</v>
      </c>
      <c r="U15" s="14">
        <f t="shared" si="4"/>
        <v>1</v>
      </c>
      <c r="V15" s="17">
        <f t="shared" si="5"/>
        <v>0</v>
      </c>
      <c r="W15" s="14">
        <f t="shared" si="6"/>
        <v>0</v>
      </c>
      <c r="X15" s="17">
        <f t="shared" si="7"/>
        <v>130.78</v>
      </c>
    </row>
    <row r="16" spans="1:24" x14ac:dyDescent="0.25">
      <c r="A16" s="14" t="s">
        <v>43</v>
      </c>
      <c r="B16" s="14" t="s">
        <v>1435</v>
      </c>
      <c r="C16" s="14" t="s">
        <v>1436</v>
      </c>
      <c r="D16" s="14" t="s">
        <v>69</v>
      </c>
      <c r="E16" s="14">
        <v>1</v>
      </c>
      <c r="F16" s="14">
        <v>0</v>
      </c>
      <c r="G16" s="14">
        <v>0</v>
      </c>
      <c r="H16" s="14">
        <v>1</v>
      </c>
      <c r="I16" s="14">
        <v>0</v>
      </c>
      <c r="J16" s="17">
        <v>16</v>
      </c>
      <c r="K16" s="14">
        <v>1</v>
      </c>
      <c r="L16" s="17">
        <v>0</v>
      </c>
      <c r="M16" s="14" t="s">
        <v>212</v>
      </c>
      <c r="P16" s="18" t="s">
        <v>111</v>
      </c>
      <c r="Q16" s="19">
        <f t="shared" ref="Q16:X16" si="8">SUM(Q4:Q15)</f>
        <v>8</v>
      </c>
      <c r="R16" s="19">
        <f t="shared" si="8"/>
        <v>2</v>
      </c>
      <c r="S16" s="19">
        <f t="shared" si="8"/>
        <v>1</v>
      </c>
      <c r="T16" s="19">
        <f t="shared" si="8"/>
        <v>8</v>
      </c>
      <c r="U16" s="19">
        <f t="shared" si="8"/>
        <v>3</v>
      </c>
      <c r="V16" s="20">
        <f t="shared" si="8"/>
        <v>193</v>
      </c>
      <c r="W16" s="19">
        <f t="shared" si="8"/>
        <v>12</v>
      </c>
      <c r="X16" s="20">
        <f t="shared" si="8"/>
        <v>1460.36</v>
      </c>
    </row>
    <row r="17" spans="1:13" x14ac:dyDescent="0.25">
      <c r="A17" s="14" t="s">
        <v>43</v>
      </c>
      <c r="B17" s="14" t="s">
        <v>1437</v>
      </c>
      <c r="C17" s="14" t="s">
        <v>1438</v>
      </c>
      <c r="D17" s="14" t="s">
        <v>75</v>
      </c>
      <c r="E17" s="14">
        <v>0</v>
      </c>
      <c r="F17" s="14">
        <v>1</v>
      </c>
      <c r="G17" s="14">
        <v>0</v>
      </c>
      <c r="H17" s="14">
        <v>0</v>
      </c>
      <c r="I17" s="14">
        <v>0</v>
      </c>
      <c r="J17" s="17">
        <v>0</v>
      </c>
      <c r="K17" s="14">
        <v>0</v>
      </c>
      <c r="L17" s="17">
        <v>95.17</v>
      </c>
      <c r="M17" s="14" t="s">
        <v>86</v>
      </c>
    </row>
    <row r="18" spans="1:13" x14ac:dyDescent="0.25">
      <c r="A18" s="14" t="s">
        <v>45</v>
      </c>
      <c r="B18" s="14" t="s">
        <v>1439</v>
      </c>
      <c r="C18" s="14" t="s">
        <v>1440</v>
      </c>
      <c r="D18" s="14" t="s">
        <v>50</v>
      </c>
      <c r="E18" s="14">
        <v>1</v>
      </c>
      <c r="F18" s="14">
        <v>0</v>
      </c>
      <c r="G18" s="14">
        <v>0</v>
      </c>
      <c r="H18" s="14">
        <v>0</v>
      </c>
      <c r="I18" s="14">
        <v>0</v>
      </c>
      <c r="J18" s="17">
        <v>0</v>
      </c>
      <c r="K18" s="14">
        <v>1</v>
      </c>
      <c r="L18" s="17">
        <v>135.68</v>
      </c>
      <c r="M18" s="14" t="s">
        <v>86</v>
      </c>
    </row>
    <row r="19" spans="1:13" x14ac:dyDescent="0.25">
      <c r="A19" s="14" t="s">
        <v>45</v>
      </c>
      <c r="B19" s="14" t="s">
        <v>1441</v>
      </c>
      <c r="C19" s="14" t="s">
        <v>1442</v>
      </c>
      <c r="D19" s="14" t="s">
        <v>48</v>
      </c>
      <c r="E19" s="14">
        <v>1</v>
      </c>
      <c r="F19" s="14">
        <v>0</v>
      </c>
      <c r="G19" s="14">
        <v>0</v>
      </c>
      <c r="H19" s="14">
        <v>1</v>
      </c>
      <c r="I19" s="14">
        <v>0</v>
      </c>
      <c r="J19" s="17">
        <v>16</v>
      </c>
      <c r="K19" s="14">
        <v>1</v>
      </c>
      <c r="L19" s="17">
        <v>40.57</v>
      </c>
      <c r="M19" s="14" t="s">
        <v>86</v>
      </c>
    </row>
    <row r="20" spans="1:13" x14ac:dyDescent="0.25">
      <c r="A20" s="14" t="s">
        <v>45</v>
      </c>
      <c r="B20" s="14" t="s">
        <v>1443</v>
      </c>
      <c r="C20" s="14" t="s">
        <v>1444</v>
      </c>
      <c r="D20" s="14" t="s">
        <v>40</v>
      </c>
      <c r="E20" s="14">
        <v>1</v>
      </c>
      <c r="F20" s="14">
        <v>0</v>
      </c>
      <c r="G20" s="14">
        <v>0</v>
      </c>
      <c r="H20" s="14">
        <v>1</v>
      </c>
      <c r="I20" s="14">
        <v>0</v>
      </c>
      <c r="J20" s="17">
        <v>15</v>
      </c>
      <c r="K20" s="14">
        <v>1</v>
      </c>
      <c r="L20" s="17">
        <v>166.02</v>
      </c>
      <c r="M20" s="14" t="s">
        <v>86</v>
      </c>
    </row>
    <row r="21" spans="1:13" x14ac:dyDescent="0.25">
      <c r="A21" s="14" t="s">
        <v>51</v>
      </c>
      <c r="B21" s="14" t="s">
        <v>1445</v>
      </c>
      <c r="C21" s="14" t="s">
        <v>1446</v>
      </c>
      <c r="D21" s="14" t="s">
        <v>73</v>
      </c>
      <c r="E21" s="14">
        <v>0</v>
      </c>
      <c r="F21" s="14">
        <v>0</v>
      </c>
      <c r="G21" s="14">
        <v>0</v>
      </c>
      <c r="H21" s="14">
        <v>1</v>
      </c>
      <c r="I21" s="14">
        <v>1</v>
      </c>
      <c r="J21" s="17">
        <v>0</v>
      </c>
      <c r="K21" s="14">
        <v>0</v>
      </c>
      <c r="L21" s="17">
        <v>0</v>
      </c>
      <c r="M21" s="14" t="s">
        <v>86</v>
      </c>
    </row>
    <row r="22" spans="1:13" x14ac:dyDescent="0.25">
      <c r="A22" s="14" t="s">
        <v>61</v>
      </c>
      <c r="B22" s="14" t="s">
        <v>1447</v>
      </c>
      <c r="C22" s="14" t="s">
        <v>1448</v>
      </c>
      <c r="D22" s="14" t="s">
        <v>73</v>
      </c>
      <c r="E22" s="14">
        <v>0</v>
      </c>
      <c r="F22" s="14">
        <v>0</v>
      </c>
      <c r="G22" s="14">
        <v>0</v>
      </c>
      <c r="H22" s="14">
        <v>0</v>
      </c>
      <c r="I22" s="14">
        <v>1</v>
      </c>
      <c r="J22" s="17">
        <v>0</v>
      </c>
      <c r="K22" s="14">
        <v>0</v>
      </c>
      <c r="L22" s="17">
        <v>130.78</v>
      </c>
      <c r="M22" s="14" t="s">
        <v>86</v>
      </c>
    </row>
    <row r="23" spans="1:13" x14ac:dyDescent="0.25">
      <c r="A23" s="14" t="s">
        <v>43</v>
      </c>
      <c r="B23" s="14" t="s">
        <v>1449</v>
      </c>
      <c r="C23" s="14" t="s">
        <v>1450</v>
      </c>
      <c r="D23" s="14" t="s">
        <v>44</v>
      </c>
      <c r="E23" s="14">
        <v>0</v>
      </c>
      <c r="F23" s="14">
        <v>0</v>
      </c>
      <c r="G23" s="14">
        <v>0</v>
      </c>
      <c r="H23" s="14">
        <v>0</v>
      </c>
      <c r="I23" s="14">
        <v>0</v>
      </c>
      <c r="J23" s="17">
        <v>0</v>
      </c>
      <c r="K23" s="14">
        <v>1</v>
      </c>
      <c r="L23" s="17">
        <v>146.34</v>
      </c>
      <c r="M23" s="14" t="s">
        <v>212</v>
      </c>
    </row>
    <row r="24" spans="1:13" x14ac:dyDescent="0.25">
      <c r="A24" s="14"/>
      <c r="B24" s="14"/>
      <c r="C24" s="14"/>
      <c r="D24" s="14"/>
      <c r="E24" s="14"/>
      <c r="F24" s="14"/>
      <c r="G24" s="14"/>
      <c r="H24" s="14"/>
      <c r="I24" s="14"/>
      <c r="J24" s="17"/>
      <c r="K24" s="14"/>
      <c r="L24" s="17"/>
      <c r="M24" s="14"/>
    </row>
    <row r="25" spans="1:13" x14ac:dyDescent="0.25">
      <c r="A25" s="14"/>
      <c r="B25" s="14"/>
      <c r="C25" s="14"/>
      <c r="D25" s="14"/>
      <c r="E25" s="14"/>
      <c r="F25" s="14"/>
      <c r="G25" s="14"/>
      <c r="H25" s="14"/>
      <c r="I25" s="14"/>
      <c r="J25" s="17"/>
      <c r="K25" s="14"/>
      <c r="L25" s="17"/>
      <c r="M25" s="14"/>
    </row>
    <row r="26" spans="1:13" x14ac:dyDescent="0.25">
      <c r="A26" s="14"/>
      <c r="B26" s="14"/>
      <c r="C26" s="14"/>
      <c r="D26" s="14"/>
      <c r="E26" s="14"/>
      <c r="F26" s="14"/>
      <c r="G26" s="14"/>
      <c r="H26" s="14"/>
      <c r="I26" s="14"/>
      <c r="J26" s="17"/>
      <c r="K26" s="14"/>
      <c r="L26" s="17"/>
      <c r="M26" s="14"/>
    </row>
    <row r="27" spans="1:13" x14ac:dyDescent="0.25">
      <c r="A27" s="14"/>
      <c r="B27" s="14"/>
      <c r="C27" s="14"/>
      <c r="D27" s="14"/>
      <c r="E27" s="14"/>
      <c r="F27" s="14"/>
      <c r="G27" s="14"/>
      <c r="H27" s="14"/>
      <c r="I27" s="14"/>
      <c r="J27" s="17"/>
      <c r="K27" s="14"/>
      <c r="L27" s="17"/>
      <c r="M27" s="14"/>
    </row>
    <row r="28" spans="1:13" x14ac:dyDescent="0.25">
      <c r="A28" s="14"/>
      <c r="B28" s="14"/>
      <c r="C28" s="14"/>
      <c r="D28" s="14"/>
      <c r="E28" s="14"/>
      <c r="F28" s="14"/>
      <c r="G28" s="14"/>
      <c r="H28" s="14"/>
      <c r="I28" s="14"/>
      <c r="J28" s="17"/>
      <c r="K28" s="14"/>
      <c r="L28" s="17"/>
      <c r="M28" s="14"/>
    </row>
    <row r="29" spans="1:13" x14ac:dyDescent="0.25">
      <c r="A29" s="14"/>
      <c r="B29" s="14"/>
      <c r="C29" s="14"/>
      <c r="D29" s="14"/>
      <c r="E29" s="14"/>
      <c r="F29" s="14"/>
      <c r="G29" s="14"/>
      <c r="H29" s="14"/>
      <c r="I29" s="14"/>
      <c r="J29" s="17"/>
      <c r="K29" s="14"/>
      <c r="L29" s="17"/>
      <c r="M29" s="14"/>
    </row>
    <row r="30" spans="1:13" x14ac:dyDescent="0.25">
      <c r="A30" s="14"/>
      <c r="B30" s="14"/>
      <c r="C30" s="14"/>
      <c r="D30" s="14"/>
      <c r="E30" s="14"/>
      <c r="F30" s="14"/>
      <c r="G30" s="14"/>
      <c r="H30" s="14"/>
      <c r="I30" s="14"/>
      <c r="J30" s="17"/>
      <c r="K30" s="14"/>
      <c r="L30" s="17"/>
      <c r="M30" s="14"/>
    </row>
    <row r="31" spans="1:13" x14ac:dyDescent="0.25">
      <c r="A31" s="14"/>
      <c r="B31" s="14"/>
      <c r="C31" s="14"/>
      <c r="D31" s="14"/>
      <c r="E31" s="14"/>
      <c r="F31" s="14"/>
      <c r="G31" s="14"/>
      <c r="H31" s="14"/>
      <c r="I31" s="14"/>
      <c r="J31" s="17"/>
      <c r="K31" s="14"/>
      <c r="L31" s="17"/>
      <c r="M31" s="14"/>
    </row>
    <row r="32" spans="1:13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7"/>
      <c r="K32" s="14"/>
      <c r="L32" s="17"/>
      <c r="M32" s="14"/>
    </row>
    <row r="33" spans="1:13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7"/>
      <c r="K33" s="14"/>
      <c r="L33" s="17"/>
      <c r="M33" s="14"/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7"/>
      <c r="K34" s="14"/>
      <c r="L34" s="17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7"/>
      <c r="K35" s="14"/>
      <c r="L35" s="17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7"/>
      <c r="K36" s="14"/>
      <c r="L36" s="17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7"/>
      <c r="K37" s="14"/>
      <c r="L37" s="17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7"/>
      <c r="K38" s="14"/>
      <c r="L38" s="17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7"/>
      <c r="K39" s="14"/>
      <c r="L39" s="17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7"/>
      <c r="K40" s="14"/>
      <c r="L40" s="17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7"/>
      <c r="K41" s="14"/>
      <c r="L41" s="17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7"/>
      <c r="K42" s="14"/>
      <c r="L42" s="17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7"/>
      <c r="K43" s="14"/>
      <c r="L43" s="17"/>
      <c r="M43" s="14"/>
    </row>
  </sheetData>
  <mergeCells count="2">
    <mergeCell ref="A2:M2"/>
    <mergeCell ref="A1:M1"/>
  </mergeCells>
  <dataValidations count="1">
    <dataValidation type="list" allowBlank="1" sqref="M4:M43" xr:uid="{00000000-0002-0000-1D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D00-000000000000}">
          <x14:formula1>
            <xm:f>Setup!$A$5:$A$16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D00-000001000000}">
          <x14:formula1>
            <xm:f>Setup!$C$5:$C$30</xm:f>
          </x14:formula1>
          <xm:sqref>D4:D43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4" t="s">
        <v>1451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</row>
    <row r="2" spans="1:24" ht="21.95" customHeight="1" x14ac:dyDescent="0.25">
      <c r="A2" s="43" t="s">
        <v>19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</row>
    <row r="3" spans="1:24" x14ac:dyDescent="0.25">
      <c r="A3" s="12" t="s">
        <v>79</v>
      </c>
      <c r="B3" s="12" t="s">
        <v>80</v>
      </c>
      <c r="C3" s="12" t="s">
        <v>81</v>
      </c>
      <c r="D3" s="12" t="s">
        <v>82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83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59</v>
      </c>
      <c r="B4" s="14" t="s">
        <v>1452</v>
      </c>
      <c r="C4" s="14" t="s">
        <v>1453</v>
      </c>
      <c r="D4" s="14" t="s">
        <v>74</v>
      </c>
      <c r="E4" s="14">
        <v>1</v>
      </c>
      <c r="F4" s="14">
        <v>0</v>
      </c>
      <c r="G4" s="14">
        <v>0</v>
      </c>
      <c r="H4" s="14">
        <v>0</v>
      </c>
      <c r="I4" s="14">
        <v>0</v>
      </c>
      <c r="J4" s="17">
        <v>33</v>
      </c>
      <c r="K4" s="14">
        <v>0</v>
      </c>
      <c r="L4" s="17">
        <v>24.1</v>
      </c>
      <c r="M4" s="14" t="s">
        <v>86</v>
      </c>
      <c r="P4" s="14" t="str">
        <f>Setup!$A$5</f>
        <v>Expert 01</v>
      </c>
      <c r="Q4" s="14">
        <f t="shared" ref="Q4:Q15" si="0">SUMIF($A$4:$A$43,$P4,E$4:E$43)</f>
        <v>1</v>
      </c>
      <c r="R4" s="14">
        <f t="shared" ref="R4:R15" si="1">SUMIF($A$4:$A$43,$P4,F$4:F$43)</f>
        <v>0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7">
        <f t="shared" ref="V4:V15" si="5">SUMIF($A$4:$A$43,$P4,J$4:J$43)</f>
        <v>16</v>
      </c>
      <c r="W4" s="14">
        <f t="shared" ref="W4:W15" si="6">SUMIF($A$4:$A$43,$P4,K$4:K$43)</f>
        <v>1</v>
      </c>
      <c r="X4" s="17">
        <f t="shared" ref="X4:X15" si="7">SUMIF($A$4:$A$43,$P4,L$4:L$43)</f>
        <v>0</v>
      </c>
    </row>
    <row r="5" spans="1:24" x14ac:dyDescent="0.25">
      <c r="A5" s="14" t="s">
        <v>53</v>
      </c>
      <c r="B5" s="14" t="s">
        <v>1454</v>
      </c>
      <c r="C5" s="14" t="s">
        <v>1455</v>
      </c>
      <c r="D5" s="14" t="s">
        <v>52</v>
      </c>
      <c r="E5" s="14">
        <v>0</v>
      </c>
      <c r="F5" s="14">
        <v>1</v>
      </c>
      <c r="G5" s="14">
        <v>1</v>
      </c>
      <c r="H5" s="14">
        <v>0</v>
      </c>
      <c r="I5" s="14">
        <v>0</v>
      </c>
      <c r="J5" s="17">
        <v>16</v>
      </c>
      <c r="K5" s="14">
        <v>1</v>
      </c>
      <c r="L5" s="17">
        <v>0</v>
      </c>
      <c r="M5" s="14" t="s">
        <v>86</v>
      </c>
      <c r="P5" s="14" t="str">
        <f>Setup!$A$6</f>
        <v>Expert 02</v>
      </c>
      <c r="Q5" s="14">
        <f t="shared" si="0"/>
        <v>0</v>
      </c>
      <c r="R5" s="14">
        <f t="shared" si="1"/>
        <v>1</v>
      </c>
      <c r="S5" s="14">
        <f t="shared" si="2"/>
        <v>0</v>
      </c>
      <c r="T5" s="14">
        <f t="shared" si="3"/>
        <v>0</v>
      </c>
      <c r="U5" s="14">
        <f t="shared" si="4"/>
        <v>1</v>
      </c>
      <c r="V5" s="17">
        <f t="shared" si="5"/>
        <v>0</v>
      </c>
      <c r="W5" s="14">
        <f t="shared" si="6"/>
        <v>1</v>
      </c>
      <c r="X5" s="17">
        <f t="shared" si="7"/>
        <v>76.55</v>
      </c>
    </row>
    <row r="6" spans="1:24" x14ac:dyDescent="0.25">
      <c r="A6" s="14" t="s">
        <v>47</v>
      </c>
      <c r="B6" s="14" t="s">
        <v>1456</v>
      </c>
      <c r="C6" s="14" t="s">
        <v>1457</v>
      </c>
      <c r="D6" s="14" t="s">
        <v>74</v>
      </c>
      <c r="E6" s="14">
        <v>1</v>
      </c>
      <c r="F6" s="14">
        <v>0</v>
      </c>
      <c r="G6" s="14">
        <v>0</v>
      </c>
      <c r="H6" s="14">
        <v>0</v>
      </c>
      <c r="I6" s="14">
        <v>0</v>
      </c>
      <c r="J6" s="17">
        <v>0</v>
      </c>
      <c r="K6" s="14">
        <v>0</v>
      </c>
      <c r="L6" s="17">
        <v>0</v>
      </c>
      <c r="M6" s="14" t="s">
        <v>86</v>
      </c>
      <c r="P6" s="14" t="str">
        <f>Setup!$A$7</f>
        <v>Expert 03</v>
      </c>
      <c r="Q6" s="14">
        <f t="shared" si="0"/>
        <v>2</v>
      </c>
      <c r="R6" s="14">
        <f t="shared" si="1"/>
        <v>0</v>
      </c>
      <c r="S6" s="14">
        <f t="shared" si="2"/>
        <v>0</v>
      </c>
      <c r="T6" s="14">
        <f t="shared" si="3"/>
        <v>0</v>
      </c>
      <c r="U6" s="14">
        <f t="shared" si="4"/>
        <v>0</v>
      </c>
      <c r="V6" s="17">
        <f t="shared" si="5"/>
        <v>18</v>
      </c>
      <c r="W6" s="14">
        <f t="shared" si="6"/>
        <v>3</v>
      </c>
      <c r="X6" s="17">
        <f t="shared" si="7"/>
        <v>143.51</v>
      </c>
    </row>
    <row r="7" spans="1:24" x14ac:dyDescent="0.25">
      <c r="A7" s="14" t="s">
        <v>53</v>
      </c>
      <c r="B7" s="14" t="s">
        <v>1458</v>
      </c>
      <c r="C7" s="14" t="s">
        <v>1459</v>
      </c>
      <c r="D7" s="14" t="s">
        <v>72</v>
      </c>
      <c r="E7" s="14">
        <v>0</v>
      </c>
      <c r="F7" s="14">
        <v>0</v>
      </c>
      <c r="G7" s="14">
        <v>0</v>
      </c>
      <c r="H7" s="14">
        <v>0</v>
      </c>
      <c r="I7" s="14">
        <v>1</v>
      </c>
      <c r="J7" s="17">
        <v>0</v>
      </c>
      <c r="K7" s="14">
        <v>0</v>
      </c>
      <c r="L7" s="17">
        <v>23.98</v>
      </c>
      <c r="M7" s="14" t="s">
        <v>86</v>
      </c>
      <c r="P7" s="14" t="str">
        <f>Setup!$A$8</f>
        <v>Expert 04</v>
      </c>
      <c r="Q7" s="14">
        <f t="shared" si="0"/>
        <v>1</v>
      </c>
      <c r="R7" s="14">
        <f t="shared" si="1"/>
        <v>1</v>
      </c>
      <c r="S7" s="14">
        <f t="shared" si="2"/>
        <v>0</v>
      </c>
      <c r="T7" s="14">
        <f t="shared" si="3"/>
        <v>0</v>
      </c>
      <c r="U7" s="14">
        <f t="shared" si="4"/>
        <v>0</v>
      </c>
      <c r="V7" s="17">
        <f t="shared" si="5"/>
        <v>57</v>
      </c>
      <c r="W7" s="14">
        <f t="shared" si="6"/>
        <v>2</v>
      </c>
      <c r="X7" s="17">
        <f t="shared" si="7"/>
        <v>69.44</v>
      </c>
    </row>
    <row r="8" spans="1:24" x14ac:dyDescent="0.25">
      <c r="A8" s="14" t="s">
        <v>49</v>
      </c>
      <c r="B8" s="14" t="s">
        <v>1460</v>
      </c>
      <c r="C8" s="14" t="s">
        <v>1461</v>
      </c>
      <c r="D8" s="14" t="s">
        <v>69</v>
      </c>
      <c r="E8" s="14">
        <v>1</v>
      </c>
      <c r="F8" s="14">
        <v>0</v>
      </c>
      <c r="G8" s="14">
        <v>0</v>
      </c>
      <c r="H8" s="14">
        <v>0</v>
      </c>
      <c r="I8" s="14">
        <v>0</v>
      </c>
      <c r="J8" s="17">
        <v>0</v>
      </c>
      <c r="K8" s="14">
        <v>1</v>
      </c>
      <c r="L8" s="17">
        <v>176.17</v>
      </c>
      <c r="M8" s="14" t="s">
        <v>86</v>
      </c>
      <c r="P8" s="14" t="str">
        <f>Setup!$A$9</f>
        <v>Expert 05</v>
      </c>
      <c r="Q8" s="14">
        <f t="shared" si="0"/>
        <v>1</v>
      </c>
      <c r="R8" s="14">
        <f t="shared" si="1"/>
        <v>0</v>
      </c>
      <c r="S8" s="14">
        <f t="shared" si="2"/>
        <v>0</v>
      </c>
      <c r="T8" s="14">
        <f t="shared" si="3"/>
        <v>0</v>
      </c>
      <c r="U8" s="14">
        <f t="shared" si="4"/>
        <v>0</v>
      </c>
      <c r="V8" s="17">
        <f t="shared" si="5"/>
        <v>0</v>
      </c>
      <c r="W8" s="14">
        <f t="shared" si="6"/>
        <v>0</v>
      </c>
      <c r="X8" s="17">
        <f t="shared" si="7"/>
        <v>0</v>
      </c>
    </row>
    <row r="9" spans="1:24" x14ac:dyDescent="0.25">
      <c r="A9" s="14" t="s">
        <v>61</v>
      </c>
      <c r="B9" s="14" t="s">
        <v>1462</v>
      </c>
      <c r="C9" s="14" t="s">
        <v>1463</v>
      </c>
      <c r="D9" s="14" t="s">
        <v>40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7">
        <v>0</v>
      </c>
      <c r="K9" s="14">
        <v>1</v>
      </c>
      <c r="L9" s="17">
        <v>0</v>
      </c>
      <c r="M9" s="14" t="s">
        <v>86</v>
      </c>
      <c r="P9" s="14" t="str">
        <f>Setup!$A$10</f>
        <v>Expert 06</v>
      </c>
      <c r="Q9" s="14">
        <f t="shared" si="0"/>
        <v>2</v>
      </c>
      <c r="R9" s="14">
        <f t="shared" si="1"/>
        <v>1</v>
      </c>
      <c r="S9" s="14">
        <f t="shared" si="2"/>
        <v>0</v>
      </c>
      <c r="T9" s="14">
        <f t="shared" si="3"/>
        <v>0</v>
      </c>
      <c r="U9" s="14">
        <f t="shared" si="4"/>
        <v>0</v>
      </c>
      <c r="V9" s="17">
        <f t="shared" si="5"/>
        <v>0</v>
      </c>
      <c r="W9" s="14">
        <f t="shared" si="6"/>
        <v>4</v>
      </c>
      <c r="X9" s="17">
        <f t="shared" si="7"/>
        <v>288.37</v>
      </c>
    </row>
    <row r="10" spans="1:24" x14ac:dyDescent="0.25">
      <c r="A10" s="14" t="s">
        <v>41</v>
      </c>
      <c r="B10" s="14" t="s">
        <v>1464</v>
      </c>
      <c r="C10" s="14" t="s">
        <v>1465</v>
      </c>
      <c r="D10" s="14" t="s">
        <v>62</v>
      </c>
      <c r="E10" s="14">
        <v>0</v>
      </c>
      <c r="F10" s="14">
        <v>1</v>
      </c>
      <c r="G10" s="14">
        <v>0</v>
      </c>
      <c r="H10" s="14">
        <v>0</v>
      </c>
      <c r="I10" s="14">
        <v>0</v>
      </c>
      <c r="J10" s="17">
        <v>0</v>
      </c>
      <c r="K10" s="14">
        <v>1</v>
      </c>
      <c r="L10" s="17">
        <v>76.55</v>
      </c>
      <c r="M10" s="14" t="s">
        <v>86</v>
      </c>
      <c r="P10" s="14" t="str">
        <f>Setup!$A$11</f>
        <v>Expert 07</v>
      </c>
      <c r="Q10" s="14">
        <f t="shared" si="0"/>
        <v>3</v>
      </c>
      <c r="R10" s="14">
        <f t="shared" si="1"/>
        <v>0</v>
      </c>
      <c r="S10" s="14">
        <f t="shared" si="2"/>
        <v>2</v>
      </c>
      <c r="T10" s="14">
        <f t="shared" si="3"/>
        <v>0</v>
      </c>
      <c r="U10" s="14">
        <f t="shared" si="4"/>
        <v>0</v>
      </c>
      <c r="V10" s="17">
        <f t="shared" si="5"/>
        <v>15</v>
      </c>
      <c r="W10" s="14">
        <f t="shared" si="6"/>
        <v>3</v>
      </c>
      <c r="X10" s="17">
        <f t="shared" si="7"/>
        <v>116.94</v>
      </c>
    </row>
    <row r="11" spans="1:24" x14ac:dyDescent="0.25">
      <c r="A11" s="14" t="s">
        <v>45</v>
      </c>
      <c r="B11" s="14" t="s">
        <v>1466</v>
      </c>
      <c r="C11" s="14" t="s">
        <v>1467</v>
      </c>
      <c r="D11" s="14" t="s">
        <v>44</v>
      </c>
      <c r="E11" s="14">
        <v>1</v>
      </c>
      <c r="F11" s="14">
        <v>0</v>
      </c>
      <c r="G11" s="14">
        <v>0</v>
      </c>
      <c r="H11" s="14">
        <v>0</v>
      </c>
      <c r="I11" s="14">
        <v>0</v>
      </c>
      <c r="J11" s="17">
        <v>33</v>
      </c>
      <c r="K11" s="14">
        <v>1</v>
      </c>
      <c r="L11" s="17">
        <v>0</v>
      </c>
      <c r="M11" s="14" t="s">
        <v>86</v>
      </c>
      <c r="P11" s="14" t="str">
        <f>Setup!$A$12</f>
        <v>Expert 08</v>
      </c>
      <c r="Q11" s="14">
        <f t="shared" si="0"/>
        <v>2</v>
      </c>
      <c r="R11" s="14">
        <f t="shared" si="1"/>
        <v>1</v>
      </c>
      <c r="S11" s="14">
        <f t="shared" si="2"/>
        <v>1</v>
      </c>
      <c r="T11" s="14">
        <f t="shared" si="3"/>
        <v>0</v>
      </c>
      <c r="U11" s="14">
        <f t="shared" si="4"/>
        <v>1</v>
      </c>
      <c r="V11" s="17">
        <f t="shared" si="5"/>
        <v>40</v>
      </c>
      <c r="W11" s="14">
        <f t="shared" si="6"/>
        <v>3</v>
      </c>
      <c r="X11" s="17">
        <f t="shared" si="7"/>
        <v>142.43</v>
      </c>
    </row>
    <row r="12" spans="1:24" x14ac:dyDescent="0.25">
      <c r="A12" s="14" t="s">
        <v>45</v>
      </c>
      <c r="B12" s="14" t="s">
        <v>1468</v>
      </c>
      <c r="C12" s="14" t="s">
        <v>1469</v>
      </c>
      <c r="D12" s="14" t="s">
        <v>50</v>
      </c>
      <c r="E12" s="14">
        <v>0</v>
      </c>
      <c r="F12" s="14">
        <v>1</v>
      </c>
      <c r="G12" s="14">
        <v>0</v>
      </c>
      <c r="H12" s="14">
        <v>0</v>
      </c>
      <c r="I12" s="14">
        <v>0</v>
      </c>
      <c r="J12" s="17">
        <v>24</v>
      </c>
      <c r="K12" s="14">
        <v>1</v>
      </c>
      <c r="L12" s="17">
        <v>69.44</v>
      </c>
      <c r="M12" s="14" t="s">
        <v>86</v>
      </c>
      <c r="P12" s="14" t="str">
        <f>Setup!$A$13</f>
        <v>Expert 09</v>
      </c>
      <c r="Q12" s="14">
        <f t="shared" si="0"/>
        <v>0</v>
      </c>
      <c r="R12" s="14">
        <f t="shared" si="1"/>
        <v>0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7">
        <f t="shared" si="5"/>
        <v>16</v>
      </c>
      <c r="W12" s="14">
        <f t="shared" si="6"/>
        <v>1</v>
      </c>
      <c r="X12" s="17">
        <f t="shared" si="7"/>
        <v>19.22</v>
      </c>
    </row>
    <row r="13" spans="1:24" x14ac:dyDescent="0.25">
      <c r="A13" s="14" t="s">
        <v>39</v>
      </c>
      <c r="B13" s="14" t="s">
        <v>1470</v>
      </c>
      <c r="C13" s="14" t="s">
        <v>1471</v>
      </c>
      <c r="D13" s="14" t="s">
        <v>66</v>
      </c>
      <c r="E13" s="14">
        <v>1</v>
      </c>
      <c r="F13" s="14">
        <v>0</v>
      </c>
      <c r="G13" s="14">
        <v>0</v>
      </c>
      <c r="H13" s="14">
        <v>0</v>
      </c>
      <c r="I13" s="14">
        <v>0</v>
      </c>
      <c r="J13" s="17">
        <v>16</v>
      </c>
      <c r="K13" s="14">
        <v>1</v>
      </c>
      <c r="L13" s="17">
        <v>0</v>
      </c>
      <c r="M13" s="14" t="s">
        <v>86</v>
      </c>
      <c r="P13" s="14" t="str">
        <f>Setup!$A$14</f>
        <v>Expert 10</v>
      </c>
      <c r="Q13" s="14">
        <f t="shared" si="0"/>
        <v>1</v>
      </c>
      <c r="R13" s="14">
        <f t="shared" si="1"/>
        <v>2</v>
      </c>
      <c r="S13" s="14">
        <f t="shared" si="2"/>
        <v>0</v>
      </c>
      <c r="T13" s="14">
        <f t="shared" si="3"/>
        <v>0</v>
      </c>
      <c r="U13" s="14">
        <f t="shared" si="4"/>
        <v>0</v>
      </c>
      <c r="V13" s="17">
        <f t="shared" si="5"/>
        <v>33</v>
      </c>
      <c r="W13" s="14">
        <f t="shared" si="6"/>
        <v>4</v>
      </c>
      <c r="X13" s="17">
        <f t="shared" si="7"/>
        <v>225.07999999999998</v>
      </c>
    </row>
    <row r="14" spans="1:24" x14ac:dyDescent="0.25">
      <c r="A14" s="14" t="s">
        <v>41</v>
      </c>
      <c r="B14" s="14" t="s">
        <v>1472</v>
      </c>
      <c r="C14" s="14" t="s">
        <v>1473</v>
      </c>
      <c r="D14" s="14" t="s">
        <v>72</v>
      </c>
      <c r="E14" s="14">
        <v>0</v>
      </c>
      <c r="F14" s="14">
        <v>0</v>
      </c>
      <c r="G14" s="14">
        <v>0</v>
      </c>
      <c r="H14" s="14">
        <v>0</v>
      </c>
      <c r="I14" s="14">
        <v>1</v>
      </c>
      <c r="J14" s="17">
        <v>0</v>
      </c>
      <c r="K14" s="14">
        <v>0</v>
      </c>
      <c r="L14" s="17">
        <v>0</v>
      </c>
      <c r="M14" s="14" t="s">
        <v>86</v>
      </c>
      <c r="P14" s="14" t="str">
        <f>Setup!$A$15</f>
        <v>Expert 11</v>
      </c>
      <c r="Q14" s="14">
        <f t="shared" si="0"/>
        <v>2</v>
      </c>
      <c r="R14" s="14">
        <f t="shared" si="1"/>
        <v>0</v>
      </c>
      <c r="S14" s="14">
        <f t="shared" si="2"/>
        <v>0</v>
      </c>
      <c r="T14" s="14">
        <f t="shared" si="3"/>
        <v>0</v>
      </c>
      <c r="U14" s="14">
        <f t="shared" si="4"/>
        <v>0</v>
      </c>
      <c r="V14" s="17">
        <f t="shared" si="5"/>
        <v>51</v>
      </c>
      <c r="W14" s="14">
        <f t="shared" si="6"/>
        <v>1</v>
      </c>
      <c r="X14" s="17">
        <f t="shared" si="7"/>
        <v>24.1</v>
      </c>
    </row>
    <row r="15" spans="1:24" x14ac:dyDescent="0.25">
      <c r="A15" s="14" t="s">
        <v>43</v>
      </c>
      <c r="B15" s="14" t="s">
        <v>1474</v>
      </c>
      <c r="C15" s="14" t="s">
        <v>1475</v>
      </c>
      <c r="D15" s="14" t="s">
        <v>62</v>
      </c>
      <c r="E15" s="14">
        <v>0</v>
      </c>
      <c r="F15" s="14">
        <v>0</v>
      </c>
      <c r="G15" s="14">
        <v>0</v>
      </c>
      <c r="H15" s="14">
        <v>0</v>
      </c>
      <c r="I15" s="14">
        <v>0</v>
      </c>
      <c r="J15" s="17">
        <v>18</v>
      </c>
      <c r="K15" s="14">
        <v>1</v>
      </c>
      <c r="L15" s="17">
        <v>130.28</v>
      </c>
      <c r="M15" s="14" t="s">
        <v>86</v>
      </c>
      <c r="P15" s="14" t="str">
        <f>Setup!$A$16</f>
        <v>Expert 12</v>
      </c>
      <c r="Q15" s="14">
        <f t="shared" si="0"/>
        <v>1</v>
      </c>
      <c r="R15" s="14">
        <f t="shared" si="1"/>
        <v>0</v>
      </c>
      <c r="S15" s="14">
        <f t="shared" si="2"/>
        <v>0</v>
      </c>
      <c r="T15" s="14">
        <f t="shared" si="3"/>
        <v>0</v>
      </c>
      <c r="U15" s="14">
        <f t="shared" si="4"/>
        <v>0</v>
      </c>
      <c r="V15" s="17">
        <f t="shared" si="5"/>
        <v>24</v>
      </c>
      <c r="W15" s="14">
        <f t="shared" si="6"/>
        <v>2</v>
      </c>
      <c r="X15" s="17">
        <f t="shared" si="7"/>
        <v>0</v>
      </c>
    </row>
    <row r="16" spans="1:24" x14ac:dyDescent="0.25">
      <c r="A16" s="14" t="s">
        <v>57</v>
      </c>
      <c r="B16" s="14" t="s">
        <v>1476</v>
      </c>
      <c r="C16" s="14" t="s">
        <v>1477</v>
      </c>
      <c r="D16" s="14" t="s">
        <v>62</v>
      </c>
      <c r="E16" s="14">
        <v>1</v>
      </c>
      <c r="F16" s="14">
        <v>0</v>
      </c>
      <c r="G16" s="14">
        <v>0</v>
      </c>
      <c r="H16" s="14">
        <v>0</v>
      </c>
      <c r="I16" s="14">
        <v>0</v>
      </c>
      <c r="J16" s="17">
        <v>0</v>
      </c>
      <c r="K16" s="14">
        <v>1</v>
      </c>
      <c r="L16" s="17">
        <v>0</v>
      </c>
      <c r="M16" s="14" t="s">
        <v>86</v>
      </c>
      <c r="P16" s="18" t="s">
        <v>111</v>
      </c>
      <c r="Q16" s="19">
        <f t="shared" ref="Q16:X16" si="8">SUM(Q4:Q15)</f>
        <v>16</v>
      </c>
      <c r="R16" s="19">
        <f t="shared" si="8"/>
        <v>6</v>
      </c>
      <c r="S16" s="19">
        <f t="shared" si="8"/>
        <v>3</v>
      </c>
      <c r="T16" s="19">
        <f t="shared" si="8"/>
        <v>0</v>
      </c>
      <c r="U16" s="19">
        <f t="shared" si="8"/>
        <v>2</v>
      </c>
      <c r="V16" s="20">
        <f t="shared" si="8"/>
        <v>270</v>
      </c>
      <c r="W16" s="19">
        <f t="shared" si="8"/>
        <v>25</v>
      </c>
      <c r="X16" s="20">
        <f t="shared" si="8"/>
        <v>1105.6399999999999</v>
      </c>
    </row>
    <row r="17" spans="1:13" x14ac:dyDescent="0.25">
      <c r="A17" s="14" t="s">
        <v>57</v>
      </c>
      <c r="B17" s="14" t="s">
        <v>1478</v>
      </c>
      <c r="C17" s="14" t="s">
        <v>1479</v>
      </c>
      <c r="D17" s="14" t="s">
        <v>64</v>
      </c>
      <c r="E17" s="14">
        <v>0</v>
      </c>
      <c r="F17" s="14">
        <v>1</v>
      </c>
      <c r="G17" s="14">
        <v>0</v>
      </c>
      <c r="H17" s="14">
        <v>0</v>
      </c>
      <c r="I17" s="14">
        <v>0</v>
      </c>
      <c r="J17" s="17">
        <v>0</v>
      </c>
      <c r="K17" s="14">
        <v>1</v>
      </c>
      <c r="L17" s="17">
        <v>143.56</v>
      </c>
      <c r="M17" s="14" t="s">
        <v>86</v>
      </c>
    </row>
    <row r="18" spans="1:13" x14ac:dyDescent="0.25">
      <c r="A18" s="14" t="s">
        <v>51</v>
      </c>
      <c r="B18" s="14" t="s">
        <v>1480</v>
      </c>
      <c r="C18" s="14" t="s">
        <v>1481</v>
      </c>
      <c r="D18" s="14" t="s">
        <v>40</v>
      </c>
      <c r="E18" s="14">
        <v>1</v>
      </c>
      <c r="F18" s="14">
        <v>0</v>
      </c>
      <c r="G18" s="14">
        <v>1</v>
      </c>
      <c r="H18" s="14">
        <v>0</v>
      </c>
      <c r="I18" s="14">
        <v>0</v>
      </c>
      <c r="J18" s="17">
        <v>0</v>
      </c>
      <c r="K18" s="14">
        <v>1</v>
      </c>
      <c r="L18" s="17">
        <v>0</v>
      </c>
      <c r="M18" s="14" t="s">
        <v>86</v>
      </c>
    </row>
    <row r="19" spans="1:13" x14ac:dyDescent="0.25">
      <c r="A19" s="14" t="s">
        <v>51</v>
      </c>
      <c r="B19" s="14" t="s">
        <v>1482</v>
      </c>
      <c r="C19" s="14" t="s">
        <v>1483</v>
      </c>
      <c r="D19" s="14" t="s">
        <v>44</v>
      </c>
      <c r="E19" s="14">
        <v>1</v>
      </c>
      <c r="F19" s="14">
        <v>0</v>
      </c>
      <c r="G19" s="14">
        <v>0</v>
      </c>
      <c r="H19" s="14">
        <v>0</v>
      </c>
      <c r="I19" s="14">
        <v>0</v>
      </c>
      <c r="J19" s="17">
        <v>0</v>
      </c>
      <c r="K19" s="14">
        <v>1</v>
      </c>
      <c r="L19" s="17">
        <v>2.56</v>
      </c>
      <c r="M19" s="14" t="s">
        <v>86</v>
      </c>
    </row>
    <row r="20" spans="1:13" x14ac:dyDescent="0.25">
      <c r="A20" s="14" t="s">
        <v>51</v>
      </c>
      <c r="B20" s="14" t="s">
        <v>1484</v>
      </c>
      <c r="C20" s="14" t="s">
        <v>1485</v>
      </c>
      <c r="D20" s="14" t="s">
        <v>56</v>
      </c>
      <c r="E20" s="14">
        <v>1</v>
      </c>
      <c r="F20" s="14">
        <v>0</v>
      </c>
      <c r="G20" s="14">
        <v>1</v>
      </c>
      <c r="H20" s="14">
        <v>0</v>
      </c>
      <c r="I20" s="14">
        <v>0</v>
      </c>
      <c r="J20" s="17">
        <v>15</v>
      </c>
      <c r="K20" s="14">
        <v>1</v>
      </c>
      <c r="L20" s="17">
        <v>114.38</v>
      </c>
      <c r="M20" s="14" t="s">
        <v>86</v>
      </c>
    </row>
    <row r="21" spans="1:13" x14ac:dyDescent="0.25">
      <c r="A21" s="14" t="s">
        <v>43</v>
      </c>
      <c r="B21" s="14" t="s">
        <v>1486</v>
      </c>
      <c r="C21" s="14" t="s">
        <v>1487</v>
      </c>
      <c r="D21" s="14" t="s">
        <v>63</v>
      </c>
      <c r="E21" s="14">
        <v>1</v>
      </c>
      <c r="F21" s="14">
        <v>0</v>
      </c>
      <c r="G21" s="14">
        <v>0</v>
      </c>
      <c r="H21" s="14">
        <v>0</v>
      </c>
      <c r="I21" s="14">
        <v>0</v>
      </c>
      <c r="J21" s="17">
        <v>0</v>
      </c>
      <c r="K21" s="14">
        <v>1</v>
      </c>
      <c r="L21" s="17">
        <v>0</v>
      </c>
      <c r="M21" s="14" t="s">
        <v>212</v>
      </c>
    </row>
    <row r="22" spans="1:13" x14ac:dyDescent="0.25">
      <c r="A22" s="14" t="s">
        <v>61</v>
      </c>
      <c r="B22" s="14" t="s">
        <v>1488</v>
      </c>
      <c r="C22" s="14" t="s">
        <v>1489</v>
      </c>
      <c r="D22" s="14" t="s">
        <v>42</v>
      </c>
      <c r="E22" s="14">
        <v>1</v>
      </c>
      <c r="F22" s="14">
        <v>0</v>
      </c>
      <c r="G22" s="14">
        <v>0</v>
      </c>
      <c r="H22" s="14">
        <v>0</v>
      </c>
      <c r="I22" s="14">
        <v>0</v>
      </c>
      <c r="J22" s="17">
        <v>24</v>
      </c>
      <c r="K22" s="14">
        <v>1</v>
      </c>
      <c r="L22" s="17">
        <v>0</v>
      </c>
      <c r="M22" s="14" t="s">
        <v>86</v>
      </c>
    </row>
    <row r="23" spans="1:13" x14ac:dyDescent="0.25">
      <c r="A23" s="14" t="s">
        <v>57</v>
      </c>
      <c r="B23" s="14" t="s">
        <v>1490</v>
      </c>
      <c r="C23" s="14" t="s">
        <v>1491</v>
      </c>
      <c r="D23" s="14" t="s">
        <v>54</v>
      </c>
      <c r="E23" s="14">
        <v>0</v>
      </c>
      <c r="F23" s="14">
        <v>1</v>
      </c>
      <c r="G23" s="14">
        <v>0</v>
      </c>
      <c r="H23" s="14">
        <v>0</v>
      </c>
      <c r="I23" s="14">
        <v>0</v>
      </c>
      <c r="J23" s="17">
        <v>33</v>
      </c>
      <c r="K23" s="14">
        <v>1</v>
      </c>
      <c r="L23" s="17">
        <v>0</v>
      </c>
      <c r="M23" s="14" t="s">
        <v>86</v>
      </c>
    </row>
    <row r="24" spans="1:13" x14ac:dyDescent="0.25">
      <c r="A24" s="14" t="s">
        <v>53</v>
      </c>
      <c r="B24" s="14" t="s">
        <v>1492</v>
      </c>
      <c r="C24" s="14" t="s">
        <v>1493</v>
      </c>
      <c r="D24" s="14" t="s">
        <v>62</v>
      </c>
      <c r="E24" s="14">
        <v>1</v>
      </c>
      <c r="F24" s="14">
        <v>0</v>
      </c>
      <c r="G24" s="14">
        <v>0</v>
      </c>
      <c r="H24" s="14">
        <v>0</v>
      </c>
      <c r="I24" s="14">
        <v>0</v>
      </c>
      <c r="J24" s="17">
        <v>0</v>
      </c>
      <c r="K24" s="14">
        <v>1</v>
      </c>
      <c r="L24" s="17">
        <v>118.45</v>
      </c>
      <c r="M24" s="14" t="s">
        <v>86</v>
      </c>
    </row>
    <row r="25" spans="1:13" x14ac:dyDescent="0.25">
      <c r="A25" s="14" t="s">
        <v>53</v>
      </c>
      <c r="B25" s="14" t="s">
        <v>1494</v>
      </c>
      <c r="C25" s="14" t="s">
        <v>1495</v>
      </c>
      <c r="D25" s="14" t="s">
        <v>65</v>
      </c>
      <c r="E25" s="14">
        <v>1</v>
      </c>
      <c r="F25" s="14">
        <v>0</v>
      </c>
      <c r="G25" s="14">
        <v>0</v>
      </c>
      <c r="H25" s="14">
        <v>0</v>
      </c>
      <c r="I25" s="14">
        <v>0</v>
      </c>
      <c r="J25" s="17">
        <v>24</v>
      </c>
      <c r="K25" s="14">
        <v>1</v>
      </c>
      <c r="L25" s="17">
        <v>0</v>
      </c>
      <c r="M25" s="14" t="s">
        <v>212</v>
      </c>
    </row>
    <row r="26" spans="1:13" x14ac:dyDescent="0.25">
      <c r="A26" s="14" t="s">
        <v>55</v>
      </c>
      <c r="B26" s="14" t="s">
        <v>1496</v>
      </c>
      <c r="C26" s="14" t="s">
        <v>1497</v>
      </c>
      <c r="D26" s="14" t="s">
        <v>65</v>
      </c>
      <c r="E26" s="14">
        <v>0</v>
      </c>
      <c r="F26" s="14">
        <v>0</v>
      </c>
      <c r="G26" s="14">
        <v>0</v>
      </c>
      <c r="H26" s="14">
        <v>0</v>
      </c>
      <c r="I26" s="14">
        <v>0</v>
      </c>
      <c r="J26" s="17">
        <v>16</v>
      </c>
      <c r="K26" s="14">
        <v>1</v>
      </c>
      <c r="L26" s="17">
        <v>19.22</v>
      </c>
      <c r="M26" s="14" t="s">
        <v>212</v>
      </c>
    </row>
    <row r="27" spans="1:13" x14ac:dyDescent="0.25">
      <c r="A27" s="14" t="s">
        <v>59</v>
      </c>
      <c r="B27" s="14" t="s">
        <v>1498</v>
      </c>
      <c r="C27" s="14" t="s">
        <v>1499</v>
      </c>
      <c r="D27" s="14" t="s">
        <v>40</v>
      </c>
      <c r="E27" s="14">
        <v>1</v>
      </c>
      <c r="F27" s="14">
        <v>0</v>
      </c>
      <c r="G27" s="14">
        <v>0</v>
      </c>
      <c r="H27" s="14">
        <v>0</v>
      </c>
      <c r="I27" s="14">
        <v>0</v>
      </c>
      <c r="J27" s="17">
        <v>18</v>
      </c>
      <c r="K27" s="14">
        <v>1</v>
      </c>
      <c r="L27" s="17">
        <v>0</v>
      </c>
      <c r="M27" s="14" t="s">
        <v>86</v>
      </c>
    </row>
    <row r="28" spans="1:13" x14ac:dyDescent="0.25">
      <c r="A28" s="14" t="s">
        <v>49</v>
      </c>
      <c r="B28" s="14" t="s">
        <v>1500</v>
      </c>
      <c r="C28" s="14" t="s">
        <v>1501</v>
      </c>
      <c r="D28" s="14" t="s">
        <v>60</v>
      </c>
      <c r="E28" s="14">
        <v>0</v>
      </c>
      <c r="F28" s="14">
        <v>1</v>
      </c>
      <c r="G28" s="14">
        <v>0</v>
      </c>
      <c r="H28" s="14">
        <v>0</v>
      </c>
      <c r="I28" s="14">
        <v>0</v>
      </c>
      <c r="J28" s="17">
        <v>0</v>
      </c>
      <c r="K28" s="14">
        <v>1</v>
      </c>
      <c r="L28" s="17">
        <v>0</v>
      </c>
      <c r="M28" s="14" t="s">
        <v>86</v>
      </c>
    </row>
    <row r="29" spans="1:13" x14ac:dyDescent="0.25">
      <c r="A29" s="14" t="s">
        <v>57</v>
      </c>
      <c r="B29" s="14" t="s">
        <v>1502</v>
      </c>
      <c r="C29" s="14" t="s">
        <v>1503</v>
      </c>
      <c r="D29" s="14" t="s">
        <v>48</v>
      </c>
      <c r="E29" s="14">
        <v>0</v>
      </c>
      <c r="F29" s="14">
        <v>0</v>
      </c>
      <c r="G29" s="14">
        <v>0</v>
      </c>
      <c r="H29" s="14">
        <v>0</v>
      </c>
      <c r="I29" s="14">
        <v>0</v>
      </c>
      <c r="J29" s="17">
        <v>0</v>
      </c>
      <c r="K29" s="14">
        <v>1</v>
      </c>
      <c r="L29" s="17">
        <v>81.52</v>
      </c>
      <c r="M29" s="14" t="s">
        <v>212</v>
      </c>
    </row>
    <row r="30" spans="1:13" x14ac:dyDescent="0.25">
      <c r="A30" s="14" t="s">
        <v>49</v>
      </c>
      <c r="B30" s="14" t="s">
        <v>1504</v>
      </c>
      <c r="C30" s="14" t="s">
        <v>1505</v>
      </c>
      <c r="D30" s="14" t="s">
        <v>42</v>
      </c>
      <c r="E30" s="14">
        <v>0</v>
      </c>
      <c r="F30" s="14">
        <v>0</v>
      </c>
      <c r="G30" s="14">
        <v>0</v>
      </c>
      <c r="H30" s="14">
        <v>0</v>
      </c>
      <c r="I30" s="14">
        <v>0</v>
      </c>
      <c r="J30" s="17">
        <v>0</v>
      </c>
      <c r="K30" s="14">
        <v>1</v>
      </c>
      <c r="L30" s="17">
        <v>112.2</v>
      </c>
      <c r="M30" s="14" t="s">
        <v>86</v>
      </c>
    </row>
    <row r="31" spans="1:13" x14ac:dyDescent="0.25">
      <c r="A31" s="14" t="s">
        <v>43</v>
      </c>
      <c r="B31" s="14" t="s">
        <v>1506</v>
      </c>
      <c r="C31" s="14" t="s">
        <v>1507</v>
      </c>
      <c r="D31" s="14" t="s">
        <v>67</v>
      </c>
      <c r="E31" s="14">
        <v>1</v>
      </c>
      <c r="F31" s="14">
        <v>0</v>
      </c>
      <c r="G31" s="14">
        <v>0</v>
      </c>
      <c r="H31" s="14">
        <v>0</v>
      </c>
      <c r="I31" s="14">
        <v>0</v>
      </c>
      <c r="J31" s="17">
        <v>0</v>
      </c>
      <c r="K31" s="14">
        <v>1</v>
      </c>
      <c r="L31" s="17">
        <v>13.23</v>
      </c>
      <c r="M31" s="14" t="s">
        <v>86</v>
      </c>
    </row>
    <row r="32" spans="1:13" x14ac:dyDescent="0.25">
      <c r="A32" s="14" t="s">
        <v>49</v>
      </c>
      <c r="B32" s="14" t="s">
        <v>1508</v>
      </c>
      <c r="C32" s="14" t="s">
        <v>1509</v>
      </c>
      <c r="D32" s="14" t="s">
        <v>54</v>
      </c>
      <c r="E32" s="14">
        <v>1</v>
      </c>
      <c r="F32" s="14">
        <v>0</v>
      </c>
      <c r="G32" s="14">
        <v>0</v>
      </c>
      <c r="H32" s="14">
        <v>0</v>
      </c>
      <c r="I32" s="14">
        <v>0</v>
      </c>
      <c r="J32" s="17">
        <v>0</v>
      </c>
      <c r="K32" s="14">
        <v>1</v>
      </c>
      <c r="L32" s="17">
        <v>0</v>
      </c>
      <c r="M32" s="14" t="s">
        <v>86</v>
      </c>
    </row>
    <row r="33" spans="1:13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7"/>
      <c r="K33" s="14"/>
      <c r="L33" s="17"/>
      <c r="M33" s="14"/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7"/>
      <c r="K34" s="14"/>
      <c r="L34" s="17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7"/>
      <c r="K35" s="14"/>
      <c r="L35" s="17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7"/>
      <c r="K36" s="14"/>
      <c r="L36" s="17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7"/>
      <c r="K37" s="14"/>
      <c r="L37" s="17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7"/>
      <c r="K38" s="14"/>
      <c r="L38" s="17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7"/>
      <c r="K39" s="14"/>
      <c r="L39" s="17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7"/>
      <c r="K40" s="14"/>
      <c r="L40" s="17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7"/>
      <c r="K41" s="14"/>
      <c r="L41" s="17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7"/>
      <c r="K42" s="14"/>
      <c r="L42" s="17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7"/>
      <c r="K43" s="14"/>
      <c r="L43" s="17"/>
      <c r="M43" s="14"/>
    </row>
  </sheetData>
  <mergeCells count="2">
    <mergeCell ref="A2:M2"/>
    <mergeCell ref="A1:M1"/>
  </mergeCells>
  <dataValidations count="1">
    <dataValidation type="list" allowBlank="1" sqref="M4:M43" xr:uid="{00000000-0002-0000-1E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E00-000000000000}">
          <x14:formula1>
            <xm:f>Setup!$A$5:$A$16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E00-000001000000}">
          <x14:formula1>
            <xm:f>Setup!$C$5:$C$30</xm:f>
          </x14:formula1>
          <xm:sqref>D4:D43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4" t="s">
        <v>1510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</row>
    <row r="2" spans="1:24" ht="21.95" customHeight="1" x14ac:dyDescent="0.25">
      <c r="A2" s="43" t="s">
        <v>19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</row>
    <row r="3" spans="1:24" x14ac:dyDescent="0.25">
      <c r="A3" s="12" t="s">
        <v>79</v>
      </c>
      <c r="B3" s="12" t="s">
        <v>80</v>
      </c>
      <c r="C3" s="12" t="s">
        <v>81</v>
      </c>
      <c r="D3" s="12" t="s">
        <v>82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83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45</v>
      </c>
      <c r="B4" s="14" t="s">
        <v>1511</v>
      </c>
      <c r="C4" s="14" t="s">
        <v>1512</v>
      </c>
      <c r="D4" s="14" t="s">
        <v>68</v>
      </c>
      <c r="E4" s="14">
        <v>1</v>
      </c>
      <c r="F4" s="14">
        <v>0</v>
      </c>
      <c r="G4" s="14">
        <v>0</v>
      </c>
      <c r="H4" s="14">
        <v>0</v>
      </c>
      <c r="I4" s="14">
        <v>0</v>
      </c>
      <c r="J4" s="17">
        <v>18</v>
      </c>
      <c r="K4" s="14">
        <v>1</v>
      </c>
      <c r="L4" s="17">
        <v>0</v>
      </c>
      <c r="M4" s="14" t="s">
        <v>86</v>
      </c>
      <c r="P4" s="14" t="str">
        <f>Setup!$A$5</f>
        <v>Expert 01</v>
      </c>
      <c r="Q4" s="14">
        <f t="shared" ref="Q4:Q15" si="0">SUMIF($A$4:$A$43,$P4,E$4:E$43)</f>
        <v>1</v>
      </c>
      <c r="R4" s="14">
        <f t="shared" ref="R4:R15" si="1">SUMIF($A$4:$A$43,$P4,F$4:F$43)</f>
        <v>0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7">
        <f t="shared" ref="V4:V15" si="5">SUMIF($A$4:$A$43,$P4,J$4:J$43)</f>
        <v>0</v>
      </c>
      <c r="W4" s="14">
        <f t="shared" ref="W4:W15" si="6">SUMIF($A$4:$A$43,$P4,K$4:K$43)</f>
        <v>1</v>
      </c>
      <c r="X4" s="17">
        <f t="shared" ref="X4:X15" si="7">SUMIF($A$4:$A$43,$P4,L$4:L$43)</f>
        <v>0</v>
      </c>
    </row>
    <row r="5" spans="1:24" x14ac:dyDescent="0.25">
      <c r="A5" s="14" t="s">
        <v>59</v>
      </c>
      <c r="B5" s="14" t="s">
        <v>1513</v>
      </c>
      <c r="C5" s="14" t="s">
        <v>1514</v>
      </c>
      <c r="D5" s="14" t="s">
        <v>58</v>
      </c>
      <c r="E5" s="14">
        <v>0</v>
      </c>
      <c r="F5" s="14">
        <v>1</v>
      </c>
      <c r="G5" s="14">
        <v>0</v>
      </c>
      <c r="H5" s="14">
        <v>1</v>
      </c>
      <c r="I5" s="14">
        <v>0</v>
      </c>
      <c r="J5" s="17">
        <v>24</v>
      </c>
      <c r="K5" s="14">
        <v>1</v>
      </c>
      <c r="L5" s="17">
        <v>8.5399999999999991</v>
      </c>
      <c r="M5" s="14" t="s">
        <v>86</v>
      </c>
      <c r="P5" s="14" t="str">
        <f>Setup!$A$6</f>
        <v>Expert 02</v>
      </c>
      <c r="Q5" s="14">
        <f t="shared" si="0"/>
        <v>1</v>
      </c>
      <c r="R5" s="14">
        <f t="shared" si="1"/>
        <v>0</v>
      </c>
      <c r="S5" s="14">
        <f t="shared" si="2"/>
        <v>0</v>
      </c>
      <c r="T5" s="14">
        <f t="shared" si="3"/>
        <v>0</v>
      </c>
      <c r="U5" s="14">
        <f t="shared" si="4"/>
        <v>0</v>
      </c>
      <c r="V5" s="17">
        <f t="shared" si="5"/>
        <v>33</v>
      </c>
      <c r="W5" s="14">
        <f t="shared" si="6"/>
        <v>1</v>
      </c>
      <c r="X5" s="17">
        <f t="shared" si="7"/>
        <v>70.320000000000007</v>
      </c>
    </row>
    <row r="6" spans="1:24" x14ac:dyDescent="0.25">
      <c r="A6" s="14" t="s">
        <v>55</v>
      </c>
      <c r="B6" s="14" t="s">
        <v>1515</v>
      </c>
      <c r="C6" s="14" t="s">
        <v>1516</v>
      </c>
      <c r="D6" s="14" t="s">
        <v>58</v>
      </c>
      <c r="E6" s="14">
        <v>1</v>
      </c>
      <c r="F6" s="14">
        <v>0</v>
      </c>
      <c r="G6" s="14">
        <v>0</v>
      </c>
      <c r="H6" s="14">
        <v>0</v>
      </c>
      <c r="I6" s="14">
        <v>0</v>
      </c>
      <c r="J6" s="17">
        <v>0</v>
      </c>
      <c r="K6" s="14">
        <v>1</v>
      </c>
      <c r="L6" s="17">
        <v>0</v>
      </c>
      <c r="M6" s="14" t="s">
        <v>86</v>
      </c>
      <c r="P6" s="14" t="str">
        <f>Setup!$A$7</f>
        <v>Expert 03</v>
      </c>
      <c r="Q6" s="14">
        <f t="shared" si="0"/>
        <v>2</v>
      </c>
      <c r="R6" s="14">
        <f t="shared" si="1"/>
        <v>0</v>
      </c>
      <c r="S6" s="14">
        <f t="shared" si="2"/>
        <v>0</v>
      </c>
      <c r="T6" s="14">
        <f t="shared" si="3"/>
        <v>0</v>
      </c>
      <c r="U6" s="14">
        <f t="shared" si="4"/>
        <v>0</v>
      </c>
      <c r="V6" s="17">
        <f t="shared" si="5"/>
        <v>40</v>
      </c>
      <c r="W6" s="14">
        <f t="shared" si="6"/>
        <v>3</v>
      </c>
      <c r="X6" s="17">
        <f t="shared" si="7"/>
        <v>213.31</v>
      </c>
    </row>
    <row r="7" spans="1:24" x14ac:dyDescent="0.25">
      <c r="A7" s="14" t="s">
        <v>57</v>
      </c>
      <c r="B7" s="14" t="s">
        <v>1517</v>
      </c>
      <c r="C7" s="14" t="s">
        <v>1518</v>
      </c>
      <c r="D7" s="14" t="s">
        <v>70</v>
      </c>
      <c r="E7" s="14">
        <v>0</v>
      </c>
      <c r="F7" s="14">
        <v>0</v>
      </c>
      <c r="G7" s="14">
        <v>0</v>
      </c>
      <c r="H7" s="14">
        <v>0</v>
      </c>
      <c r="I7" s="14">
        <v>0</v>
      </c>
      <c r="J7" s="17">
        <v>18</v>
      </c>
      <c r="K7" s="14">
        <v>1</v>
      </c>
      <c r="L7" s="17">
        <v>174.98</v>
      </c>
      <c r="M7" s="14" t="s">
        <v>86</v>
      </c>
      <c r="P7" s="14" t="str">
        <f>Setup!$A$8</f>
        <v>Expert 04</v>
      </c>
      <c r="Q7" s="14">
        <f t="shared" si="0"/>
        <v>1</v>
      </c>
      <c r="R7" s="14">
        <f t="shared" si="1"/>
        <v>0</v>
      </c>
      <c r="S7" s="14">
        <f t="shared" si="2"/>
        <v>0</v>
      </c>
      <c r="T7" s="14">
        <f t="shared" si="3"/>
        <v>0</v>
      </c>
      <c r="U7" s="14">
        <f t="shared" si="4"/>
        <v>0</v>
      </c>
      <c r="V7" s="17">
        <f t="shared" si="5"/>
        <v>18</v>
      </c>
      <c r="W7" s="14">
        <f t="shared" si="6"/>
        <v>1</v>
      </c>
      <c r="X7" s="17">
        <f t="shared" si="7"/>
        <v>0</v>
      </c>
    </row>
    <row r="8" spans="1:24" x14ac:dyDescent="0.25">
      <c r="A8" s="14" t="s">
        <v>49</v>
      </c>
      <c r="B8" s="14" t="s">
        <v>1519</v>
      </c>
      <c r="C8" s="14" t="s">
        <v>1520</v>
      </c>
      <c r="D8" s="14" t="s">
        <v>73</v>
      </c>
      <c r="E8" s="14">
        <v>0</v>
      </c>
      <c r="F8" s="14">
        <v>1</v>
      </c>
      <c r="G8" s="14">
        <v>0</v>
      </c>
      <c r="H8" s="14">
        <v>0</v>
      </c>
      <c r="I8" s="14">
        <v>1</v>
      </c>
      <c r="J8" s="17">
        <v>0</v>
      </c>
      <c r="K8" s="14">
        <v>0</v>
      </c>
      <c r="L8" s="17">
        <v>0</v>
      </c>
      <c r="M8" s="14" t="s">
        <v>86</v>
      </c>
      <c r="P8" s="14" t="str">
        <f>Setup!$A$9</f>
        <v>Expert 05</v>
      </c>
      <c r="Q8" s="14">
        <f t="shared" si="0"/>
        <v>0</v>
      </c>
      <c r="R8" s="14">
        <f t="shared" si="1"/>
        <v>0</v>
      </c>
      <c r="S8" s="14">
        <f t="shared" si="2"/>
        <v>0</v>
      </c>
      <c r="T8" s="14">
        <f t="shared" si="3"/>
        <v>0</v>
      </c>
      <c r="U8" s="14">
        <f t="shared" si="4"/>
        <v>0</v>
      </c>
      <c r="V8" s="17">
        <f t="shared" si="5"/>
        <v>0</v>
      </c>
      <c r="W8" s="14">
        <f t="shared" si="6"/>
        <v>0</v>
      </c>
      <c r="X8" s="17">
        <f t="shared" si="7"/>
        <v>0</v>
      </c>
    </row>
    <row r="9" spans="1:24" x14ac:dyDescent="0.25">
      <c r="A9" s="14" t="s">
        <v>61</v>
      </c>
      <c r="B9" s="14" t="s">
        <v>1521</v>
      </c>
      <c r="C9" s="14" t="s">
        <v>1522</v>
      </c>
      <c r="D9" s="14" t="s">
        <v>62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7">
        <v>0</v>
      </c>
      <c r="K9" s="14">
        <v>1</v>
      </c>
      <c r="L9" s="17">
        <v>63.28</v>
      </c>
      <c r="M9" s="14" t="s">
        <v>86</v>
      </c>
      <c r="P9" s="14" t="str">
        <f>Setup!$A$10</f>
        <v>Expert 06</v>
      </c>
      <c r="Q9" s="14">
        <f t="shared" si="0"/>
        <v>2</v>
      </c>
      <c r="R9" s="14">
        <f t="shared" si="1"/>
        <v>1</v>
      </c>
      <c r="S9" s="14">
        <f t="shared" si="2"/>
        <v>0</v>
      </c>
      <c r="T9" s="14">
        <f t="shared" si="3"/>
        <v>0</v>
      </c>
      <c r="U9" s="14">
        <f t="shared" si="4"/>
        <v>1</v>
      </c>
      <c r="V9" s="17">
        <f t="shared" si="5"/>
        <v>0</v>
      </c>
      <c r="W9" s="14">
        <f t="shared" si="6"/>
        <v>2</v>
      </c>
      <c r="X9" s="17">
        <f t="shared" si="7"/>
        <v>56.19</v>
      </c>
    </row>
    <row r="10" spans="1:24" x14ac:dyDescent="0.25">
      <c r="A10" s="14" t="s">
        <v>43</v>
      </c>
      <c r="B10" s="14" t="s">
        <v>1523</v>
      </c>
      <c r="C10" s="14" t="s">
        <v>1524</v>
      </c>
      <c r="D10" s="14" t="s">
        <v>48</v>
      </c>
      <c r="E10" s="14">
        <v>1</v>
      </c>
      <c r="F10" s="14">
        <v>0</v>
      </c>
      <c r="G10" s="14">
        <v>0</v>
      </c>
      <c r="H10" s="14">
        <v>0</v>
      </c>
      <c r="I10" s="14">
        <v>0</v>
      </c>
      <c r="J10" s="17">
        <v>16</v>
      </c>
      <c r="K10" s="14">
        <v>1</v>
      </c>
      <c r="L10" s="17">
        <v>52.73</v>
      </c>
      <c r="M10" s="14" t="s">
        <v>86</v>
      </c>
      <c r="P10" s="14" t="str">
        <f>Setup!$A$11</f>
        <v>Expert 07</v>
      </c>
      <c r="Q10" s="14">
        <f t="shared" si="0"/>
        <v>0</v>
      </c>
      <c r="R10" s="14">
        <f t="shared" si="1"/>
        <v>0</v>
      </c>
      <c r="S10" s="14">
        <f t="shared" si="2"/>
        <v>0</v>
      </c>
      <c r="T10" s="14">
        <f t="shared" si="3"/>
        <v>0</v>
      </c>
      <c r="U10" s="14">
        <f t="shared" si="4"/>
        <v>0</v>
      </c>
      <c r="V10" s="17">
        <f t="shared" si="5"/>
        <v>15</v>
      </c>
      <c r="W10" s="14">
        <f t="shared" si="6"/>
        <v>1</v>
      </c>
      <c r="X10" s="17">
        <f t="shared" si="7"/>
        <v>107.28</v>
      </c>
    </row>
    <row r="11" spans="1:24" x14ac:dyDescent="0.25">
      <c r="A11" s="14" t="s">
        <v>53</v>
      </c>
      <c r="B11" s="14" t="s">
        <v>1525</v>
      </c>
      <c r="C11" s="14" t="s">
        <v>1526</v>
      </c>
      <c r="D11" s="14" t="s">
        <v>76</v>
      </c>
      <c r="E11" s="14">
        <v>0</v>
      </c>
      <c r="F11" s="14">
        <v>0</v>
      </c>
      <c r="G11" s="14">
        <v>0</v>
      </c>
      <c r="H11" s="14">
        <v>0</v>
      </c>
      <c r="I11" s="14">
        <v>0</v>
      </c>
      <c r="J11" s="17">
        <v>15</v>
      </c>
      <c r="K11" s="14">
        <v>0</v>
      </c>
      <c r="L11" s="17">
        <v>39.06</v>
      </c>
      <c r="M11" s="14" t="s">
        <v>86</v>
      </c>
      <c r="P11" s="14" t="str">
        <f>Setup!$A$12</f>
        <v>Expert 08</v>
      </c>
      <c r="Q11" s="14">
        <f t="shared" si="0"/>
        <v>1</v>
      </c>
      <c r="R11" s="14">
        <f t="shared" si="1"/>
        <v>0</v>
      </c>
      <c r="S11" s="14">
        <f t="shared" si="2"/>
        <v>0</v>
      </c>
      <c r="T11" s="14">
        <f t="shared" si="3"/>
        <v>0</v>
      </c>
      <c r="U11" s="14">
        <f t="shared" si="4"/>
        <v>1</v>
      </c>
      <c r="V11" s="17">
        <f t="shared" si="5"/>
        <v>30</v>
      </c>
      <c r="W11" s="14">
        <f t="shared" si="6"/>
        <v>1</v>
      </c>
      <c r="X11" s="17">
        <f t="shared" si="7"/>
        <v>99.19</v>
      </c>
    </row>
    <row r="12" spans="1:24" x14ac:dyDescent="0.25">
      <c r="A12" s="14" t="s">
        <v>43</v>
      </c>
      <c r="B12" s="14" t="s">
        <v>1527</v>
      </c>
      <c r="C12" s="14" t="s">
        <v>1528</v>
      </c>
      <c r="D12" s="14" t="s">
        <v>56</v>
      </c>
      <c r="E12" s="14">
        <v>1</v>
      </c>
      <c r="F12" s="14">
        <v>0</v>
      </c>
      <c r="G12" s="14">
        <v>0</v>
      </c>
      <c r="H12" s="14">
        <v>0</v>
      </c>
      <c r="I12" s="14">
        <v>0</v>
      </c>
      <c r="J12" s="17">
        <v>24</v>
      </c>
      <c r="K12" s="14">
        <v>1</v>
      </c>
      <c r="L12" s="17">
        <v>117.36</v>
      </c>
      <c r="M12" s="14" t="s">
        <v>86</v>
      </c>
      <c r="P12" s="14" t="str">
        <f>Setup!$A$13</f>
        <v>Expert 09</v>
      </c>
      <c r="Q12" s="14">
        <f t="shared" si="0"/>
        <v>1</v>
      </c>
      <c r="R12" s="14">
        <f t="shared" si="1"/>
        <v>0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7">
        <f t="shared" si="5"/>
        <v>0</v>
      </c>
      <c r="W12" s="14">
        <f t="shared" si="6"/>
        <v>1</v>
      </c>
      <c r="X12" s="17">
        <f t="shared" si="7"/>
        <v>0</v>
      </c>
    </row>
    <row r="13" spans="1:24" x14ac:dyDescent="0.25">
      <c r="A13" s="14" t="s">
        <v>61</v>
      </c>
      <c r="B13" s="14" t="s">
        <v>1529</v>
      </c>
      <c r="C13" s="14" t="s">
        <v>1530</v>
      </c>
      <c r="D13" s="14" t="s">
        <v>63</v>
      </c>
      <c r="E13" s="14">
        <v>0</v>
      </c>
      <c r="F13" s="14">
        <v>0</v>
      </c>
      <c r="G13" s="14">
        <v>0</v>
      </c>
      <c r="H13" s="14">
        <v>0</v>
      </c>
      <c r="I13" s="14">
        <v>0</v>
      </c>
      <c r="J13" s="17">
        <v>0</v>
      </c>
      <c r="K13" s="14">
        <v>1</v>
      </c>
      <c r="L13" s="17">
        <v>0</v>
      </c>
      <c r="M13" s="14" t="s">
        <v>86</v>
      </c>
      <c r="P13" s="14" t="str">
        <f>Setup!$A$14</f>
        <v>Expert 10</v>
      </c>
      <c r="Q13" s="14">
        <f t="shared" si="0"/>
        <v>0</v>
      </c>
      <c r="R13" s="14">
        <f t="shared" si="1"/>
        <v>0</v>
      </c>
      <c r="S13" s="14">
        <f t="shared" si="2"/>
        <v>0</v>
      </c>
      <c r="T13" s="14">
        <f t="shared" si="3"/>
        <v>0</v>
      </c>
      <c r="U13" s="14">
        <f t="shared" si="4"/>
        <v>0</v>
      </c>
      <c r="V13" s="17">
        <f t="shared" si="5"/>
        <v>18</v>
      </c>
      <c r="W13" s="14">
        <f t="shared" si="6"/>
        <v>1</v>
      </c>
      <c r="X13" s="17">
        <f t="shared" si="7"/>
        <v>174.98</v>
      </c>
    </row>
    <row r="14" spans="1:24" x14ac:dyDescent="0.25">
      <c r="A14" s="14" t="s">
        <v>57</v>
      </c>
      <c r="B14" s="14" t="s">
        <v>1531</v>
      </c>
      <c r="C14" s="14" t="s">
        <v>1532</v>
      </c>
      <c r="D14" s="14" t="s">
        <v>76</v>
      </c>
      <c r="E14" s="14">
        <v>0</v>
      </c>
      <c r="F14" s="14">
        <v>0</v>
      </c>
      <c r="G14" s="14">
        <v>0</v>
      </c>
      <c r="H14" s="14">
        <v>0</v>
      </c>
      <c r="I14" s="14">
        <v>0</v>
      </c>
      <c r="J14" s="17">
        <v>0</v>
      </c>
      <c r="K14" s="14">
        <v>0</v>
      </c>
      <c r="L14" s="17">
        <v>0</v>
      </c>
      <c r="M14" s="14" t="s">
        <v>86</v>
      </c>
      <c r="P14" s="14" t="str">
        <f>Setup!$A$15</f>
        <v>Expert 11</v>
      </c>
      <c r="Q14" s="14">
        <f t="shared" si="0"/>
        <v>1</v>
      </c>
      <c r="R14" s="14">
        <f t="shared" si="1"/>
        <v>1</v>
      </c>
      <c r="S14" s="14">
        <f t="shared" si="2"/>
        <v>0</v>
      </c>
      <c r="T14" s="14">
        <f t="shared" si="3"/>
        <v>1</v>
      </c>
      <c r="U14" s="14">
        <f t="shared" si="4"/>
        <v>1</v>
      </c>
      <c r="V14" s="17">
        <f t="shared" si="5"/>
        <v>55</v>
      </c>
      <c r="W14" s="14">
        <f t="shared" si="6"/>
        <v>2</v>
      </c>
      <c r="X14" s="17">
        <f t="shared" si="7"/>
        <v>52.62</v>
      </c>
    </row>
    <row r="15" spans="1:24" x14ac:dyDescent="0.25">
      <c r="A15" s="14" t="s">
        <v>59</v>
      </c>
      <c r="B15" s="14" t="s">
        <v>1533</v>
      </c>
      <c r="C15" s="14" t="s">
        <v>1534</v>
      </c>
      <c r="D15" s="14" t="s">
        <v>52</v>
      </c>
      <c r="E15" s="14">
        <v>1</v>
      </c>
      <c r="F15" s="14">
        <v>0</v>
      </c>
      <c r="G15" s="14">
        <v>0</v>
      </c>
      <c r="H15" s="14">
        <v>0</v>
      </c>
      <c r="I15" s="14">
        <v>0</v>
      </c>
      <c r="J15" s="17">
        <v>15</v>
      </c>
      <c r="K15" s="14">
        <v>1</v>
      </c>
      <c r="L15" s="17">
        <v>1.82</v>
      </c>
      <c r="M15" s="14" t="s">
        <v>86</v>
      </c>
      <c r="P15" s="14" t="str">
        <f>Setup!$A$16</f>
        <v>Expert 12</v>
      </c>
      <c r="Q15" s="14">
        <f t="shared" si="0"/>
        <v>0</v>
      </c>
      <c r="R15" s="14">
        <f t="shared" si="1"/>
        <v>0</v>
      </c>
      <c r="S15" s="14">
        <f t="shared" si="2"/>
        <v>0</v>
      </c>
      <c r="T15" s="14">
        <f t="shared" si="3"/>
        <v>0</v>
      </c>
      <c r="U15" s="14">
        <f t="shared" si="4"/>
        <v>0</v>
      </c>
      <c r="V15" s="17">
        <f t="shared" si="5"/>
        <v>0</v>
      </c>
      <c r="W15" s="14">
        <f t="shared" si="6"/>
        <v>2</v>
      </c>
      <c r="X15" s="17">
        <f t="shared" si="7"/>
        <v>63.28</v>
      </c>
    </row>
    <row r="16" spans="1:24" x14ac:dyDescent="0.25">
      <c r="A16" s="14" t="s">
        <v>49</v>
      </c>
      <c r="B16" s="14" t="s">
        <v>1535</v>
      </c>
      <c r="C16" s="14" t="s">
        <v>1536</v>
      </c>
      <c r="D16" s="14" t="s">
        <v>62</v>
      </c>
      <c r="E16" s="14">
        <v>1</v>
      </c>
      <c r="F16" s="14">
        <v>0</v>
      </c>
      <c r="G16" s="14">
        <v>0</v>
      </c>
      <c r="H16" s="14">
        <v>0</v>
      </c>
      <c r="I16" s="14">
        <v>0</v>
      </c>
      <c r="J16" s="17">
        <v>0</v>
      </c>
      <c r="K16" s="14">
        <v>1</v>
      </c>
      <c r="L16" s="17">
        <v>7.21</v>
      </c>
      <c r="M16" s="14" t="s">
        <v>86</v>
      </c>
      <c r="P16" s="18" t="s">
        <v>111</v>
      </c>
      <c r="Q16" s="19">
        <f t="shared" ref="Q16:X16" si="8">SUM(Q4:Q15)</f>
        <v>10</v>
      </c>
      <c r="R16" s="19">
        <f t="shared" si="8"/>
        <v>2</v>
      </c>
      <c r="S16" s="19">
        <f t="shared" si="8"/>
        <v>0</v>
      </c>
      <c r="T16" s="19">
        <f t="shared" si="8"/>
        <v>1</v>
      </c>
      <c r="U16" s="19">
        <f t="shared" si="8"/>
        <v>3</v>
      </c>
      <c r="V16" s="20">
        <f t="shared" si="8"/>
        <v>209</v>
      </c>
      <c r="W16" s="19">
        <f t="shared" si="8"/>
        <v>16</v>
      </c>
      <c r="X16" s="20">
        <f t="shared" si="8"/>
        <v>837.17</v>
      </c>
    </row>
    <row r="17" spans="1:13" x14ac:dyDescent="0.25">
      <c r="A17" s="14" t="s">
        <v>41</v>
      </c>
      <c r="B17" s="14" t="s">
        <v>1537</v>
      </c>
      <c r="C17" s="14" t="s">
        <v>1538</v>
      </c>
      <c r="D17" s="14" t="s">
        <v>75</v>
      </c>
      <c r="E17" s="14">
        <v>0</v>
      </c>
      <c r="F17" s="14">
        <v>0</v>
      </c>
      <c r="G17" s="14">
        <v>0</v>
      </c>
      <c r="H17" s="14">
        <v>0</v>
      </c>
      <c r="I17" s="14">
        <v>0</v>
      </c>
      <c r="J17" s="17">
        <v>0</v>
      </c>
      <c r="K17" s="14">
        <v>0</v>
      </c>
      <c r="L17" s="17">
        <v>18.010000000000002</v>
      </c>
      <c r="M17" s="14" t="s">
        <v>86</v>
      </c>
    </row>
    <row r="18" spans="1:13" x14ac:dyDescent="0.25">
      <c r="A18" s="14" t="s">
        <v>41</v>
      </c>
      <c r="B18" s="14" t="s">
        <v>1539</v>
      </c>
      <c r="C18" s="14" t="s">
        <v>1540</v>
      </c>
      <c r="D18" s="14" t="s">
        <v>60</v>
      </c>
      <c r="E18" s="14">
        <v>1</v>
      </c>
      <c r="F18" s="14">
        <v>0</v>
      </c>
      <c r="G18" s="14">
        <v>0</v>
      </c>
      <c r="H18" s="14">
        <v>0</v>
      </c>
      <c r="I18" s="14">
        <v>0</v>
      </c>
      <c r="J18" s="17">
        <v>33</v>
      </c>
      <c r="K18" s="14">
        <v>1</v>
      </c>
      <c r="L18" s="17">
        <v>52.31</v>
      </c>
      <c r="M18" s="14" t="s">
        <v>86</v>
      </c>
    </row>
    <row r="19" spans="1:13" x14ac:dyDescent="0.25">
      <c r="A19" s="14" t="s">
        <v>43</v>
      </c>
      <c r="B19" s="14" t="s">
        <v>1541</v>
      </c>
      <c r="C19" s="14" t="s">
        <v>1542</v>
      </c>
      <c r="D19" s="14" t="s">
        <v>69</v>
      </c>
      <c r="E19" s="14">
        <v>0</v>
      </c>
      <c r="F19" s="14">
        <v>0</v>
      </c>
      <c r="G19" s="14">
        <v>0</v>
      </c>
      <c r="H19" s="14">
        <v>0</v>
      </c>
      <c r="I19" s="14">
        <v>0</v>
      </c>
      <c r="J19" s="17">
        <v>0</v>
      </c>
      <c r="K19" s="14">
        <v>1</v>
      </c>
      <c r="L19" s="17">
        <v>43.22</v>
      </c>
      <c r="M19" s="14" t="s">
        <v>86</v>
      </c>
    </row>
    <row r="20" spans="1:13" x14ac:dyDescent="0.25">
      <c r="A20" s="14" t="s">
        <v>53</v>
      </c>
      <c r="B20" s="14" t="s">
        <v>1543</v>
      </c>
      <c r="C20" s="14" t="s">
        <v>1544</v>
      </c>
      <c r="D20" s="14" t="s">
        <v>67</v>
      </c>
      <c r="E20" s="14">
        <v>1</v>
      </c>
      <c r="F20" s="14">
        <v>0</v>
      </c>
      <c r="G20" s="14">
        <v>0</v>
      </c>
      <c r="H20" s="14">
        <v>0</v>
      </c>
      <c r="I20" s="14">
        <v>0</v>
      </c>
      <c r="J20" s="17">
        <v>15</v>
      </c>
      <c r="K20" s="14">
        <v>1</v>
      </c>
      <c r="L20" s="17">
        <v>36.26</v>
      </c>
      <c r="M20" s="14" t="s">
        <v>86</v>
      </c>
    </row>
    <row r="21" spans="1:13" x14ac:dyDescent="0.25">
      <c r="A21" s="14" t="s">
        <v>49</v>
      </c>
      <c r="B21" s="14" t="s">
        <v>1545</v>
      </c>
      <c r="C21" s="14" t="s">
        <v>1546</v>
      </c>
      <c r="D21" s="14" t="s">
        <v>56</v>
      </c>
      <c r="E21" s="14">
        <v>1</v>
      </c>
      <c r="F21" s="14">
        <v>0</v>
      </c>
      <c r="G21" s="14">
        <v>0</v>
      </c>
      <c r="H21" s="14">
        <v>0</v>
      </c>
      <c r="I21" s="14">
        <v>0</v>
      </c>
      <c r="J21" s="17">
        <v>0</v>
      </c>
      <c r="K21" s="14">
        <v>1</v>
      </c>
      <c r="L21" s="17">
        <v>48.98</v>
      </c>
      <c r="M21" s="14" t="s">
        <v>86</v>
      </c>
    </row>
    <row r="22" spans="1:13" x14ac:dyDescent="0.25">
      <c r="A22" s="14" t="s">
        <v>39</v>
      </c>
      <c r="B22" s="14" t="s">
        <v>1547</v>
      </c>
      <c r="C22" s="14" t="s">
        <v>1548</v>
      </c>
      <c r="D22" s="14" t="s">
        <v>70</v>
      </c>
      <c r="E22" s="14">
        <v>1</v>
      </c>
      <c r="F22" s="14">
        <v>0</v>
      </c>
      <c r="G22" s="14">
        <v>0</v>
      </c>
      <c r="H22" s="14">
        <v>0</v>
      </c>
      <c r="I22" s="14">
        <v>0</v>
      </c>
      <c r="J22" s="17">
        <v>0</v>
      </c>
      <c r="K22" s="14">
        <v>1</v>
      </c>
      <c r="L22" s="17">
        <v>0</v>
      </c>
      <c r="M22" s="14" t="s">
        <v>86</v>
      </c>
    </row>
    <row r="23" spans="1:13" x14ac:dyDescent="0.25">
      <c r="A23" s="14" t="s">
        <v>59</v>
      </c>
      <c r="B23" s="14" t="s">
        <v>1549</v>
      </c>
      <c r="C23" s="14" t="s">
        <v>1550</v>
      </c>
      <c r="D23" s="14" t="s">
        <v>73</v>
      </c>
      <c r="E23" s="14">
        <v>0</v>
      </c>
      <c r="F23" s="14">
        <v>0</v>
      </c>
      <c r="G23" s="14">
        <v>0</v>
      </c>
      <c r="H23" s="14">
        <v>0</v>
      </c>
      <c r="I23" s="14">
        <v>1</v>
      </c>
      <c r="J23" s="17">
        <v>16</v>
      </c>
      <c r="K23" s="14">
        <v>0</v>
      </c>
      <c r="L23" s="17">
        <v>42.26</v>
      </c>
      <c r="M23" s="14" t="s">
        <v>212</v>
      </c>
    </row>
    <row r="24" spans="1:13" x14ac:dyDescent="0.25">
      <c r="A24" s="14" t="s">
        <v>53</v>
      </c>
      <c r="B24" s="14" t="s">
        <v>1551</v>
      </c>
      <c r="C24" s="14" t="s">
        <v>1552</v>
      </c>
      <c r="D24" s="14" t="s">
        <v>73</v>
      </c>
      <c r="E24" s="14">
        <v>0</v>
      </c>
      <c r="F24" s="14">
        <v>0</v>
      </c>
      <c r="G24" s="14">
        <v>0</v>
      </c>
      <c r="H24" s="14">
        <v>0</v>
      </c>
      <c r="I24" s="14">
        <v>1</v>
      </c>
      <c r="J24" s="17">
        <v>0</v>
      </c>
      <c r="K24" s="14">
        <v>0</v>
      </c>
      <c r="L24" s="17">
        <v>23.87</v>
      </c>
      <c r="M24" s="14" t="s">
        <v>86</v>
      </c>
    </row>
    <row r="25" spans="1:13" x14ac:dyDescent="0.25">
      <c r="A25" s="14" t="s">
        <v>51</v>
      </c>
      <c r="B25" s="14" t="s">
        <v>1553</v>
      </c>
      <c r="C25" s="14" t="s">
        <v>1554</v>
      </c>
      <c r="D25" s="14" t="s">
        <v>69</v>
      </c>
      <c r="E25" s="14">
        <v>0</v>
      </c>
      <c r="F25" s="14">
        <v>0</v>
      </c>
      <c r="G25" s="14">
        <v>0</v>
      </c>
      <c r="H25" s="14">
        <v>0</v>
      </c>
      <c r="I25" s="14">
        <v>0</v>
      </c>
      <c r="J25" s="17">
        <v>15</v>
      </c>
      <c r="K25" s="14">
        <v>1</v>
      </c>
      <c r="L25" s="17">
        <v>107.28</v>
      </c>
      <c r="M25" s="14" t="s">
        <v>86</v>
      </c>
    </row>
    <row r="26" spans="1:13" x14ac:dyDescent="0.25">
      <c r="A26" s="14"/>
      <c r="B26" s="14"/>
      <c r="C26" s="14"/>
      <c r="D26" s="14"/>
      <c r="E26" s="14"/>
      <c r="F26" s="14"/>
      <c r="G26" s="14"/>
      <c r="H26" s="14"/>
      <c r="I26" s="14"/>
      <c r="J26" s="17"/>
      <c r="K26" s="14"/>
      <c r="L26" s="17"/>
      <c r="M26" s="14"/>
    </row>
    <row r="27" spans="1:13" x14ac:dyDescent="0.25">
      <c r="A27" s="14"/>
      <c r="B27" s="14"/>
      <c r="C27" s="14"/>
      <c r="D27" s="14"/>
      <c r="E27" s="14"/>
      <c r="F27" s="14"/>
      <c r="G27" s="14"/>
      <c r="H27" s="14"/>
      <c r="I27" s="14"/>
      <c r="J27" s="17"/>
      <c r="K27" s="14"/>
      <c r="L27" s="17"/>
      <c r="M27" s="14"/>
    </row>
    <row r="28" spans="1:13" x14ac:dyDescent="0.25">
      <c r="A28" s="14"/>
      <c r="B28" s="14"/>
      <c r="C28" s="14"/>
      <c r="D28" s="14"/>
      <c r="E28" s="14"/>
      <c r="F28" s="14"/>
      <c r="G28" s="14"/>
      <c r="H28" s="14"/>
      <c r="I28" s="14"/>
      <c r="J28" s="17"/>
      <c r="K28" s="14"/>
      <c r="L28" s="17"/>
      <c r="M28" s="14"/>
    </row>
    <row r="29" spans="1:13" x14ac:dyDescent="0.25">
      <c r="A29" s="14"/>
      <c r="B29" s="14"/>
      <c r="C29" s="14"/>
      <c r="D29" s="14"/>
      <c r="E29" s="14"/>
      <c r="F29" s="14"/>
      <c r="G29" s="14"/>
      <c r="H29" s="14"/>
      <c r="I29" s="14"/>
      <c r="J29" s="17"/>
      <c r="K29" s="14"/>
      <c r="L29" s="17"/>
      <c r="M29" s="14"/>
    </row>
    <row r="30" spans="1:13" x14ac:dyDescent="0.25">
      <c r="A30" s="14"/>
      <c r="B30" s="14"/>
      <c r="C30" s="14"/>
      <c r="D30" s="14"/>
      <c r="E30" s="14"/>
      <c r="F30" s="14"/>
      <c r="G30" s="14"/>
      <c r="H30" s="14"/>
      <c r="I30" s="14"/>
      <c r="J30" s="17"/>
      <c r="K30" s="14"/>
      <c r="L30" s="17"/>
      <c r="M30" s="14"/>
    </row>
    <row r="31" spans="1:13" x14ac:dyDescent="0.25">
      <c r="A31" s="14"/>
      <c r="B31" s="14"/>
      <c r="C31" s="14"/>
      <c r="D31" s="14"/>
      <c r="E31" s="14"/>
      <c r="F31" s="14"/>
      <c r="G31" s="14"/>
      <c r="H31" s="14"/>
      <c r="I31" s="14"/>
      <c r="J31" s="17"/>
      <c r="K31" s="14"/>
      <c r="L31" s="17"/>
      <c r="M31" s="14"/>
    </row>
    <row r="32" spans="1:13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7"/>
      <c r="K32" s="14"/>
      <c r="L32" s="17"/>
      <c r="M32" s="14"/>
    </row>
    <row r="33" spans="1:13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7"/>
      <c r="K33" s="14"/>
      <c r="L33" s="17"/>
      <c r="M33" s="14"/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7"/>
      <c r="K34" s="14"/>
      <c r="L34" s="17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7"/>
      <c r="K35" s="14"/>
      <c r="L35" s="17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7"/>
      <c r="K36" s="14"/>
      <c r="L36" s="17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7"/>
      <c r="K37" s="14"/>
      <c r="L37" s="17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7"/>
      <c r="K38" s="14"/>
      <c r="L38" s="17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7"/>
      <c r="K39" s="14"/>
      <c r="L39" s="17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7"/>
      <c r="K40" s="14"/>
      <c r="L40" s="17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7"/>
      <c r="K41" s="14"/>
      <c r="L41" s="17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7"/>
      <c r="K42" s="14"/>
      <c r="L42" s="17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7"/>
      <c r="K43" s="14"/>
      <c r="L43" s="17"/>
      <c r="M43" s="14"/>
    </row>
  </sheetData>
  <mergeCells count="2">
    <mergeCell ref="A2:M2"/>
    <mergeCell ref="A1:M1"/>
  </mergeCells>
  <dataValidations count="1">
    <dataValidation type="list" allowBlank="1" sqref="M4:M43" xr:uid="{00000000-0002-0000-1F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F00-000000000000}">
          <x14:formula1>
            <xm:f>Setup!$A$5:$A$16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F00-000001000000}">
          <x14:formula1>
            <xm:f>Setup!$C$5:$C$30</xm:f>
          </x14:formula1>
          <xm:sqref>D4:D43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4" t="s">
        <v>1555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</row>
    <row r="2" spans="1:24" ht="21.95" customHeight="1" x14ac:dyDescent="0.25">
      <c r="A2" s="43" t="s">
        <v>19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</row>
    <row r="3" spans="1:24" x14ac:dyDescent="0.25">
      <c r="A3" s="12" t="s">
        <v>79</v>
      </c>
      <c r="B3" s="12" t="s">
        <v>80</v>
      </c>
      <c r="C3" s="12" t="s">
        <v>81</v>
      </c>
      <c r="D3" s="12" t="s">
        <v>82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83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59</v>
      </c>
      <c r="B4" s="14" t="s">
        <v>1556</v>
      </c>
      <c r="C4" s="14" t="s">
        <v>1557</v>
      </c>
      <c r="D4" s="14" t="s">
        <v>72</v>
      </c>
      <c r="E4" s="14">
        <v>0</v>
      </c>
      <c r="F4" s="14">
        <v>1</v>
      </c>
      <c r="G4" s="14">
        <v>0</v>
      </c>
      <c r="H4" s="14">
        <v>0</v>
      </c>
      <c r="I4" s="14">
        <v>1</v>
      </c>
      <c r="J4" s="17">
        <v>16</v>
      </c>
      <c r="K4" s="14">
        <v>0</v>
      </c>
      <c r="L4" s="17">
        <v>46.19</v>
      </c>
      <c r="M4" s="14" t="s">
        <v>86</v>
      </c>
      <c r="P4" s="14" t="str">
        <f>Setup!$A$5</f>
        <v>Expert 01</v>
      </c>
      <c r="Q4" s="14">
        <f t="shared" ref="Q4:Q15" si="0">SUMIF($A$4:$A$43,$P4,E$4:E$43)</f>
        <v>2</v>
      </c>
      <c r="R4" s="14">
        <f t="shared" ref="R4:R15" si="1">SUMIF($A$4:$A$43,$P4,F$4:F$43)</f>
        <v>0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1</v>
      </c>
      <c r="V4" s="17">
        <f t="shared" ref="V4:V15" si="5">SUMIF($A$4:$A$43,$P4,J$4:J$43)</f>
        <v>0</v>
      </c>
      <c r="W4" s="14">
        <f t="shared" ref="W4:W15" si="6">SUMIF($A$4:$A$43,$P4,K$4:K$43)</f>
        <v>2</v>
      </c>
      <c r="X4" s="17">
        <f t="shared" ref="X4:X15" si="7">SUMIF($A$4:$A$43,$P4,L$4:L$43)</f>
        <v>89.32</v>
      </c>
    </row>
    <row r="5" spans="1:24" x14ac:dyDescent="0.25">
      <c r="A5" s="14" t="s">
        <v>51</v>
      </c>
      <c r="B5" s="14" t="s">
        <v>1558</v>
      </c>
      <c r="C5" s="14" t="s">
        <v>1559</v>
      </c>
      <c r="D5" s="14" t="s">
        <v>58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7">
        <v>33</v>
      </c>
      <c r="K5" s="14">
        <v>1</v>
      </c>
      <c r="L5" s="17">
        <v>36.69</v>
      </c>
      <c r="M5" s="14" t="s">
        <v>86</v>
      </c>
      <c r="P5" s="14" t="str">
        <f>Setup!$A$6</f>
        <v>Expert 02</v>
      </c>
      <c r="Q5" s="14">
        <f t="shared" si="0"/>
        <v>1</v>
      </c>
      <c r="R5" s="14">
        <f t="shared" si="1"/>
        <v>1</v>
      </c>
      <c r="S5" s="14">
        <f t="shared" si="2"/>
        <v>0</v>
      </c>
      <c r="T5" s="14">
        <f t="shared" si="3"/>
        <v>0</v>
      </c>
      <c r="U5" s="14">
        <f t="shared" si="4"/>
        <v>0</v>
      </c>
      <c r="V5" s="17">
        <f t="shared" si="5"/>
        <v>57</v>
      </c>
      <c r="W5" s="14">
        <f t="shared" si="6"/>
        <v>3</v>
      </c>
      <c r="X5" s="17">
        <f t="shared" si="7"/>
        <v>150.38</v>
      </c>
    </row>
    <row r="6" spans="1:24" x14ac:dyDescent="0.25">
      <c r="A6" s="14" t="s">
        <v>39</v>
      </c>
      <c r="B6" s="14" t="s">
        <v>1560</v>
      </c>
      <c r="C6" s="14" t="s">
        <v>1561</v>
      </c>
      <c r="D6" s="14" t="s">
        <v>65</v>
      </c>
      <c r="E6" s="14">
        <v>1</v>
      </c>
      <c r="F6" s="14">
        <v>0</v>
      </c>
      <c r="G6" s="14">
        <v>0</v>
      </c>
      <c r="H6" s="14">
        <v>0</v>
      </c>
      <c r="I6" s="14">
        <v>0</v>
      </c>
      <c r="J6" s="17">
        <v>0</v>
      </c>
      <c r="K6" s="14">
        <v>1</v>
      </c>
      <c r="L6" s="17">
        <v>0</v>
      </c>
      <c r="M6" s="14" t="s">
        <v>86</v>
      </c>
      <c r="P6" s="14" t="str">
        <f>Setup!$A$7</f>
        <v>Expert 03</v>
      </c>
      <c r="Q6" s="14">
        <f t="shared" si="0"/>
        <v>0</v>
      </c>
      <c r="R6" s="14">
        <f t="shared" si="1"/>
        <v>0</v>
      </c>
      <c r="S6" s="14">
        <f t="shared" si="2"/>
        <v>0</v>
      </c>
      <c r="T6" s="14">
        <f t="shared" si="3"/>
        <v>0</v>
      </c>
      <c r="U6" s="14">
        <f t="shared" si="4"/>
        <v>1</v>
      </c>
      <c r="V6" s="17">
        <f t="shared" si="5"/>
        <v>0</v>
      </c>
      <c r="W6" s="14">
        <f t="shared" si="6"/>
        <v>1</v>
      </c>
      <c r="X6" s="17">
        <f t="shared" si="7"/>
        <v>120.49</v>
      </c>
    </row>
    <row r="7" spans="1:24" x14ac:dyDescent="0.25">
      <c r="A7" s="14" t="s">
        <v>45</v>
      </c>
      <c r="B7" s="14" t="s">
        <v>1562</v>
      </c>
      <c r="C7" s="14" t="s">
        <v>1563</v>
      </c>
      <c r="D7" s="14" t="s">
        <v>70</v>
      </c>
      <c r="E7" s="14">
        <v>1</v>
      </c>
      <c r="F7" s="14">
        <v>0</v>
      </c>
      <c r="G7" s="14">
        <v>0</v>
      </c>
      <c r="H7" s="14">
        <v>0</v>
      </c>
      <c r="I7" s="14">
        <v>0</v>
      </c>
      <c r="J7" s="17">
        <v>15</v>
      </c>
      <c r="K7" s="14">
        <v>1</v>
      </c>
      <c r="L7" s="17">
        <v>126.03</v>
      </c>
      <c r="M7" s="14" t="s">
        <v>86</v>
      </c>
      <c r="P7" s="14" t="str">
        <f>Setup!$A$8</f>
        <v>Expert 04</v>
      </c>
      <c r="Q7" s="14">
        <f t="shared" si="0"/>
        <v>3</v>
      </c>
      <c r="R7" s="14">
        <f t="shared" si="1"/>
        <v>0</v>
      </c>
      <c r="S7" s="14">
        <f t="shared" si="2"/>
        <v>0</v>
      </c>
      <c r="T7" s="14">
        <f t="shared" si="3"/>
        <v>1</v>
      </c>
      <c r="U7" s="14">
        <f t="shared" si="4"/>
        <v>0</v>
      </c>
      <c r="V7" s="17">
        <f t="shared" si="5"/>
        <v>81</v>
      </c>
      <c r="W7" s="14">
        <f t="shared" si="6"/>
        <v>4</v>
      </c>
      <c r="X7" s="17">
        <f t="shared" si="7"/>
        <v>252.09000000000003</v>
      </c>
    </row>
    <row r="8" spans="1:24" x14ac:dyDescent="0.25">
      <c r="A8" s="14" t="s">
        <v>39</v>
      </c>
      <c r="B8" s="14" t="s">
        <v>1564</v>
      </c>
      <c r="C8" s="14" t="s">
        <v>1565</v>
      </c>
      <c r="D8" s="14" t="s">
        <v>60</v>
      </c>
      <c r="E8" s="14">
        <v>1</v>
      </c>
      <c r="F8" s="14">
        <v>0</v>
      </c>
      <c r="G8" s="14">
        <v>0</v>
      </c>
      <c r="H8" s="14">
        <v>0</v>
      </c>
      <c r="I8" s="14">
        <v>0</v>
      </c>
      <c r="J8" s="17">
        <v>0</v>
      </c>
      <c r="K8" s="14">
        <v>1</v>
      </c>
      <c r="L8" s="17">
        <v>0</v>
      </c>
      <c r="M8" s="14" t="s">
        <v>86</v>
      </c>
      <c r="P8" s="14" t="str">
        <f>Setup!$A$9</f>
        <v>Expert 05</v>
      </c>
      <c r="Q8" s="14">
        <f t="shared" si="0"/>
        <v>2</v>
      </c>
      <c r="R8" s="14">
        <f t="shared" si="1"/>
        <v>0</v>
      </c>
      <c r="S8" s="14">
        <f t="shared" si="2"/>
        <v>0</v>
      </c>
      <c r="T8" s="14">
        <f t="shared" si="3"/>
        <v>1</v>
      </c>
      <c r="U8" s="14">
        <f t="shared" si="4"/>
        <v>1</v>
      </c>
      <c r="V8" s="17">
        <f t="shared" si="5"/>
        <v>48</v>
      </c>
      <c r="W8" s="14">
        <f t="shared" si="6"/>
        <v>2</v>
      </c>
      <c r="X8" s="17">
        <f t="shared" si="7"/>
        <v>88.8</v>
      </c>
    </row>
    <row r="9" spans="1:24" x14ac:dyDescent="0.25">
      <c r="A9" s="14" t="s">
        <v>41</v>
      </c>
      <c r="B9" s="14" t="s">
        <v>1566</v>
      </c>
      <c r="C9" s="14" t="s">
        <v>1567</v>
      </c>
      <c r="D9" s="14" t="s">
        <v>46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7">
        <v>15</v>
      </c>
      <c r="K9" s="14">
        <v>1</v>
      </c>
      <c r="L9" s="17">
        <v>150.38</v>
      </c>
      <c r="M9" s="14" t="s">
        <v>86</v>
      </c>
      <c r="P9" s="14" t="str">
        <f>Setup!$A$10</f>
        <v>Expert 06</v>
      </c>
      <c r="Q9" s="14">
        <f t="shared" si="0"/>
        <v>0</v>
      </c>
      <c r="R9" s="14">
        <f t="shared" si="1"/>
        <v>0</v>
      </c>
      <c r="S9" s="14">
        <f t="shared" si="2"/>
        <v>0</v>
      </c>
      <c r="T9" s="14">
        <f t="shared" si="3"/>
        <v>0</v>
      </c>
      <c r="U9" s="14">
        <f t="shared" si="4"/>
        <v>0</v>
      </c>
      <c r="V9" s="17">
        <f t="shared" si="5"/>
        <v>0</v>
      </c>
      <c r="W9" s="14">
        <f t="shared" si="6"/>
        <v>1</v>
      </c>
      <c r="X9" s="17">
        <f t="shared" si="7"/>
        <v>0</v>
      </c>
    </row>
    <row r="10" spans="1:24" x14ac:dyDescent="0.25">
      <c r="A10" s="14" t="s">
        <v>39</v>
      </c>
      <c r="B10" s="14" t="s">
        <v>1568</v>
      </c>
      <c r="C10" s="14" t="s">
        <v>1569</v>
      </c>
      <c r="D10" s="14" t="s">
        <v>73</v>
      </c>
      <c r="E10" s="14">
        <v>0</v>
      </c>
      <c r="F10" s="14">
        <v>0</v>
      </c>
      <c r="G10" s="14">
        <v>0</v>
      </c>
      <c r="H10" s="14">
        <v>0</v>
      </c>
      <c r="I10" s="14">
        <v>1</v>
      </c>
      <c r="J10" s="17">
        <v>0</v>
      </c>
      <c r="K10" s="14">
        <v>0</v>
      </c>
      <c r="L10" s="17">
        <v>89.32</v>
      </c>
      <c r="M10" s="14" t="s">
        <v>86</v>
      </c>
      <c r="P10" s="14" t="str">
        <f>Setup!$A$11</f>
        <v>Expert 07</v>
      </c>
      <c r="Q10" s="14">
        <f t="shared" si="0"/>
        <v>0</v>
      </c>
      <c r="R10" s="14">
        <f t="shared" si="1"/>
        <v>0</v>
      </c>
      <c r="S10" s="14">
        <f t="shared" si="2"/>
        <v>0</v>
      </c>
      <c r="T10" s="14">
        <f t="shared" si="3"/>
        <v>0</v>
      </c>
      <c r="U10" s="14">
        <f t="shared" si="4"/>
        <v>0</v>
      </c>
      <c r="V10" s="17">
        <f t="shared" si="5"/>
        <v>49</v>
      </c>
      <c r="W10" s="14">
        <f t="shared" si="6"/>
        <v>3</v>
      </c>
      <c r="X10" s="17">
        <f t="shared" si="7"/>
        <v>235.97</v>
      </c>
    </row>
    <row r="11" spans="1:24" x14ac:dyDescent="0.25">
      <c r="A11" s="14" t="s">
        <v>45</v>
      </c>
      <c r="B11" s="14" t="s">
        <v>1570</v>
      </c>
      <c r="C11" s="14" t="s">
        <v>1571</v>
      </c>
      <c r="D11" s="14" t="s">
        <v>68</v>
      </c>
      <c r="E11" s="14">
        <v>0</v>
      </c>
      <c r="F11" s="14">
        <v>0</v>
      </c>
      <c r="G11" s="14">
        <v>0</v>
      </c>
      <c r="H11" s="14">
        <v>0</v>
      </c>
      <c r="I11" s="14">
        <v>0</v>
      </c>
      <c r="J11" s="17">
        <v>15</v>
      </c>
      <c r="K11" s="14">
        <v>1</v>
      </c>
      <c r="L11" s="17">
        <v>0</v>
      </c>
      <c r="M11" s="14" t="s">
        <v>86</v>
      </c>
      <c r="P11" s="14" t="str">
        <f>Setup!$A$12</f>
        <v>Expert 08</v>
      </c>
      <c r="Q11" s="14">
        <f t="shared" si="0"/>
        <v>0</v>
      </c>
      <c r="R11" s="14">
        <f t="shared" si="1"/>
        <v>0</v>
      </c>
      <c r="S11" s="14">
        <f t="shared" si="2"/>
        <v>0</v>
      </c>
      <c r="T11" s="14">
        <f t="shared" si="3"/>
        <v>0</v>
      </c>
      <c r="U11" s="14">
        <f t="shared" si="4"/>
        <v>0</v>
      </c>
      <c r="V11" s="17">
        <f t="shared" si="5"/>
        <v>0</v>
      </c>
      <c r="W11" s="14">
        <f t="shared" si="6"/>
        <v>1</v>
      </c>
      <c r="X11" s="17">
        <f t="shared" si="7"/>
        <v>0</v>
      </c>
    </row>
    <row r="12" spans="1:24" x14ac:dyDescent="0.25">
      <c r="A12" s="14" t="s">
        <v>59</v>
      </c>
      <c r="B12" s="14" t="s">
        <v>1572</v>
      </c>
      <c r="C12" s="14" t="s">
        <v>1573</v>
      </c>
      <c r="D12" s="14" t="s">
        <v>67</v>
      </c>
      <c r="E12" s="14">
        <v>1</v>
      </c>
      <c r="F12" s="14">
        <v>0</v>
      </c>
      <c r="G12" s="14">
        <v>0</v>
      </c>
      <c r="H12" s="14">
        <v>0</v>
      </c>
      <c r="I12" s="14">
        <v>0</v>
      </c>
      <c r="J12" s="17">
        <v>16</v>
      </c>
      <c r="K12" s="14">
        <v>1</v>
      </c>
      <c r="L12" s="17">
        <v>0</v>
      </c>
      <c r="M12" s="14" t="s">
        <v>212</v>
      </c>
      <c r="P12" s="14" t="str">
        <f>Setup!$A$13</f>
        <v>Expert 09</v>
      </c>
      <c r="Q12" s="14">
        <f t="shared" si="0"/>
        <v>2</v>
      </c>
      <c r="R12" s="14">
        <f t="shared" si="1"/>
        <v>0</v>
      </c>
      <c r="S12" s="14">
        <f t="shared" si="2"/>
        <v>0</v>
      </c>
      <c r="T12" s="14">
        <f t="shared" si="3"/>
        <v>1</v>
      </c>
      <c r="U12" s="14">
        <f t="shared" si="4"/>
        <v>0</v>
      </c>
      <c r="V12" s="17">
        <f t="shared" si="5"/>
        <v>33</v>
      </c>
      <c r="W12" s="14">
        <f t="shared" si="6"/>
        <v>2</v>
      </c>
      <c r="X12" s="17">
        <f t="shared" si="7"/>
        <v>14.76</v>
      </c>
    </row>
    <row r="13" spans="1:24" x14ac:dyDescent="0.25">
      <c r="A13" s="14" t="s">
        <v>51</v>
      </c>
      <c r="B13" s="14" t="s">
        <v>1574</v>
      </c>
      <c r="C13" s="14" t="s">
        <v>1575</v>
      </c>
      <c r="D13" s="14" t="s">
        <v>42</v>
      </c>
      <c r="E13" s="14">
        <v>0</v>
      </c>
      <c r="F13" s="14">
        <v>0</v>
      </c>
      <c r="G13" s="14">
        <v>0</v>
      </c>
      <c r="H13" s="14">
        <v>0</v>
      </c>
      <c r="I13" s="14">
        <v>0</v>
      </c>
      <c r="J13" s="17">
        <v>0</v>
      </c>
      <c r="K13" s="14">
        <v>1</v>
      </c>
      <c r="L13" s="17">
        <v>73.31</v>
      </c>
      <c r="M13" s="14" t="s">
        <v>86</v>
      </c>
      <c r="P13" s="14" t="str">
        <f>Setup!$A$14</f>
        <v>Expert 10</v>
      </c>
      <c r="Q13" s="14">
        <f t="shared" si="0"/>
        <v>0</v>
      </c>
      <c r="R13" s="14">
        <f t="shared" si="1"/>
        <v>1</v>
      </c>
      <c r="S13" s="14">
        <f t="shared" si="2"/>
        <v>0</v>
      </c>
      <c r="T13" s="14">
        <f t="shared" si="3"/>
        <v>0</v>
      </c>
      <c r="U13" s="14">
        <f t="shared" si="4"/>
        <v>0</v>
      </c>
      <c r="V13" s="17">
        <f t="shared" si="5"/>
        <v>33</v>
      </c>
      <c r="W13" s="14">
        <f t="shared" si="6"/>
        <v>1</v>
      </c>
      <c r="X13" s="17">
        <f t="shared" si="7"/>
        <v>0</v>
      </c>
    </row>
    <row r="14" spans="1:24" x14ac:dyDescent="0.25">
      <c r="A14" s="14" t="s">
        <v>45</v>
      </c>
      <c r="B14" s="14" t="s">
        <v>1576</v>
      </c>
      <c r="C14" s="14" t="s">
        <v>1577</v>
      </c>
      <c r="D14" s="14" t="s">
        <v>74</v>
      </c>
      <c r="E14" s="14">
        <v>1</v>
      </c>
      <c r="F14" s="14">
        <v>0</v>
      </c>
      <c r="G14" s="14">
        <v>0</v>
      </c>
      <c r="H14" s="14">
        <v>0</v>
      </c>
      <c r="I14" s="14">
        <v>0</v>
      </c>
      <c r="J14" s="17">
        <v>18</v>
      </c>
      <c r="K14" s="14">
        <v>0</v>
      </c>
      <c r="L14" s="17">
        <v>0</v>
      </c>
      <c r="M14" s="14" t="s">
        <v>86</v>
      </c>
      <c r="P14" s="14" t="str">
        <f>Setup!$A$15</f>
        <v>Expert 11</v>
      </c>
      <c r="Q14" s="14">
        <f t="shared" si="0"/>
        <v>1</v>
      </c>
      <c r="R14" s="14">
        <f t="shared" si="1"/>
        <v>3</v>
      </c>
      <c r="S14" s="14">
        <f t="shared" si="2"/>
        <v>0</v>
      </c>
      <c r="T14" s="14">
        <f t="shared" si="3"/>
        <v>0</v>
      </c>
      <c r="U14" s="14">
        <f t="shared" si="4"/>
        <v>1</v>
      </c>
      <c r="V14" s="17">
        <f t="shared" si="5"/>
        <v>65</v>
      </c>
      <c r="W14" s="14">
        <f t="shared" si="6"/>
        <v>2</v>
      </c>
      <c r="X14" s="17">
        <f t="shared" si="7"/>
        <v>75.759999999999991</v>
      </c>
    </row>
    <row r="15" spans="1:24" x14ac:dyDescent="0.25">
      <c r="A15" s="14" t="s">
        <v>55</v>
      </c>
      <c r="B15" s="14" t="s">
        <v>1578</v>
      </c>
      <c r="C15" s="14" t="s">
        <v>1579</v>
      </c>
      <c r="D15" s="14" t="s">
        <v>64</v>
      </c>
      <c r="E15" s="14">
        <v>1</v>
      </c>
      <c r="F15" s="14">
        <v>0</v>
      </c>
      <c r="G15" s="14">
        <v>0</v>
      </c>
      <c r="H15" s="14">
        <v>1</v>
      </c>
      <c r="I15" s="14">
        <v>0</v>
      </c>
      <c r="J15" s="17">
        <v>0</v>
      </c>
      <c r="K15" s="14">
        <v>1</v>
      </c>
      <c r="L15" s="17">
        <v>14.76</v>
      </c>
      <c r="M15" s="14" t="s">
        <v>86</v>
      </c>
      <c r="P15" s="14" t="str">
        <f>Setup!$A$16</f>
        <v>Expert 12</v>
      </c>
      <c r="Q15" s="14">
        <f t="shared" si="0"/>
        <v>1</v>
      </c>
      <c r="R15" s="14">
        <f t="shared" si="1"/>
        <v>0</v>
      </c>
      <c r="S15" s="14">
        <f t="shared" si="2"/>
        <v>0</v>
      </c>
      <c r="T15" s="14">
        <f t="shared" si="3"/>
        <v>0</v>
      </c>
      <c r="U15" s="14">
        <f t="shared" si="4"/>
        <v>0</v>
      </c>
      <c r="V15" s="17">
        <f t="shared" si="5"/>
        <v>24</v>
      </c>
      <c r="W15" s="14">
        <f t="shared" si="6"/>
        <v>1</v>
      </c>
      <c r="X15" s="17">
        <f t="shared" si="7"/>
        <v>151.62</v>
      </c>
    </row>
    <row r="16" spans="1:24" x14ac:dyDescent="0.25">
      <c r="A16" s="14" t="s">
        <v>47</v>
      </c>
      <c r="B16" s="14" t="s">
        <v>1580</v>
      </c>
      <c r="C16" s="14" t="s">
        <v>1581</v>
      </c>
      <c r="D16" s="14" t="s">
        <v>69</v>
      </c>
      <c r="E16" s="14">
        <v>1</v>
      </c>
      <c r="F16" s="14">
        <v>0</v>
      </c>
      <c r="G16" s="14">
        <v>0</v>
      </c>
      <c r="H16" s="14">
        <v>0</v>
      </c>
      <c r="I16" s="14">
        <v>0</v>
      </c>
      <c r="J16" s="17">
        <v>24</v>
      </c>
      <c r="K16" s="14">
        <v>1</v>
      </c>
      <c r="L16" s="17">
        <v>88.8</v>
      </c>
      <c r="M16" s="14" t="s">
        <v>86</v>
      </c>
      <c r="P16" s="18" t="s">
        <v>111</v>
      </c>
      <c r="Q16" s="19">
        <f t="shared" ref="Q16:X16" si="8">SUM(Q4:Q15)</f>
        <v>12</v>
      </c>
      <c r="R16" s="19">
        <f t="shared" si="8"/>
        <v>5</v>
      </c>
      <c r="S16" s="19">
        <f t="shared" si="8"/>
        <v>0</v>
      </c>
      <c r="T16" s="19">
        <f t="shared" si="8"/>
        <v>3</v>
      </c>
      <c r="U16" s="19">
        <f t="shared" si="8"/>
        <v>4</v>
      </c>
      <c r="V16" s="20">
        <f t="shared" si="8"/>
        <v>390</v>
      </c>
      <c r="W16" s="19">
        <f t="shared" si="8"/>
        <v>23</v>
      </c>
      <c r="X16" s="20">
        <f t="shared" si="8"/>
        <v>1179.19</v>
      </c>
    </row>
    <row r="17" spans="1:13" x14ac:dyDescent="0.25">
      <c r="A17" s="14" t="s">
        <v>43</v>
      </c>
      <c r="B17" s="14" t="s">
        <v>1582</v>
      </c>
      <c r="C17" s="14" t="s">
        <v>1583</v>
      </c>
      <c r="D17" s="14" t="s">
        <v>72</v>
      </c>
      <c r="E17" s="14">
        <v>0</v>
      </c>
      <c r="F17" s="14">
        <v>0</v>
      </c>
      <c r="G17" s="14">
        <v>0</v>
      </c>
      <c r="H17" s="14">
        <v>0</v>
      </c>
      <c r="I17" s="14">
        <v>1</v>
      </c>
      <c r="J17" s="17">
        <v>0</v>
      </c>
      <c r="K17" s="14">
        <v>0</v>
      </c>
      <c r="L17" s="17">
        <v>22.05</v>
      </c>
      <c r="M17" s="14" t="s">
        <v>86</v>
      </c>
    </row>
    <row r="18" spans="1:13" x14ac:dyDescent="0.25">
      <c r="A18" s="14" t="s">
        <v>45</v>
      </c>
      <c r="B18" s="14" t="s">
        <v>1584</v>
      </c>
      <c r="C18" s="14" t="s">
        <v>1585</v>
      </c>
      <c r="D18" s="14" t="s">
        <v>70</v>
      </c>
      <c r="E18" s="14">
        <v>1</v>
      </c>
      <c r="F18" s="14">
        <v>0</v>
      </c>
      <c r="G18" s="14">
        <v>0</v>
      </c>
      <c r="H18" s="14">
        <v>0</v>
      </c>
      <c r="I18" s="14">
        <v>0</v>
      </c>
      <c r="J18" s="17">
        <v>33</v>
      </c>
      <c r="K18" s="14">
        <v>1</v>
      </c>
      <c r="L18" s="17">
        <v>32.950000000000003</v>
      </c>
      <c r="M18" s="14" t="s">
        <v>86</v>
      </c>
    </row>
    <row r="19" spans="1:13" x14ac:dyDescent="0.25">
      <c r="A19" s="14" t="s">
        <v>53</v>
      </c>
      <c r="B19" s="14" t="s">
        <v>1586</v>
      </c>
      <c r="C19" s="14" t="s">
        <v>1587</v>
      </c>
      <c r="D19" s="14" t="s">
        <v>68</v>
      </c>
      <c r="E19" s="14">
        <v>0</v>
      </c>
      <c r="F19" s="14">
        <v>0</v>
      </c>
      <c r="G19" s="14">
        <v>0</v>
      </c>
      <c r="H19" s="14">
        <v>0</v>
      </c>
      <c r="I19" s="14">
        <v>0</v>
      </c>
      <c r="J19" s="17">
        <v>0</v>
      </c>
      <c r="K19" s="14">
        <v>1</v>
      </c>
      <c r="L19" s="17">
        <v>0</v>
      </c>
      <c r="M19" s="14" t="s">
        <v>86</v>
      </c>
    </row>
    <row r="20" spans="1:13" x14ac:dyDescent="0.25">
      <c r="A20" s="14" t="s">
        <v>61</v>
      </c>
      <c r="B20" s="14" t="s">
        <v>1588</v>
      </c>
      <c r="C20" s="14" t="s">
        <v>1589</v>
      </c>
      <c r="D20" s="14" t="s">
        <v>74</v>
      </c>
      <c r="E20" s="14">
        <v>1</v>
      </c>
      <c r="F20" s="14">
        <v>0</v>
      </c>
      <c r="G20" s="14">
        <v>0</v>
      </c>
      <c r="H20" s="14">
        <v>0</v>
      </c>
      <c r="I20" s="14">
        <v>0</v>
      </c>
      <c r="J20" s="17">
        <v>0</v>
      </c>
      <c r="K20" s="14">
        <v>0</v>
      </c>
      <c r="L20" s="17">
        <v>0</v>
      </c>
      <c r="M20" s="14" t="s">
        <v>86</v>
      </c>
    </row>
    <row r="21" spans="1:13" x14ac:dyDescent="0.25">
      <c r="A21" s="14" t="s">
        <v>59</v>
      </c>
      <c r="B21" s="14" t="s">
        <v>1590</v>
      </c>
      <c r="C21" s="14" t="s">
        <v>1591</v>
      </c>
      <c r="D21" s="14" t="s">
        <v>76</v>
      </c>
      <c r="E21" s="14">
        <v>0</v>
      </c>
      <c r="F21" s="14">
        <v>1</v>
      </c>
      <c r="G21" s="14">
        <v>0</v>
      </c>
      <c r="H21" s="14">
        <v>0</v>
      </c>
      <c r="I21" s="14">
        <v>0</v>
      </c>
      <c r="J21" s="17">
        <v>33</v>
      </c>
      <c r="K21" s="14">
        <v>0</v>
      </c>
      <c r="L21" s="17">
        <v>29.57</v>
      </c>
      <c r="M21" s="14" t="s">
        <v>86</v>
      </c>
    </row>
    <row r="22" spans="1:13" x14ac:dyDescent="0.25">
      <c r="A22" s="14" t="s">
        <v>43</v>
      </c>
      <c r="B22" s="14" t="s">
        <v>1592</v>
      </c>
      <c r="C22" s="14" t="s">
        <v>1593</v>
      </c>
      <c r="D22" s="14" t="s">
        <v>48</v>
      </c>
      <c r="E22" s="14">
        <v>0</v>
      </c>
      <c r="F22" s="14">
        <v>0</v>
      </c>
      <c r="G22" s="14">
        <v>0</v>
      </c>
      <c r="H22" s="14">
        <v>0</v>
      </c>
      <c r="I22" s="14">
        <v>0</v>
      </c>
      <c r="J22" s="17">
        <v>0</v>
      </c>
      <c r="K22" s="14">
        <v>1</v>
      </c>
      <c r="L22" s="17">
        <v>98.44</v>
      </c>
      <c r="M22" s="14" t="s">
        <v>86</v>
      </c>
    </row>
    <row r="23" spans="1:13" x14ac:dyDescent="0.25">
      <c r="A23" s="14" t="s">
        <v>47</v>
      </c>
      <c r="B23" s="14" t="s">
        <v>1594</v>
      </c>
      <c r="C23" s="14" t="s">
        <v>1595</v>
      </c>
      <c r="D23" s="14" t="s">
        <v>48</v>
      </c>
      <c r="E23" s="14">
        <v>1</v>
      </c>
      <c r="F23" s="14">
        <v>0</v>
      </c>
      <c r="G23" s="14">
        <v>0</v>
      </c>
      <c r="H23" s="14">
        <v>0</v>
      </c>
      <c r="I23" s="14">
        <v>0</v>
      </c>
      <c r="J23" s="17">
        <v>24</v>
      </c>
      <c r="K23" s="14">
        <v>1</v>
      </c>
      <c r="L23" s="17">
        <v>0</v>
      </c>
      <c r="M23" s="14" t="s">
        <v>86</v>
      </c>
    </row>
    <row r="24" spans="1:13" x14ac:dyDescent="0.25">
      <c r="A24" s="14" t="s">
        <v>57</v>
      </c>
      <c r="B24" s="14" t="s">
        <v>1596</v>
      </c>
      <c r="C24" s="14" t="s">
        <v>1597</v>
      </c>
      <c r="D24" s="14" t="s">
        <v>71</v>
      </c>
      <c r="E24" s="14">
        <v>0</v>
      </c>
      <c r="F24" s="14">
        <v>1</v>
      </c>
      <c r="G24" s="14">
        <v>0</v>
      </c>
      <c r="H24" s="14">
        <v>0</v>
      </c>
      <c r="I24" s="14">
        <v>0</v>
      </c>
      <c r="J24" s="17">
        <v>33</v>
      </c>
      <c r="K24" s="14">
        <v>1</v>
      </c>
      <c r="L24" s="17">
        <v>0</v>
      </c>
      <c r="M24" s="14" t="s">
        <v>86</v>
      </c>
    </row>
    <row r="25" spans="1:13" x14ac:dyDescent="0.25">
      <c r="A25" s="14" t="s">
        <v>51</v>
      </c>
      <c r="B25" s="14" t="s">
        <v>1598</v>
      </c>
      <c r="C25" s="14" t="s">
        <v>1599</v>
      </c>
      <c r="D25" s="14" t="s">
        <v>60</v>
      </c>
      <c r="E25" s="14">
        <v>0</v>
      </c>
      <c r="F25" s="14">
        <v>0</v>
      </c>
      <c r="G25" s="14">
        <v>0</v>
      </c>
      <c r="H25" s="14">
        <v>0</v>
      </c>
      <c r="I25" s="14">
        <v>0</v>
      </c>
      <c r="J25" s="17">
        <v>16</v>
      </c>
      <c r="K25" s="14">
        <v>1</v>
      </c>
      <c r="L25" s="17">
        <v>125.97</v>
      </c>
      <c r="M25" s="14" t="s">
        <v>86</v>
      </c>
    </row>
    <row r="26" spans="1:13" x14ac:dyDescent="0.25">
      <c r="A26" s="14" t="s">
        <v>45</v>
      </c>
      <c r="B26" s="14" t="s">
        <v>1600</v>
      </c>
      <c r="C26" s="14" t="s">
        <v>1601</v>
      </c>
      <c r="D26" s="14" t="s">
        <v>40</v>
      </c>
      <c r="E26" s="14">
        <v>0</v>
      </c>
      <c r="F26" s="14">
        <v>0</v>
      </c>
      <c r="G26" s="14">
        <v>0</v>
      </c>
      <c r="H26" s="14">
        <v>1</v>
      </c>
      <c r="I26" s="14">
        <v>0</v>
      </c>
      <c r="J26" s="17">
        <v>0</v>
      </c>
      <c r="K26" s="14">
        <v>1</v>
      </c>
      <c r="L26" s="17">
        <v>93.11</v>
      </c>
      <c r="M26" s="14" t="s">
        <v>86</v>
      </c>
    </row>
    <row r="27" spans="1:13" x14ac:dyDescent="0.25">
      <c r="A27" s="14" t="s">
        <v>49</v>
      </c>
      <c r="B27" s="14" t="s">
        <v>1602</v>
      </c>
      <c r="C27" s="14" t="s">
        <v>1603</v>
      </c>
      <c r="D27" s="14" t="s">
        <v>69</v>
      </c>
      <c r="E27" s="14">
        <v>0</v>
      </c>
      <c r="F27" s="14">
        <v>0</v>
      </c>
      <c r="G27" s="14">
        <v>0</v>
      </c>
      <c r="H27" s="14">
        <v>0</v>
      </c>
      <c r="I27" s="14">
        <v>0</v>
      </c>
      <c r="J27" s="17">
        <v>0</v>
      </c>
      <c r="K27" s="14">
        <v>1</v>
      </c>
      <c r="L27" s="17">
        <v>0</v>
      </c>
      <c r="M27" s="14" t="s">
        <v>86</v>
      </c>
    </row>
    <row r="28" spans="1:13" x14ac:dyDescent="0.25">
      <c r="A28" s="14" t="s">
        <v>47</v>
      </c>
      <c r="B28" s="14" t="s">
        <v>1604</v>
      </c>
      <c r="C28" s="14" t="s">
        <v>1605</v>
      </c>
      <c r="D28" s="14" t="s">
        <v>72</v>
      </c>
      <c r="E28" s="14">
        <v>0</v>
      </c>
      <c r="F28" s="14">
        <v>0</v>
      </c>
      <c r="G28" s="14">
        <v>0</v>
      </c>
      <c r="H28" s="14">
        <v>1</v>
      </c>
      <c r="I28" s="14">
        <v>1</v>
      </c>
      <c r="J28" s="17">
        <v>0</v>
      </c>
      <c r="K28" s="14">
        <v>0</v>
      </c>
      <c r="L28" s="17">
        <v>0</v>
      </c>
      <c r="M28" s="14" t="s">
        <v>86</v>
      </c>
    </row>
    <row r="29" spans="1:13" x14ac:dyDescent="0.25">
      <c r="A29" s="14" t="s">
        <v>55</v>
      </c>
      <c r="B29" s="14" t="s">
        <v>1606</v>
      </c>
      <c r="C29" s="14" t="s">
        <v>1607</v>
      </c>
      <c r="D29" s="14" t="s">
        <v>65</v>
      </c>
      <c r="E29" s="14">
        <v>1</v>
      </c>
      <c r="F29" s="14">
        <v>0</v>
      </c>
      <c r="G29" s="14">
        <v>0</v>
      </c>
      <c r="H29" s="14">
        <v>0</v>
      </c>
      <c r="I29" s="14">
        <v>0</v>
      </c>
      <c r="J29" s="17">
        <v>33</v>
      </c>
      <c r="K29" s="14">
        <v>1</v>
      </c>
      <c r="L29" s="17">
        <v>0</v>
      </c>
      <c r="M29" s="14" t="s">
        <v>212</v>
      </c>
    </row>
    <row r="30" spans="1:13" x14ac:dyDescent="0.25">
      <c r="A30" s="14" t="s">
        <v>61</v>
      </c>
      <c r="B30" s="14" t="s">
        <v>1608</v>
      </c>
      <c r="C30" s="14" t="s">
        <v>1609</v>
      </c>
      <c r="D30" s="14" t="s">
        <v>67</v>
      </c>
      <c r="E30" s="14">
        <v>0</v>
      </c>
      <c r="F30" s="14">
        <v>0</v>
      </c>
      <c r="G30" s="14">
        <v>0</v>
      </c>
      <c r="H30" s="14">
        <v>0</v>
      </c>
      <c r="I30" s="14">
        <v>0</v>
      </c>
      <c r="J30" s="17">
        <v>0</v>
      </c>
      <c r="K30" s="14">
        <v>1</v>
      </c>
      <c r="L30" s="17">
        <v>151.62</v>
      </c>
      <c r="M30" s="14" t="s">
        <v>86</v>
      </c>
    </row>
    <row r="31" spans="1:13" x14ac:dyDescent="0.25">
      <c r="A31" s="14" t="s">
        <v>61</v>
      </c>
      <c r="B31" s="14" t="s">
        <v>1610</v>
      </c>
      <c r="C31" s="14" t="s">
        <v>1611</v>
      </c>
      <c r="D31" s="14" t="s">
        <v>76</v>
      </c>
      <c r="E31" s="14">
        <v>0</v>
      </c>
      <c r="F31" s="14">
        <v>0</v>
      </c>
      <c r="G31" s="14">
        <v>0</v>
      </c>
      <c r="H31" s="14">
        <v>0</v>
      </c>
      <c r="I31" s="14">
        <v>0</v>
      </c>
      <c r="J31" s="17">
        <v>24</v>
      </c>
      <c r="K31" s="14">
        <v>0</v>
      </c>
      <c r="L31" s="17">
        <v>0</v>
      </c>
      <c r="M31" s="14" t="s">
        <v>86</v>
      </c>
    </row>
    <row r="32" spans="1:13" x14ac:dyDescent="0.25">
      <c r="A32" s="14" t="s">
        <v>41</v>
      </c>
      <c r="B32" s="14" t="s">
        <v>1612</v>
      </c>
      <c r="C32" s="14" t="s">
        <v>1613</v>
      </c>
      <c r="D32" s="14" t="s">
        <v>58</v>
      </c>
      <c r="E32" s="14">
        <v>0</v>
      </c>
      <c r="F32" s="14">
        <v>1</v>
      </c>
      <c r="G32" s="14">
        <v>0</v>
      </c>
      <c r="H32" s="14">
        <v>0</v>
      </c>
      <c r="I32" s="14">
        <v>0</v>
      </c>
      <c r="J32" s="17">
        <v>24</v>
      </c>
      <c r="K32" s="14">
        <v>1</v>
      </c>
      <c r="L32" s="17">
        <v>0</v>
      </c>
      <c r="M32" s="14" t="s">
        <v>86</v>
      </c>
    </row>
    <row r="33" spans="1:13" x14ac:dyDescent="0.25">
      <c r="A33" s="14" t="s">
        <v>59</v>
      </c>
      <c r="B33" s="14" t="s">
        <v>1614</v>
      </c>
      <c r="C33" s="14" t="s">
        <v>1615</v>
      </c>
      <c r="D33" s="14" t="s">
        <v>46</v>
      </c>
      <c r="E33" s="14">
        <v>0</v>
      </c>
      <c r="F33" s="14">
        <v>1</v>
      </c>
      <c r="G33" s="14">
        <v>0</v>
      </c>
      <c r="H33" s="14">
        <v>0</v>
      </c>
      <c r="I33" s="14">
        <v>0</v>
      </c>
      <c r="J33" s="17">
        <v>0</v>
      </c>
      <c r="K33" s="14">
        <v>1</v>
      </c>
      <c r="L33" s="17">
        <v>0</v>
      </c>
      <c r="M33" s="14" t="s">
        <v>86</v>
      </c>
    </row>
    <row r="34" spans="1:13" x14ac:dyDescent="0.25">
      <c r="A34" s="14" t="s">
        <v>41</v>
      </c>
      <c r="B34" s="14" t="s">
        <v>1616</v>
      </c>
      <c r="C34" s="14" t="s">
        <v>1617</v>
      </c>
      <c r="D34" s="14" t="s">
        <v>70</v>
      </c>
      <c r="E34" s="14">
        <v>1</v>
      </c>
      <c r="F34" s="14">
        <v>0</v>
      </c>
      <c r="G34" s="14">
        <v>0</v>
      </c>
      <c r="H34" s="14">
        <v>0</v>
      </c>
      <c r="I34" s="14">
        <v>0</v>
      </c>
      <c r="J34" s="17">
        <v>18</v>
      </c>
      <c r="K34" s="14">
        <v>1</v>
      </c>
      <c r="L34" s="17">
        <v>0</v>
      </c>
      <c r="M34" s="14" t="s">
        <v>86</v>
      </c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7"/>
      <c r="K35" s="14"/>
      <c r="L35" s="17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7"/>
      <c r="K36" s="14"/>
      <c r="L36" s="17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7"/>
      <c r="K37" s="14"/>
      <c r="L37" s="17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7"/>
      <c r="K38" s="14"/>
      <c r="L38" s="17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7"/>
      <c r="K39" s="14"/>
      <c r="L39" s="17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7"/>
      <c r="K40" s="14"/>
      <c r="L40" s="17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7"/>
      <c r="K41" s="14"/>
      <c r="L41" s="17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7"/>
      <c r="K42" s="14"/>
      <c r="L42" s="17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7"/>
      <c r="K43" s="14"/>
      <c r="L43" s="17"/>
      <c r="M43" s="14"/>
    </row>
  </sheetData>
  <mergeCells count="2">
    <mergeCell ref="A2:M2"/>
    <mergeCell ref="A1:M1"/>
  </mergeCells>
  <dataValidations count="1">
    <dataValidation type="list" allowBlank="1" sqref="M4:M43" xr:uid="{00000000-0002-0000-20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2000-000000000000}">
          <x14:formula1>
            <xm:f>Setup!$A$5:$A$16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2000-000001000000}">
          <x14:formula1>
            <xm:f>Setup!$C$5:$C$30</xm:f>
          </x14:formula1>
          <xm:sqref>D4:D43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4" t="s">
        <v>1618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</row>
    <row r="2" spans="1:24" ht="21.95" customHeight="1" x14ac:dyDescent="0.25">
      <c r="A2" s="43" t="s">
        <v>19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</row>
    <row r="3" spans="1:24" x14ac:dyDescent="0.25">
      <c r="A3" s="12" t="s">
        <v>79</v>
      </c>
      <c r="B3" s="12" t="s">
        <v>80</v>
      </c>
      <c r="C3" s="12" t="s">
        <v>81</v>
      </c>
      <c r="D3" s="12" t="s">
        <v>82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83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45</v>
      </c>
      <c r="B4" s="14" t="s">
        <v>1619</v>
      </c>
      <c r="C4" s="14" t="s">
        <v>1620</v>
      </c>
      <c r="D4" s="14" t="s">
        <v>54</v>
      </c>
      <c r="E4" s="14">
        <v>0</v>
      </c>
      <c r="F4" s="14">
        <v>1</v>
      </c>
      <c r="G4" s="14">
        <v>0</v>
      </c>
      <c r="H4" s="14">
        <v>0</v>
      </c>
      <c r="I4" s="14">
        <v>0</v>
      </c>
      <c r="J4" s="17">
        <v>15</v>
      </c>
      <c r="K4" s="14">
        <v>1</v>
      </c>
      <c r="L4" s="17">
        <v>87.63</v>
      </c>
      <c r="M4" s="14" t="s">
        <v>86</v>
      </c>
      <c r="P4" s="14" t="str">
        <f>Setup!$A$5</f>
        <v>Expert 01</v>
      </c>
      <c r="Q4" s="14">
        <f t="shared" ref="Q4:Q15" si="0">SUMIF($A$4:$A$43,$P4,E$4:E$43)</f>
        <v>2</v>
      </c>
      <c r="R4" s="14">
        <f t="shared" ref="R4:R15" si="1">SUMIF($A$4:$A$43,$P4,F$4:F$43)</f>
        <v>0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7">
        <f t="shared" ref="V4:V15" si="5">SUMIF($A$4:$A$43,$P4,J$4:J$43)</f>
        <v>39</v>
      </c>
      <c r="W4" s="14">
        <f t="shared" ref="W4:W15" si="6">SUMIF($A$4:$A$43,$P4,K$4:K$43)</f>
        <v>2</v>
      </c>
      <c r="X4" s="17">
        <f t="shared" ref="X4:X15" si="7">SUMIF($A$4:$A$43,$P4,L$4:L$43)</f>
        <v>0</v>
      </c>
    </row>
    <row r="5" spans="1:24" x14ac:dyDescent="0.25">
      <c r="A5" s="14" t="s">
        <v>47</v>
      </c>
      <c r="B5" s="14" t="s">
        <v>1621</v>
      </c>
      <c r="C5" s="14" t="s">
        <v>1622</v>
      </c>
      <c r="D5" s="14" t="s">
        <v>68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7">
        <v>18</v>
      </c>
      <c r="K5" s="14">
        <v>1</v>
      </c>
      <c r="L5" s="17">
        <v>12.73</v>
      </c>
      <c r="M5" s="14" t="s">
        <v>86</v>
      </c>
      <c r="P5" s="14" t="str">
        <f>Setup!$A$6</f>
        <v>Expert 02</v>
      </c>
      <c r="Q5" s="14">
        <f t="shared" si="0"/>
        <v>0</v>
      </c>
      <c r="R5" s="14">
        <f t="shared" si="1"/>
        <v>1</v>
      </c>
      <c r="S5" s="14">
        <f t="shared" si="2"/>
        <v>0</v>
      </c>
      <c r="T5" s="14">
        <f t="shared" si="3"/>
        <v>0</v>
      </c>
      <c r="U5" s="14">
        <f t="shared" si="4"/>
        <v>0</v>
      </c>
      <c r="V5" s="17">
        <f t="shared" si="5"/>
        <v>0</v>
      </c>
      <c r="W5" s="14">
        <f t="shared" si="6"/>
        <v>2</v>
      </c>
      <c r="X5" s="17">
        <f t="shared" si="7"/>
        <v>260.68</v>
      </c>
    </row>
    <row r="6" spans="1:24" x14ac:dyDescent="0.25">
      <c r="A6" s="14" t="s">
        <v>45</v>
      </c>
      <c r="B6" s="14" t="s">
        <v>1623</v>
      </c>
      <c r="C6" s="14" t="s">
        <v>1624</v>
      </c>
      <c r="D6" s="14" t="s">
        <v>63</v>
      </c>
      <c r="E6" s="14">
        <v>1</v>
      </c>
      <c r="F6" s="14">
        <v>0</v>
      </c>
      <c r="G6" s="14">
        <v>0</v>
      </c>
      <c r="H6" s="14">
        <v>0</v>
      </c>
      <c r="I6" s="14">
        <v>0</v>
      </c>
      <c r="J6" s="17">
        <v>24</v>
      </c>
      <c r="K6" s="14">
        <v>1</v>
      </c>
      <c r="L6" s="17">
        <v>0</v>
      </c>
      <c r="M6" s="14" t="s">
        <v>86</v>
      </c>
      <c r="P6" s="14" t="str">
        <f>Setup!$A$7</f>
        <v>Expert 03</v>
      </c>
      <c r="Q6" s="14">
        <f t="shared" si="0"/>
        <v>0</v>
      </c>
      <c r="R6" s="14">
        <f t="shared" si="1"/>
        <v>0</v>
      </c>
      <c r="S6" s="14">
        <f t="shared" si="2"/>
        <v>0</v>
      </c>
      <c r="T6" s="14">
        <f t="shared" si="3"/>
        <v>1</v>
      </c>
      <c r="U6" s="14">
        <f t="shared" si="4"/>
        <v>1</v>
      </c>
      <c r="V6" s="17">
        <f t="shared" si="5"/>
        <v>48</v>
      </c>
      <c r="W6" s="14">
        <f t="shared" si="6"/>
        <v>2</v>
      </c>
      <c r="X6" s="17">
        <f t="shared" si="7"/>
        <v>85.84</v>
      </c>
    </row>
    <row r="7" spans="1:24" x14ac:dyDescent="0.25">
      <c r="A7" s="14" t="s">
        <v>51</v>
      </c>
      <c r="B7" s="14" t="s">
        <v>1625</v>
      </c>
      <c r="C7" s="14" t="s">
        <v>1626</v>
      </c>
      <c r="D7" s="14" t="s">
        <v>68</v>
      </c>
      <c r="E7" s="14">
        <v>1</v>
      </c>
      <c r="F7" s="14">
        <v>0</v>
      </c>
      <c r="G7" s="14">
        <v>0</v>
      </c>
      <c r="H7" s="14">
        <v>0</v>
      </c>
      <c r="I7" s="14">
        <v>0</v>
      </c>
      <c r="J7" s="17">
        <v>0</v>
      </c>
      <c r="K7" s="14">
        <v>1</v>
      </c>
      <c r="L7" s="17">
        <v>0</v>
      </c>
      <c r="M7" s="14" t="s">
        <v>86</v>
      </c>
      <c r="P7" s="14" t="str">
        <f>Setup!$A$8</f>
        <v>Expert 04</v>
      </c>
      <c r="Q7" s="14">
        <f t="shared" si="0"/>
        <v>1</v>
      </c>
      <c r="R7" s="14">
        <f t="shared" si="1"/>
        <v>1</v>
      </c>
      <c r="S7" s="14">
        <f t="shared" si="2"/>
        <v>0</v>
      </c>
      <c r="T7" s="14">
        <f t="shared" si="3"/>
        <v>0</v>
      </c>
      <c r="U7" s="14">
        <f t="shared" si="4"/>
        <v>1</v>
      </c>
      <c r="V7" s="17">
        <f t="shared" si="5"/>
        <v>54</v>
      </c>
      <c r="W7" s="14">
        <f t="shared" si="6"/>
        <v>2</v>
      </c>
      <c r="X7" s="17">
        <f t="shared" si="7"/>
        <v>140.57</v>
      </c>
    </row>
    <row r="8" spans="1:24" x14ac:dyDescent="0.25">
      <c r="A8" s="14" t="s">
        <v>47</v>
      </c>
      <c r="B8" s="14" t="s">
        <v>1627</v>
      </c>
      <c r="C8" s="14" t="s">
        <v>1628</v>
      </c>
      <c r="D8" s="14" t="s">
        <v>72</v>
      </c>
      <c r="E8" s="14">
        <v>0</v>
      </c>
      <c r="F8" s="14">
        <v>0</v>
      </c>
      <c r="G8" s="14">
        <v>0</v>
      </c>
      <c r="H8" s="14">
        <v>0</v>
      </c>
      <c r="I8" s="14">
        <v>1</v>
      </c>
      <c r="J8" s="17">
        <v>24</v>
      </c>
      <c r="K8" s="14">
        <v>0</v>
      </c>
      <c r="L8" s="17">
        <v>92.98</v>
      </c>
      <c r="M8" s="14" t="s">
        <v>86</v>
      </c>
      <c r="P8" s="14" t="str">
        <f>Setup!$A$9</f>
        <v>Expert 05</v>
      </c>
      <c r="Q8" s="14">
        <f t="shared" si="0"/>
        <v>0</v>
      </c>
      <c r="R8" s="14">
        <f t="shared" si="1"/>
        <v>0</v>
      </c>
      <c r="S8" s="14">
        <f t="shared" si="2"/>
        <v>0</v>
      </c>
      <c r="T8" s="14">
        <f t="shared" si="3"/>
        <v>0</v>
      </c>
      <c r="U8" s="14">
        <f t="shared" si="4"/>
        <v>1</v>
      </c>
      <c r="V8" s="17">
        <f t="shared" si="5"/>
        <v>42</v>
      </c>
      <c r="W8" s="14">
        <f t="shared" si="6"/>
        <v>1</v>
      </c>
      <c r="X8" s="17">
        <f t="shared" si="7"/>
        <v>105.71000000000001</v>
      </c>
    </row>
    <row r="9" spans="1:24" x14ac:dyDescent="0.25">
      <c r="A9" s="14" t="s">
        <v>55</v>
      </c>
      <c r="B9" s="14" t="s">
        <v>1629</v>
      </c>
      <c r="C9" s="14" t="s">
        <v>1630</v>
      </c>
      <c r="D9" s="14" t="s">
        <v>65</v>
      </c>
      <c r="E9" s="14">
        <v>1</v>
      </c>
      <c r="F9" s="14">
        <v>0</v>
      </c>
      <c r="G9" s="14">
        <v>0</v>
      </c>
      <c r="H9" s="14">
        <v>0</v>
      </c>
      <c r="I9" s="14">
        <v>0</v>
      </c>
      <c r="J9" s="17">
        <v>0</v>
      </c>
      <c r="K9" s="14">
        <v>1</v>
      </c>
      <c r="L9" s="17">
        <v>0</v>
      </c>
      <c r="M9" s="14" t="s">
        <v>86</v>
      </c>
      <c r="P9" s="14" t="str">
        <f>Setup!$A$10</f>
        <v>Expert 06</v>
      </c>
      <c r="Q9" s="14">
        <f t="shared" si="0"/>
        <v>1</v>
      </c>
      <c r="R9" s="14">
        <f t="shared" si="1"/>
        <v>1</v>
      </c>
      <c r="S9" s="14">
        <f t="shared" si="2"/>
        <v>0</v>
      </c>
      <c r="T9" s="14">
        <f t="shared" si="3"/>
        <v>0</v>
      </c>
      <c r="U9" s="14">
        <f t="shared" si="4"/>
        <v>0</v>
      </c>
      <c r="V9" s="17">
        <f t="shared" si="5"/>
        <v>0</v>
      </c>
      <c r="W9" s="14">
        <f t="shared" si="6"/>
        <v>2</v>
      </c>
      <c r="X9" s="17">
        <f t="shared" si="7"/>
        <v>177.64</v>
      </c>
    </row>
    <row r="10" spans="1:24" x14ac:dyDescent="0.25">
      <c r="A10" s="14" t="s">
        <v>43</v>
      </c>
      <c r="B10" s="14" t="s">
        <v>1631</v>
      </c>
      <c r="C10" s="14" t="s">
        <v>1632</v>
      </c>
      <c r="D10" s="14" t="s">
        <v>73</v>
      </c>
      <c r="E10" s="14">
        <v>0</v>
      </c>
      <c r="F10" s="14">
        <v>0</v>
      </c>
      <c r="G10" s="14">
        <v>0</v>
      </c>
      <c r="H10" s="14">
        <v>0</v>
      </c>
      <c r="I10" s="14">
        <v>1</v>
      </c>
      <c r="J10" s="17">
        <v>33</v>
      </c>
      <c r="K10" s="14">
        <v>0</v>
      </c>
      <c r="L10" s="17">
        <v>5.53</v>
      </c>
      <c r="M10" s="14" t="s">
        <v>86</v>
      </c>
      <c r="P10" s="14" t="str">
        <f>Setup!$A$11</f>
        <v>Expert 07</v>
      </c>
      <c r="Q10" s="14">
        <f t="shared" si="0"/>
        <v>4</v>
      </c>
      <c r="R10" s="14">
        <f t="shared" si="1"/>
        <v>1</v>
      </c>
      <c r="S10" s="14">
        <f t="shared" si="2"/>
        <v>0</v>
      </c>
      <c r="T10" s="14">
        <f t="shared" si="3"/>
        <v>0</v>
      </c>
      <c r="U10" s="14">
        <f t="shared" si="4"/>
        <v>0</v>
      </c>
      <c r="V10" s="17">
        <f t="shared" si="5"/>
        <v>58</v>
      </c>
      <c r="W10" s="14">
        <f t="shared" si="6"/>
        <v>5</v>
      </c>
      <c r="X10" s="17">
        <f t="shared" si="7"/>
        <v>333.07</v>
      </c>
    </row>
    <row r="11" spans="1:24" x14ac:dyDescent="0.25">
      <c r="A11" s="14" t="s">
        <v>53</v>
      </c>
      <c r="B11" s="14" t="s">
        <v>1633</v>
      </c>
      <c r="C11" s="14" t="s">
        <v>1634</v>
      </c>
      <c r="D11" s="14" t="s">
        <v>66</v>
      </c>
      <c r="E11" s="14">
        <v>1</v>
      </c>
      <c r="F11" s="14">
        <v>0</v>
      </c>
      <c r="G11" s="14">
        <v>0</v>
      </c>
      <c r="H11" s="14">
        <v>0</v>
      </c>
      <c r="I11" s="14">
        <v>0</v>
      </c>
      <c r="J11" s="17">
        <v>0</v>
      </c>
      <c r="K11" s="14">
        <v>1</v>
      </c>
      <c r="L11" s="17">
        <v>152.5</v>
      </c>
      <c r="M11" s="14" t="s">
        <v>86</v>
      </c>
      <c r="P11" s="14" t="str">
        <f>Setup!$A$12</f>
        <v>Expert 08</v>
      </c>
      <c r="Q11" s="14">
        <f t="shared" si="0"/>
        <v>2</v>
      </c>
      <c r="R11" s="14">
        <f t="shared" si="1"/>
        <v>0</v>
      </c>
      <c r="S11" s="14">
        <f t="shared" si="2"/>
        <v>0</v>
      </c>
      <c r="T11" s="14">
        <f t="shared" si="3"/>
        <v>1</v>
      </c>
      <c r="U11" s="14">
        <f t="shared" si="4"/>
        <v>0</v>
      </c>
      <c r="V11" s="17">
        <f t="shared" si="5"/>
        <v>0</v>
      </c>
      <c r="W11" s="14">
        <f t="shared" si="6"/>
        <v>3</v>
      </c>
      <c r="X11" s="17">
        <f t="shared" si="7"/>
        <v>287.86</v>
      </c>
    </row>
    <row r="12" spans="1:24" x14ac:dyDescent="0.25">
      <c r="A12" s="14" t="s">
        <v>45</v>
      </c>
      <c r="B12" s="14" t="s">
        <v>1635</v>
      </c>
      <c r="C12" s="14" t="s">
        <v>1636</v>
      </c>
      <c r="D12" s="14" t="s">
        <v>72</v>
      </c>
      <c r="E12" s="14">
        <v>0</v>
      </c>
      <c r="F12" s="14">
        <v>0</v>
      </c>
      <c r="G12" s="14">
        <v>0</v>
      </c>
      <c r="H12" s="14">
        <v>0</v>
      </c>
      <c r="I12" s="14">
        <v>1</v>
      </c>
      <c r="J12" s="17">
        <v>15</v>
      </c>
      <c r="K12" s="14">
        <v>0</v>
      </c>
      <c r="L12" s="17">
        <v>52.94</v>
      </c>
      <c r="M12" s="14" t="s">
        <v>86</v>
      </c>
      <c r="P12" s="14" t="str">
        <f>Setup!$A$13</f>
        <v>Expert 09</v>
      </c>
      <c r="Q12" s="14">
        <f t="shared" si="0"/>
        <v>1</v>
      </c>
      <c r="R12" s="14">
        <f t="shared" si="1"/>
        <v>0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7">
        <f t="shared" si="5"/>
        <v>0</v>
      </c>
      <c r="W12" s="14">
        <f t="shared" si="6"/>
        <v>1</v>
      </c>
      <c r="X12" s="17">
        <f t="shared" si="7"/>
        <v>0</v>
      </c>
    </row>
    <row r="13" spans="1:24" x14ac:dyDescent="0.25">
      <c r="A13" s="14" t="s">
        <v>49</v>
      </c>
      <c r="B13" s="14" t="s">
        <v>1637</v>
      </c>
      <c r="C13" s="14" t="s">
        <v>1638</v>
      </c>
      <c r="D13" s="14" t="s">
        <v>71</v>
      </c>
      <c r="E13" s="14">
        <v>1</v>
      </c>
      <c r="F13" s="14">
        <v>0</v>
      </c>
      <c r="G13" s="14">
        <v>0</v>
      </c>
      <c r="H13" s="14">
        <v>0</v>
      </c>
      <c r="I13" s="14">
        <v>0</v>
      </c>
      <c r="J13" s="17">
        <v>0</v>
      </c>
      <c r="K13" s="14">
        <v>1</v>
      </c>
      <c r="L13" s="17">
        <v>0</v>
      </c>
      <c r="M13" s="14" t="s">
        <v>86</v>
      </c>
      <c r="P13" s="14" t="str">
        <f>Setup!$A$14</f>
        <v>Expert 10</v>
      </c>
      <c r="Q13" s="14">
        <f t="shared" si="0"/>
        <v>0</v>
      </c>
      <c r="R13" s="14">
        <f t="shared" si="1"/>
        <v>0</v>
      </c>
      <c r="S13" s="14">
        <f t="shared" si="2"/>
        <v>0</v>
      </c>
      <c r="T13" s="14">
        <f t="shared" si="3"/>
        <v>0</v>
      </c>
      <c r="U13" s="14">
        <f t="shared" si="4"/>
        <v>1</v>
      </c>
      <c r="V13" s="17">
        <f t="shared" si="5"/>
        <v>0</v>
      </c>
      <c r="W13" s="14">
        <f t="shared" si="6"/>
        <v>0</v>
      </c>
      <c r="X13" s="17">
        <f t="shared" si="7"/>
        <v>0</v>
      </c>
    </row>
    <row r="14" spans="1:24" x14ac:dyDescent="0.25">
      <c r="A14" s="14" t="s">
        <v>51</v>
      </c>
      <c r="B14" s="14" t="s">
        <v>1639</v>
      </c>
      <c r="C14" s="14" t="s">
        <v>1640</v>
      </c>
      <c r="D14" s="14" t="s">
        <v>56</v>
      </c>
      <c r="E14" s="14">
        <v>1</v>
      </c>
      <c r="F14" s="14">
        <v>0</v>
      </c>
      <c r="G14" s="14">
        <v>0</v>
      </c>
      <c r="H14" s="14">
        <v>0</v>
      </c>
      <c r="I14" s="14">
        <v>0</v>
      </c>
      <c r="J14" s="17">
        <v>18</v>
      </c>
      <c r="K14" s="14">
        <v>1</v>
      </c>
      <c r="L14" s="17">
        <v>174.97</v>
      </c>
      <c r="M14" s="14" t="s">
        <v>86</v>
      </c>
      <c r="P14" s="14" t="str">
        <f>Setup!$A$15</f>
        <v>Expert 11</v>
      </c>
      <c r="Q14" s="14">
        <f t="shared" si="0"/>
        <v>0</v>
      </c>
      <c r="R14" s="14">
        <f t="shared" si="1"/>
        <v>1</v>
      </c>
      <c r="S14" s="14">
        <f t="shared" si="2"/>
        <v>0</v>
      </c>
      <c r="T14" s="14">
        <f t="shared" si="3"/>
        <v>0</v>
      </c>
      <c r="U14" s="14">
        <f t="shared" si="4"/>
        <v>0</v>
      </c>
      <c r="V14" s="17">
        <f t="shared" si="5"/>
        <v>0</v>
      </c>
      <c r="W14" s="14">
        <f t="shared" si="6"/>
        <v>1</v>
      </c>
      <c r="X14" s="17">
        <f t="shared" si="7"/>
        <v>60.34</v>
      </c>
    </row>
    <row r="15" spans="1:24" x14ac:dyDescent="0.25">
      <c r="A15" s="14" t="s">
        <v>49</v>
      </c>
      <c r="B15" s="14" t="s">
        <v>1641</v>
      </c>
      <c r="C15" s="14" t="s">
        <v>1642</v>
      </c>
      <c r="D15" s="14" t="s">
        <v>71</v>
      </c>
      <c r="E15" s="14">
        <v>0</v>
      </c>
      <c r="F15" s="14">
        <v>1</v>
      </c>
      <c r="G15" s="14">
        <v>0</v>
      </c>
      <c r="H15" s="14">
        <v>0</v>
      </c>
      <c r="I15" s="14">
        <v>0</v>
      </c>
      <c r="J15" s="17">
        <v>0</v>
      </c>
      <c r="K15" s="14">
        <v>1</v>
      </c>
      <c r="L15" s="17">
        <v>177.64</v>
      </c>
      <c r="M15" s="14" t="s">
        <v>86</v>
      </c>
      <c r="P15" s="14" t="str">
        <f>Setup!$A$16</f>
        <v>Expert 12</v>
      </c>
      <c r="Q15" s="14">
        <f t="shared" si="0"/>
        <v>2</v>
      </c>
      <c r="R15" s="14">
        <f t="shared" si="1"/>
        <v>0</v>
      </c>
      <c r="S15" s="14">
        <f t="shared" si="2"/>
        <v>0</v>
      </c>
      <c r="T15" s="14">
        <f t="shared" si="3"/>
        <v>0</v>
      </c>
      <c r="U15" s="14">
        <f t="shared" si="4"/>
        <v>0</v>
      </c>
      <c r="V15" s="17">
        <f t="shared" si="5"/>
        <v>15</v>
      </c>
      <c r="W15" s="14">
        <f t="shared" si="6"/>
        <v>2</v>
      </c>
      <c r="X15" s="17">
        <f t="shared" si="7"/>
        <v>0</v>
      </c>
    </row>
    <row r="16" spans="1:24" x14ac:dyDescent="0.25">
      <c r="A16" s="14" t="s">
        <v>51</v>
      </c>
      <c r="B16" s="14" t="s">
        <v>1643</v>
      </c>
      <c r="C16" s="14" t="s">
        <v>1644</v>
      </c>
      <c r="D16" s="14" t="s">
        <v>63</v>
      </c>
      <c r="E16" s="14">
        <v>0</v>
      </c>
      <c r="F16" s="14">
        <v>1</v>
      </c>
      <c r="G16" s="14">
        <v>0</v>
      </c>
      <c r="H16" s="14">
        <v>0</v>
      </c>
      <c r="I16" s="14">
        <v>0</v>
      </c>
      <c r="J16" s="17">
        <v>16</v>
      </c>
      <c r="K16" s="14">
        <v>1</v>
      </c>
      <c r="L16" s="17">
        <v>0</v>
      </c>
      <c r="M16" s="14" t="s">
        <v>212</v>
      </c>
      <c r="P16" s="18" t="s">
        <v>111</v>
      </c>
      <c r="Q16" s="19">
        <f t="shared" ref="Q16:X16" si="8">SUM(Q4:Q15)</f>
        <v>13</v>
      </c>
      <c r="R16" s="19">
        <f t="shared" si="8"/>
        <v>5</v>
      </c>
      <c r="S16" s="19">
        <f t="shared" si="8"/>
        <v>0</v>
      </c>
      <c r="T16" s="19">
        <f t="shared" si="8"/>
        <v>2</v>
      </c>
      <c r="U16" s="19">
        <f t="shared" si="8"/>
        <v>4</v>
      </c>
      <c r="V16" s="20">
        <f t="shared" si="8"/>
        <v>256</v>
      </c>
      <c r="W16" s="19">
        <f t="shared" si="8"/>
        <v>23</v>
      </c>
      <c r="X16" s="20">
        <f t="shared" si="8"/>
        <v>1451.7099999999998</v>
      </c>
    </row>
    <row r="17" spans="1:13" x14ac:dyDescent="0.25">
      <c r="A17" s="14" t="s">
        <v>61</v>
      </c>
      <c r="B17" s="14" t="s">
        <v>1645</v>
      </c>
      <c r="C17" s="14" t="s">
        <v>1646</v>
      </c>
      <c r="D17" s="14" t="s">
        <v>63</v>
      </c>
      <c r="E17" s="14">
        <v>1</v>
      </c>
      <c r="F17" s="14">
        <v>0</v>
      </c>
      <c r="G17" s="14">
        <v>0</v>
      </c>
      <c r="H17" s="14">
        <v>0</v>
      </c>
      <c r="I17" s="14">
        <v>0</v>
      </c>
      <c r="J17" s="17">
        <v>15</v>
      </c>
      <c r="K17" s="14">
        <v>1</v>
      </c>
      <c r="L17" s="17">
        <v>0</v>
      </c>
      <c r="M17" s="14" t="s">
        <v>212</v>
      </c>
    </row>
    <row r="18" spans="1:13" x14ac:dyDescent="0.25">
      <c r="A18" s="14" t="s">
        <v>61</v>
      </c>
      <c r="B18" s="14" t="s">
        <v>1647</v>
      </c>
      <c r="C18" s="14" t="s">
        <v>1648</v>
      </c>
      <c r="D18" s="14" t="s">
        <v>56</v>
      </c>
      <c r="E18" s="14">
        <v>1</v>
      </c>
      <c r="F18" s="14">
        <v>0</v>
      </c>
      <c r="G18" s="14">
        <v>0</v>
      </c>
      <c r="H18" s="14">
        <v>0</v>
      </c>
      <c r="I18" s="14">
        <v>0</v>
      </c>
      <c r="J18" s="17">
        <v>0</v>
      </c>
      <c r="K18" s="14">
        <v>1</v>
      </c>
      <c r="L18" s="17">
        <v>0</v>
      </c>
      <c r="M18" s="14" t="s">
        <v>86</v>
      </c>
    </row>
    <row r="19" spans="1:13" x14ac:dyDescent="0.25">
      <c r="A19" s="14" t="s">
        <v>57</v>
      </c>
      <c r="B19" s="14" t="s">
        <v>1649</v>
      </c>
      <c r="C19" s="14" t="s">
        <v>1650</v>
      </c>
      <c r="D19" s="14" t="s">
        <v>73</v>
      </c>
      <c r="E19" s="14">
        <v>0</v>
      </c>
      <c r="F19" s="14">
        <v>0</v>
      </c>
      <c r="G19" s="14">
        <v>0</v>
      </c>
      <c r="H19" s="14">
        <v>0</v>
      </c>
      <c r="I19" s="14">
        <v>1</v>
      </c>
      <c r="J19" s="17">
        <v>0</v>
      </c>
      <c r="K19" s="14">
        <v>0</v>
      </c>
      <c r="L19" s="17">
        <v>0</v>
      </c>
      <c r="M19" s="14" t="s">
        <v>86</v>
      </c>
    </row>
    <row r="20" spans="1:13" x14ac:dyDescent="0.25">
      <c r="A20" s="14" t="s">
        <v>43</v>
      </c>
      <c r="B20" s="14" t="s">
        <v>1651</v>
      </c>
      <c r="C20" s="14" t="s">
        <v>1652</v>
      </c>
      <c r="D20" s="14" t="s">
        <v>66</v>
      </c>
      <c r="E20" s="14">
        <v>0</v>
      </c>
      <c r="F20" s="14">
        <v>0</v>
      </c>
      <c r="G20" s="14">
        <v>0</v>
      </c>
      <c r="H20" s="14">
        <v>1</v>
      </c>
      <c r="I20" s="14">
        <v>0</v>
      </c>
      <c r="J20" s="17">
        <v>15</v>
      </c>
      <c r="K20" s="14">
        <v>1</v>
      </c>
      <c r="L20" s="17">
        <v>80.31</v>
      </c>
      <c r="M20" s="14" t="s">
        <v>86</v>
      </c>
    </row>
    <row r="21" spans="1:13" x14ac:dyDescent="0.25">
      <c r="A21" s="14" t="s">
        <v>41</v>
      </c>
      <c r="B21" s="14" t="s">
        <v>1653</v>
      </c>
      <c r="C21" s="14" t="s">
        <v>1654</v>
      </c>
      <c r="D21" s="14" t="s">
        <v>56</v>
      </c>
      <c r="E21" s="14">
        <v>0</v>
      </c>
      <c r="F21" s="14">
        <v>0</v>
      </c>
      <c r="G21" s="14">
        <v>0</v>
      </c>
      <c r="H21" s="14">
        <v>0</v>
      </c>
      <c r="I21" s="14">
        <v>0</v>
      </c>
      <c r="J21" s="17">
        <v>0</v>
      </c>
      <c r="K21" s="14">
        <v>1</v>
      </c>
      <c r="L21" s="17">
        <v>153.37</v>
      </c>
      <c r="M21" s="14" t="s">
        <v>86</v>
      </c>
    </row>
    <row r="22" spans="1:13" x14ac:dyDescent="0.25">
      <c r="A22" s="14" t="s">
        <v>53</v>
      </c>
      <c r="B22" s="14" t="s">
        <v>1655</v>
      </c>
      <c r="C22" s="14" t="s">
        <v>1656</v>
      </c>
      <c r="D22" s="14" t="s">
        <v>48</v>
      </c>
      <c r="E22" s="14">
        <v>1</v>
      </c>
      <c r="F22" s="14">
        <v>0</v>
      </c>
      <c r="G22" s="14">
        <v>0</v>
      </c>
      <c r="H22" s="14">
        <v>0</v>
      </c>
      <c r="I22" s="14">
        <v>0</v>
      </c>
      <c r="J22" s="17">
        <v>0</v>
      </c>
      <c r="K22" s="14">
        <v>1</v>
      </c>
      <c r="L22" s="17">
        <v>35.4</v>
      </c>
      <c r="M22" s="14" t="s">
        <v>212</v>
      </c>
    </row>
    <row r="23" spans="1:13" x14ac:dyDescent="0.25">
      <c r="A23" s="14" t="s">
        <v>39</v>
      </c>
      <c r="B23" s="14" t="s">
        <v>1657</v>
      </c>
      <c r="C23" s="14" t="s">
        <v>1658</v>
      </c>
      <c r="D23" s="14" t="s">
        <v>42</v>
      </c>
      <c r="E23" s="14">
        <v>1</v>
      </c>
      <c r="F23" s="14">
        <v>0</v>
      </c>
      <c r="G23" s="14">
        <v>0</v>
      </c>
      <c r="H23" s="14">
        <v>0</v>
      </c>
      <c r="I23" s="14">
        <v>0</v>
      </c>
      <c r="J23" s="17">
        <v>15</v>
      </c>
      <c r="K23" s="14">
        <v>1</v>
      </c>
      <c r="L23" s="17">
        <v>0</v>
      </c>
      <c r="M23" s="14" t="s">
        <v>86</v>
      </c>
    </row>
    <row r="24" spans="1:13" x14ac:dyDescent="0.25">
      <c r="A24" s="14" t="s">
        <v>51</v>
      </c>
      <c r="B24" s="14" t="s">
        <v>1659</v>
      </c>
      <c r="C24" s="14" t="s">
        <v>1660</v>
      </c>
      <c r="D24" s="14" t="s">
        <v>60</v>
      </c>
      <c r="E24" s="14">
        <v>1</v>
      </c>
      <c r="F24" s="14">
        <v>0</v>
      </c>
      <c r="G24" s="14">
        <v>0</v>
      </c>
      <c r="H24" s="14">
        <v>0</v>
      </c>
      <c r="I24" s="14">
        <v>0</v>
      </c>
      <c r="J24" s="17">
        <v>0</v>
      </c>
      <c r="K24" s="14">
        <v>1</v>
      </c>
      <c r="L24" s="17">
        <v>27.12</v>
      </c>
      <c r="M24" s="14" t="s">
        <v>86</v>
      </c>
    </row>
    <row r="25" spans="1:13" x14ac:dyDescent="0.25">
      <c r="A25" s="14" t="s">
        <v>41</v>
      </c>
      <c r="B25" s="14" t="s">
        <v>1661</v>
      </c>
      <c r="C25" s="14" t="s">
        <v>1662</v>
      </c>
      <c r="D25" s="14" t="s">
        <v>46</v>
      </c>
      <c r="E25" s="14">
        <v>0</v>
      </c>
      <c r="F25" s="14">
        <v>1</v>
      </c>
      <c r="G25" s="14">
        <v>0</v>
      </c>
      <c r="H25" s="14">
        <v>0</v>
      </c>
      <c r="I25" s="14">
        <v>0</v>
      </c>
      <c r="J25" s="17">
        <v>0</v>
      </c>
      <c r="K25" s="14">
        <v>1</v>
      </c>
      <c r="L25" s="17">
        <v>107.31</v>
      </c>
      <c r="M25" s="14" t="s">
        <v>86</v>
      </c>
    </row>
    <row r="26" spans="1:13" x14ac:dyDescent="0.25">
      <c r="A26" s="14" t="s">
        <v>51</v>
      </c>
      <c r="B26" s="14" t="s">
        <v>1663</v>
      </c>
      <c r="C26" s="14" t="s">
        <v>1664</v>
      </c>
      <c r="D26" s="14" t="s">
        <v>46</v>
      </c>
      <c r="E26" s="14">
        <v>1</v>
      </c>
      <c r="F26" s="14">
        <v>0</v>
      </c>
      <c r="G26" s="14">
        <v>0</v>
      </c>
      <c r="H26" s="14">
        <v>0</v>
      </c>
      <c r="I26" s="14">
        <v>0</v>
      </c>
      <c r="J26" s="17">
        <v>24</v>
      </c>
      <c r="K26" s="14">
        <v>1</v>
      </c>
      <c r="L26" s="17">
        <v>130.97999999999999</v>
      </c>
      <c r="M26" s="14" t="s">
        <v>86</v>
      </c>
    </row>
    <row r="27" spans="1:13" x14ac:dyDescent="0.25">
      <c r="A27" s="14" t="s">
        <v>53</v>
      </c>
      <c r="B27" s="14" t="s">
        <v>1665</v>
      </c>
      <c r="C27" s="14" t="s">
        <v>1666</v>
      </c>
      <c r="D27" s="14" t="s">
        <v>50</v>
      </c>
      <c r="E27" s="14">
        <v>0</v>
      </c>
      <c r="F27" s="14">
        <v>0</v>
      </c>
      <c r="G27" s="14">
        <v>0</v>
      </c>
      <c r="H27" s="14">
        <v>1</v>
      </c>
      <c r="I27" s="14">
        <v>0</v>
      </c>
      <c r="J27" s="17">
        <v>0</v>
      </c>
      <c r="K27" s="14">
        <v>1</v>
      </c>
      <c r="L27" s="17">
        <v>99.96</v>
      </c>
      <c r="M27" s="14" t="s">
        <v>212</v>
      </c>
    </row>
    <row r="28" spans="1:13" x14ac:dyDescent="0.25">
      <c r="A28" s="14" t="s">
        <v>55</v>
      </c>
      <c r="B28" s="14" t="s">
        <v>1667</v>
      </c>
      <c r="C28" s="14" t="s">
        <v>1668</v>
      </c>
      <c r="D28" s="14" t="s">
        <v>75</v>
      </c>
      <c r="E28" s="14">
        <v>0</v>
      </c>
      <c r="F28" s="14">
        <v>0</v>
      </c>
      <c r="G28" s="14">
        <v>0</v>
      </c>
      <c r="H28" s="14">
        <v>0</v>
      </c>
      <c r="I28" s="14">
        <v>0</v>
      </c>
      <c r="J28" s="17">
        <v>0</v>
      </c>
      <c r="K28" s="14">
        <v>0</v>
      </c>
      <c r="L28" s="17">
        <v>0</v>
      </c>
      <c r="M28" s="14" t="s">
        <v>86</v>
      </c>
    </row>
    <row r="29" spans="1:13" x14ac:dyDescent="0.25">
      <c r="A29" s="14" t="s">
        <v>59</v>
      </c>
      <c r="B29" s="14" t="s">
        <v>1669</v>
      </c>
      <c r="C29" s="14" t="s">
        <v>1670</v>
      </c>
      <c r="D29" s="14" t="s">
        <v>46</v>
      </c>
      <c r="E29" s="14">
        <v>0</v>
      </c>
      <c r="F29" s="14">
        <v>1</v>
      </c>
      <c r="G29" s="14">
        <v>0</v>
      </c>
      <c r="H29" s="14">
        <v>0</v>
      </c>
      <c r="I29" s="14">
        <v>0</v>
      </c>
      <c r="J29" s="17">
        <v>0</v>
      </c>
      <c r="K29" s="14">
        <v>1</v>
      </c>
      <c r="L29" s="17">
        <v>60.34</v>
      </c>
      <c r="M29" s="14" t="s">
        <v>86</v>
      </c>
    </row>
    <row r="30" spans="1:13" x14ac:dyDescent="0.25">
      <c r="A30" s="14" t="s">
        <v>39</v>
      </c>
      <c r="B30" s="14" t="s">
        <v>1671</v>
      </c>
      <c r="C30" s="14" t="s">
        <v>1672</v>
      </c>
      <c r="D30" s="14" t="s">
        <v>58</v>
      </c>
      <c r="E30" s="14">
        <v>1</v>
      </c>
      <c r="F30" s="14">
        <v>0</v>
      </c>
      <c r="G30" s="14">
        <v>0</v>
      </c>
      <c r="H30" s="14">
        <v>0</v>
      </c>
      <c r="I30" s="14">
        <v>0</v>
      </c>
      <c r="J30" s="17">
        <v>24</v>
      </c>
      <c r="K30" s="14">
        <v>1</v>
      </c>
      <c r="L30" s="17">
        <v>0</v>
      </c>
      <c r="M30" s="14" t="s">
        <v>86</v>
      </c>
    </row>
    <row r="31" spans="1:13" x14ac:dyDescent="0.25">
      <c r="A31" s="14" t="s">
        <v>43</v>
      </c>
      <c r="B31" s="14" t="s">
        <v>1673</v>
      </c>
      <c r="C31" s="14" t="s">
        <v>1674</v>
      </c>
      <c r="D31" s="14" t="s">
        <v>70</v>
      </c>
      <c r="E31" s="14">
        <v>0</v>
      </c>
      <c r="F31" s="14">
        <v>0</v>
      </c>
      <c r="G31" s="14">
        <v>0</v>
      </c>
      <c r="H31" s="14">
        <v>0</v>
      </c>
      <c r="I31" s="14">
        <v>0</v>
      </c>
      <c r="J31" s="17">
        <v>0</v>
      </c>
      <c r="K31" s="14">
        <v>1</v>
      </c>
      <c r="L31" s="17">
        <v>0</v>
      </c>
      <c r="M31" s="14" t="s">
        <v>86</v>
      </c>
    </row>
    <row r="32" spans="1:13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7"/>
      <c r="K32" s="14"/>
      <c r="L32" s="17"/>
      <c r="M32" s="14"/>
    </row>
    <row r="33" spans="1:13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7"/>
      <c r="K33" s="14"/>
      <c r="L33" s="17"/>
      <c r="M33" s="14"/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7"/>
      <c r="K34" s="14"/>
      <c r="L34" s="17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7"/>
      <c r="K35" s="14"/>
      <c r="L35" s="17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7"/>
      <c r="K36" s="14"/>
      <c r="L36" s="17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7"/>
      <c r="K37" s="14"/>
      <c r="L37" s="17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7"/>
      <c r="K38" s="14"/>
      <c r="L38" s="17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7"/>
      <c r="K39" s="14"/>
      <c r="L39" s="17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7"/>
      <c r="K40" s="14"/>
      <c r="L40" s="17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7"/>
      <c r="K41" s="14"/>
      <c r="L41" s="17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7"/>
      <c r="K42" s="14"/>
      <c r="L42" s="17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7"/>
      <c r="K43" s="14"/>
      <c r="L43" s="17"/>
      <c r="M43" s="14"/>
    </row>
  </sheetData>
  <mergeCells count="2">
    <mergeCell ref="A2:M2"/>
    <mergeCell ref="A1:M1"/>
  </mergeCells>
  <dataValidations count="1">
    <dataValidation type="list" allowBlank="1" sqref="M4:M43" xr:uid="{00000000-0002-0000-21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2100-000000000000}">
          <x14:formula1>
            <xm:f>Setup!$A$5:$A$16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2100-000001000000}">
          <x14:formula1>
            <xm:f>Setup!$C$5:$C$30</xm:f>
          </x14:formula1>
          <xm:sqref>D4:D43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4" t="s">
        <v>1675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</row>
    <row r="2" spans="1:24" ht="21.95" customHeight="1" x14ac:dyDescent="0.25">
      <c r="A2" s="43" t="s">
        <v>19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</row>
    <row r="3" spans="1:24" x14ac:dyDescent="0.25">
      <c r="A3" s="12" t="s">
        <v>79</v>
      </c>
      <c r="B3" s="12" t="s">
        <v>80</v>
      </c>
      <c r="C3" s="12" t="s">
        <v>81</v>
      </c>
      <c r="D3" s="12" t="s">
        <v>82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83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49</v>
      </c>
      <c r="B4" s="14" t="s">
        <v>1676</v>
      </c>
      <c r="C4" s="14" t="s">
        <v>1677</v>
      </c>
      <c r="D4" s="14" t="s">
        <v>68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7">
        <v>18</v>
      </c>
      <c r="K4" s="14">
        <v>1</v>
      </c>
      <c r="L4" s="17">
        <v>0</v>
      </c>
      <c r="M4" s="14" t="s">
        <v>86</v>
      </c>
      <c r="P4" s="14" t="str">
        <f>Setup!$A$5</f>
        <v>Expert 01</v>
      </c>
      <c r="Q4" s="14">
        <f t="shared" ref="Q4:Q15" si="0">SUMIF($A$4:$A$43,$P4,E$4:E$43)</f>
        <v>0</v>
      </c>
      <c r="R4" s="14">
        <f t="shared" ref="R4:R15" si="1">SUMIF($A$4:$A$43,$P4,F$4:F$43)</f>
        <v>0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7">
        <f t="shared" ref="V4:V15" si="5">SUMIF($A$4:$A$43,$P4,J$4:J$43)</f>
        <v>0</v>
      </c>
      <c r="W4" s="14">
        <f t="shared" ref="W4:W15" si="6">SUMIF($A$4:$A$43,$P4,K$4:K$43)</f>
        <v>0</v>
      </c>
      <c r="X4" s="17">
        <f t="shared" ref="X4:X15" si="7">SUMIF($A$4:$A$43,$P4,L$4:L$43)</f>
        <v>0</v>
      </c>
    </row>
    <row r="5" spans="1:24" x14ac:dyDescent="0.25">
      <c r="A5" s="14" t="s">
        <v>49</v>
      </c>
      <c r="B5" s="14" t="s">
        <v>1678</v>
      </c>
      <c r="C5" s="14" t="s">
        <v>1679</v>
      </c>
      <c r="D5" s="14" t="s">
        <v>42</v>
      </c>
      <c r="E5" s="14">
        <v>1</v>
      </c>
      <c r="F5" s="14">
        <v>0</v>
      </c>
      <c r="G5" s="14">
        <v>0</v>
      </c>
      <c r="H5" s="14">
        <v>1</v>
      </c>
      <c r="I5" s="14">
        <v>0</v>
      </c>
      <c r="J5" s="17">
        <v>16</v>
      </c>
      <c r="K5" s="14">
        <v>1</v>
      </c>
      <c r="L5" s="17">
        <v>34.19</v>
      </c>
      <c r="M5" s="14" t="s">
        <v>86</v>
      </c>
      <c r="P5" s="14" t="str">
        <f>Setup!$A$6</f>
        <v>Expert 02</v>
      </c>
      <c r="Q5" s="14">
        <f t="shared" si="0"/>
        <v>2</v>
      </c>
      <c r="R5" s="14">
        <f t="shared" si="1"/>
        <v>1</v>
      </c>
      <c r="S5" s="14">
        <f t="shared" si="2"/>
        <v>0</v>
      </c>
      <c r="T5" s="14">
        <f t="shared" si="3"/>
        <v>0</v>
      </c>
      <c r="U5" s="14">
        <f t="shared" si="4"/>
        <v>0</v>
      </c>
      <c r="V5" s="17">
        <f t="shared" si="5"/>
        <v>33</v>
      </c>
      <c r="W5" s="14">
        <f t="shared" si="6"/>
        <v>3</v>
      </c>
      <c r="X5" s="17">
        <f t="shared" si="7"/>
        <v>213.97</v>
      </c>
    </row>
    <row r="6" spans="1:24" x14ac:dyDescent="0.25">
      <c r="A6" s="14" t="s">
        <v>41</v>
      </c>
      <c r="B6" s="14" t="s">
        <v>1680</v>
      </c>
      <c r="C6" s="14" t="s">
        <v>1681</v>
      </c>
      <c r="D6" s="14" t="s">
        <v>71</v>
      </c>
      <c r="E6" s="14">
        <v>1</v>
      </c>
      <c r="F6" s="14">
        <v>0</v>
      </c>
      <c r="G6" s="14">
        <v>0</v>
      </c>
      <c r="H6" s="14">
        <v>0</v>
      </c>
      <c r="I6" s="14">
        <v>0</v>
      </c>
      <c r="J6" s="17">
        <v>33</v>
      </c>
      <c r="K6" s="14">
        <v>1</v>
      </c>
      <c r="L6" s="17">
        <v>158.34</v>
      </c>
      <c r="M6" s="14" t="s">
        <v>86</v>
      </c>
      <c r="P6" s="14" t="str">
        <f>Setup!$A$7</f>
        <v>Expert 03</v>
      </c>
      <c r="Q6" s="14">
        <f t="shared" si="0"/>
        <v>2</v>
      </c>
      <c r="R6" s="14">
        <f t="shared" si="1"/>
        <v>0</v>
      </c>
      <c r="S6" s="14">
        <f t="shared" si="2"/>
        <v>0</v>
      </c>
      <c r="T6" s="14">
        <f t="shared" si="3"/>
        <v>0</v>
      </c>
      <c r="U6" s="14">
        <f t="shared" si="4"/>
        <v>0</v>
      </c>
      <c r="V6" s="17">
        <f t="shared" si="5"/>
        <v>0</v>
      </c>
      <c r="W6" s="14">
        <f t="shared" si="6"/>
        <v>3</v>
      </c>
      <c r="X6" s="17">
        <f t="shared" si="7"/>
        <v>226.91</v>
      </c>
    </row>
    <row r="7" spans="1:24" x14ac:dyDescent="0.25">
      <c r="A7" s="14" t="s">
        <v>49</v>
      </c>
      <c r="B7" s="14" t="s">
        <v>1682</v>
      </c>
      <c r="C7" s="14" t="s">
        <v>1683</v>
      </c>
      <c r="D7" s="14" t="s">
        <v>71</v>
      </c>
      <c r="E7" s="14">
        <v>0</v>
      </c>
      <c r="F7" s="14">
        <v>0</v>
      </c>
      <c r="G7" s="14">
        <v>0</v>
      </c>
      <c r="H7" s="14">
        <v>0</v>
      </c>
      <c r="I7" s="14">
        <v>0</v>
      </c>
      <c r="J7" s="17">
        <v>0</v>
      </c>
      <c r="K7" s="14">
        <v>1</v>
      </c>
      <c r="L7" s="17">
        <v>122.31</v>
      </c>
      <c r="M7" s="14" t="s">
        <v>86</v>
      </c>
      <c r="P7" s="14" t="str">
        <f>Setup!$A$8</f>
        <v>Expert 04</v>
      </c>
      <c r="Q7" s="14">
        <f t="shared" si="0"/>
        <v>3</v>
      </c>
      <c r="R7" s="14">
        <f t="shared" si="1"/>
        <v>0</v>
      </c>
      <c r="S7" s="14">
        <f t="shared" si="2"/>
        <v>0</v>
      </c>
      <c r="T7" s="14">
        <f t="shared" si="3"/>
        <v>0</v>
      </c>
      <c r="U7" s="14">
        <f t="shared" si="4"/>
        <v>1</v>
      </c>
      <c r="V7" s="17">
        <f t="shared" si="5"/>
        <v>51</v>
      </c>
      <c r="W7" s="14">
        <f t="shared" si="6"/>
        <v>4</v>
      </c>
      <c r="X7" s="17">
        <f t="shared" si="7"/>
        <v>60.94</v>
      </c>
    </row>
    <row r="8" spans="1:24" x14ac:dyDescent="0.25">
      <c r="A8" s="14" t="s">
        <v>51</v>
      </c>
      <c r="B8" s="14" t="s">
        <v>1684</v>
      </c>
      <c r="C8" s="14" t="s">
        <v>1685</v>
      </c>
      <c r="D8" s="14" t="s">
        <v>58</v>
      </c>
      <c r="E8" s="14">
        <v>1</v>
      </c>
      <c r="F8" s="14">
        <v>0</v>
      </c>
      <c r="G8" s="14">
        <v>0</v>
      </c>
      <c r="H8" s="14">
        <v>0</v>
      </c>
      <c r="I8" s="14">
        <v>0</v>
      </c>
      <c r="J8" s="17">
        <v>24</v>
      </c>
      <c r="K8" s="14">
        <v>1</v>
      </c>
      <c r="L8" s="17">
        <v>66.75</v>
      </c>
      <c r="M8" s="14" t="s">
        <v>86</v>
      </c>
      <c r="P8" s="14" t="str">
        <f>Setup!$A$9</f>
        <v>Expert 05</v>
      </c>
      <c r="Q8" s="14">
        <f t="shared" si="0"/>
        <v>0</v>
      </c>
      <c r="R8" s="14">
        <f t="shared" si="1"/>
        <v>2</v>
      </c>
      <c r="S8" s="14">
        <f t="shared" si="2"/>
        <v>0</v>
      </c>
      <c r="T8" s="14">
        <f t="shared" si="3"/>
        <v>0</v>
      </c>
      <c r="U8" s="14">
        <f t="shared" si="4"/>
        <v>1</v>
      </c>
      <c r="V8" s="17">
        <f t="shared" si="5"/>
        <v>0</v>
      </c>
      <c r="W8" s="14">
        <f t="shared" si="6"/>
        <v>1</v>
      </c>
      <c r="X8" s="17">
        <f t="shared" si="7"/>
        <v>147.22999999999999</v>
      </c>
    </row>
    <row r="9" spans="1:24" x14ac:dyDescent="0.25">
      <c r="A9" s="14" t="s">
        <v>47</v>
      </c>
      <c r="B9" s="14" t="s">
        <v>1686</v>
      </c>
      <c r="C9" s="14" t="s">
        <v>1687</v>
      </c>
      <c r="D9" s="14" t="s">
        <v>73</v>
      </c>
      <c r="E9" s="14">
        <v>0</v>
      </c>
      <c r="F9" s="14">
        <v>0</v>
      </c>
      <c r="G9" s="14">
        <v>0</v>
      </c>
      <c r="H9" s="14">
        <v>0</v>
      </c>
      <c r="I9" s="14">
        <v>1</v>
      </c>
      <c r="J9" s="17">
        <v>0</v>
      </c>
      <c r="K9" s="14">
        <v>0</v>
      </c>
      <c r="L9" s="17">
        <v>123.58</v>
      </c>
      <c r="M9" s="14" t="s">
        <v>86</v>
      </c>
      <c r="P9" s="14" t="str">
        <f>Setup!$A$10</f>
        <v>Expert 06</v>
      </c>
      <c r="Q9" s="14">
        <f t="shared" si="0"/>
        <v>2</v>
      </c>
      <c r="R9" s="14">
        <f t="shared" si="1"/>
        <v>2</v>
      </c>
      <c r="S9" s="14">
        <f t="shared" si="2"/>
        <v>0</v>
      </c>
      <c r="T9" s="14">
        <f t="shared" si="3"/>
        <v>1</v>
      </c>
      <c r="U9" s="14">
        <f t="shared" si="4"/>
        <v>0</v>
      </c>
      <c r="V9" s="17">
        <f t="shared" si="5"/>
        <v>85</v>
      </c>
      <c r="W9" s="14">
        <f t="shared" si="6"/>
        <v>6</v>
      </c>
      <c r="X9" s="17">
        <f t="shared" si="7"/>
        <v>194.09</v>
      </c>
    </row>
    <row r="10" spans="1:24" x14ac:dyDescent="0.25">
      <c r="A10" s="14" t="s">
        <v>53</v>
      </c>
      <c r="B10" s="14" t="s">
        <v>1688</v>
      </c>
      <c r="C10" s="14" t="s">
        <v>1689</v>
      </c>
      <c r="D10" s="14" t="s">
        <v>76</v>
      </c>
      <c r="E10" s="14">
        <v>0</v>
      </c>
      <c r="F10" s="14">
        <v>1</v>
      </c>
      <c r="G10" s="14">
        <v>0</v>
      </c>
      <c r="H10" s="14">
        <v>0</v>
      </c>
      <c r="I10" s="14">
        <v>0</v>
      </c>
      <c r="J10" s="17">
        <v>0</v>
      </c>
      <c r="K10" s="14">
        <v>0</v>
      </c>
      <c r="L10" s="17">
        <v>0</v>
      </c>
      <c r="M10" s="14" t="s">
        <v>86</v>
      </c>
      <c r="P10" s="14" t="str">
        <f>Setup!$A$11</f>
        <v>Expert 07</v>
      </c>
      <c r="Q10" s="14">
        <f t="shared" si="0"/>
        <v>2</v>
      </c>
      <c r="R10" s="14">
        <f t="shared" si="1"/>
        <v>0</v>
      </c>
      <c r="S10" s="14">
        <f t="shared" si="2"/>
        <v>0</v>
      </c>
      <c r="T10" s="14">
        <f t="shared" si="3"/>
        <v>0</v>
      </c>
      <c r="U10" s="14">
        <f t="shared" si="4"/>
        <v>1</v>
      </c>
      <c r="V10" s="17">
        <f t="shared" si="5"/>
        <v>57</v>
      </c>
      <c r="W10" s="14">
        <f t="shared" si="6"/>
        <v>1</v>
      </c>
      <c r="X10" s="17">
        <f t="shared" si="7"/>
        <v>74.39</v>
      </c>
    </row>
    <row r="11" spans="1:24" x14ac:dyDescent="0.25">
      <c r="A11" s="14" t="s">
        <v>43</v>
      </c>
      <c r="B11" s="14" t="s">
        <v>1690</v>
      </c>
      <c r="C11" s="14" t="s">
        <v>1691</v>
      </c>
      <c r="D11" s="14" t="s">
        <v>42</v>
      </c>
      <c r="E11" s="14">
        <v>1</v>
      </c>
      <c r="F11" s="14">
        <v>0</v>
      </c>
      <c r="G11" s="14">
        <v>0</v>
      </c>
      <c r="H11" s="14">
        <v>0</v>
      </c>
      <c r="I11" s="14">
        <v>0</v>
      </c>
      <c r="J11" s="17">
        <v>0</v>
      </c>
      <c r="K11" s="14">
        <v>1</v>
      </c>
      <c r="L11" s="17">
        <v>140.75</v>
      </c>
      <c r="M11" s="14" t="s">
        <v>86</v>
      </c>
      <c r="P11" s="14" t="str">
        <f>Setup!$A$12</f>
        <v>Expert 08</v>
      </c>
      <c r="Q11" s="14">
        <f t="shared" si="0"/>
        <v>0</v>
      </c>
      <c r="R11" s="14">
        <f t="shared" si="1"/>
        <v>1</v>
      </c>
      <c r="S11" s="14">
        <f t="shared" si="2"/>
        <v>0</v>
      </c>
      <c r="T11" s="14">
        <f t="shared" si="3"/>
        <v>0</v>
      </c>
      <c r="U11" s="14">
        <f t="shared" si="4"/>
        <v>0</v>
      </c>
      <c r="V11" s="17">
        <f t="shared" si="5"/>
        <v>0</v>
      </c>
      <c r="W11" s="14">
        <f t="shared" si="6"/>
        <v>0</v>
      </c>
      <c r="X11" s="17">
        <f t="shared" si="7"/>
        <v>0</v>
      </c>
    </row>
    <row r="12" spans="1:24" x14ac:dyDescent="0.25">
      <c r="A12" s="14" t="s">
        <v>57</v>
      </c>
      <c r="B12" s="14" t="s">
        <v>1692</v>
      </c>
      <c r="C12" s="14" t="s">
        <v>1693</v>
      </c>
      <c r="D12" s="14" t="s">
        <v>65</v>
      </c>
      <c r="E12" s="14">
        <v>1</v>
      </c>
      <c r="F12" s="14">
        <v>0</v>
      </c>
      <c r="G12" s="14">
        <v>0</v>
      </c>
      <c r="H12" s="14">
        <v>0</v>
      </c>
      <c r="I12" s="14">
        <v>0</v>
      </c>
      <c r="J12" s="17">
        <v>0</v>
      </c>
      <c r="K12" s="14">
        <v>1</v>
      </c>
      <c r="L12" s="17">
        <v>0</v>
      </c>
      <c r="M12" s="14" t="s">
        <v>86</v>
      </c>
      <c r="P12" s="14" t="str">
        <f>Setup!$A$13</f>
        <v>Expert 09</v>
      </c>
      <c r="Q12" s="14">
        <f t="shared" si="0"/>
        <v>1</v>
      </c>
      <c r="R12" s="14">
        <f t="shared" si="1"/>
        <v>0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7">
        <f t="shared" si="5"/>
        <v>0</v>
      </c>
      <c r="W12" s="14">
        <f t="shared" si="6"/>
        <v>1</v>
      </c>
      <c r="X12" s="17">
        <f t="shared" si="7"/>
        <v>2.4</v>
      </c>
    </row>
    <row r="13" spans="1:24" x14ac:dyDescent="0.25">
      <c r="A13" s="14" t="s">
        <v>59</v>
      </c>
      <c r="B13" s="14" t="s">
        <v>1694</v>
      </c>
      <c r="C13" s="14" t="s">
        <v>1695</v>
      </c>
      <c r="D13" s="14" t="s">
        <v>60</v>
      </c>
      <c r="E13" s="14">
        <v>0</v>
      </c>
      <c r="F13" s="14">
        <v>1</v>
      </c>
      <c r="G13" s="14">
        <v>0</v>
      </c>
      <c r="H13" s="14">
        <v>0</v>
      </c>
      <c r="I13" s="14">
        <v>0</v>
      </c>
      <c r="J13" s="17">
        <v>18</v>
      </c>
      <c r="K13" s="14">
        <v>1</v>
      </c>
      <c r="L13" s="17">
        <v>128.66999999999999</v>
      </c>
      <c r="M13" s="14" t="s">
        <v>86</v>
      </c>
      <c r="P13" s="14" t="str">
        <f>Setup!$A$14</f>
        <v>Expert 10</v>
      </c>
      <c r="Q13" s="14">
        <f t="shared" si="0"/>
        <v>1</v>
      </c>
      <c r="R13" s="14">
        <f t="shared" si="1"/>
        <v>0</v>
      </c>
      <c r="S13" s="14">
        <f t="shared" si="2"/>
        <v>0</v>
      </c>
      <c r="T13" s="14">
        <f t="shared" si="3"/>
        <v>0</v>
      </c>
      <c r="U13" s="14">
        <f t="shared" si="4"/>
        <v>0</v>
      </c>
      <c r="V13" s="17">
        <f t="shared" si="5"/>
        <v>0</v>
      </c>
      <c r="W13" s="14">
        <f t="shared" si="6"/>
        <v>1</v>
      </c>
      <c r="X13" s="17">
        <f t="shared" si="7"/>
        <v>0</v>
      </c>
    </row>
    <row r="14" spans="1:24" x14ac:dyDescent="0.25">
      <c r="A14" s="14" t="s">
        <v>51</v>
      </c>
      <c r="B14" s="14" t="s">
        <v>1696</v>
      </c>
      <c r="C14" s="14" t="s">
        <v>1697</v>
      </c>
      <c r="D14" s="14" t="s">
        <v>74</v>
      </c>
      <c r="E14" s="14">
        <v>1</v>
      </c>
      <c r="F14" s="14">
        <v>0</v>
      </c>
      <c r="G14" s="14">
        <v>0</v>
      </c>
      <c r="H14" s="14">
        <v>0</v>
      </c>
      <c r="I14" s="14">
        <v>0</v>
      </c>
      <c r="J14" s="17">
        <v>0</v>
      </c>
      <c r="K14" s="14">
        <v>0</v>
      </c>
      <c r="L14" s="17">
        <v>0</v>
      </c>
      <c r="M14" s="14" t="s">
        <v>86</v>
      </c>
      <c r="P14" s="14" t="str">
        <f>Setup!$A$15</f>
        <v>Expert 11</v>
      </c>
      <c r="Q14" s="14">
        <f t="shared" si="0"/>
        <v>0</v>
      </c>
      <c r="R14" s="14">
        <f t="shared" si="1"/>
        <v>1</v>
      </c>
      <c r="S14" s="14">
        <f t="shared" si="2"/>
        <v>0</v>
      </c>
      <c r="T14" s="14">
        <f t="shared" si="3"/>
        <v>0</v>
      </c>
      <c r="U14" s="14">
        <f t="shared" si="4"/>
        <v>0</v>
      </c>
      <c r="V14" s="17">
        <f t="shared" si="5"/>
        <v>18</v>
      </c>
      <c r="W14" s="14">
        <f t="shared" si="6"/>
        <v>1</v>
      </c>
      <c r="X14" s="17">
        <f t="shared" si="7"/>
        <v>128.66999999999999</v>
      </c>
    </row>
    <row r="15" spans="1:24" x14ac:dyDescent="0.25">
      <c r="A15" s="14" t="s">
        <v>51</v>
      </c>
      <c r="B15" s="14" t="s">
        <v>1698</v>
      </c>
      <c r="C15" s="14" t="s">
        <v>1699</v>
      </c>
      <c r="D15" s="14" t="s">
        <v>72</v>
      </c>
      <c r="E15" s="14">
        <v>0</v>
      </c>
      <c r="F15" s="14">
        <v>0</v>
      </c>
      <c r="G15" s="14">
        <v>0</v>
      </c>
      <c r="H15" s="14">
        <v>0</v>
      </c>
      <c r="I15" s="14">
        <v>1</v>
      </c>
      <c r="J15" s="17">
        <v>33</v>
      </c>
      <c r="K15" s="14">
        <v>0</v>
      </c>
      <c r="L15" s="17">
        <v>7.64</v>
      </c>
      <c r="M15" s="14" t="s">
        <v>86</v>
      </c>
      <c r="P15" s="14" t="str">
        <f>Setup!$A$16</f>
        <v>Expert 12</v>
      </c>
      <c r="Q15" s="14">
        <f t="shared" si="0"/>
        <v>3</v>
      </c>
      <c r="R15" s="14">
        <f t="shared" si="1"/>
        <v>0</v>
      </c>
      <c r="S15" s="14">
        <f t="shared" si="2"/>
        <v>0</v>
      </c>
      <c r="T15" s="14">
        <f t="shared" si="3"/>
        <v>0</v>
      </c>
      <c r="U15" s="14">
        <f t="shared" si="4"/>
        <v>0</v>
      </c>
      <c r="V15" s="17">
        <f t="shared" si="5"/>
        <v>49</v>
      </c>
      <c r="W15" s="14">
        <f t="shared" si="6"/>
        <v>3</v>
      </c>
      <c r="X15" s="17">
        <f t="shared" si="7"/>
        <v>266.53999999999996</v>
      </c>
    </row>
    <row r="16" spans="1:24" x14ac:dyDescent="0.25">
      <c r="A16" s="14" t="s">
        <v>45</v>
      </c>
      <c r="B16" s="14" t="s">
        <v>1700</v>
      </c>
      <c r="C16" s="14" t="s">
        <v>1701</v>
      </c>
      <c r="D16" s="14" t="s">
        <v>46</v>
      </c>
      <c r="E16" s="14">
        <v>1</v>
      </c>
      <c r="F16" s="14">
        <v>0</v>
      </c>
      <c r="G16" s="14">
        <v>0</v>
      </c>
      <c r="H16" s="14">
        <v>0</v>
      </c>
      <c r="I16" s="14">
        <v>0</v>
      </c>
      <c r="J16" s="17">
        <v>0</v>
      </c>
      <c r="K16" s="14">
        <v>1</v>
      </c>
      <c r="L16" s="17">
        <v>0</v>
      </c>
      <c r="M16" s="14" t="s">
        <v>86</v>
      </c>
      <c r="P16" s="18" t="s">
        <v>111</v>
      </c>
      <c r="Q16" s="19">
        <f t="shared" ref="Q16:X16" si="8">SUM(Q4:Q15)</f>
        <v>16</v>
      </c>
      <c r="R16" s="19">
        <f t="shared" si="8"/>
        <v>7</v>
      </c>
      <c r="S16" s="19">
        <f t="shared" si="8"/>
        <v>0</v>
      </c>
      <c r="T16" s="19">
        <f t="shared" si="8"/>
        <v>1</v>
      </c>
      <c r="U16" s="19">
        <f t="shared" si="8"/>
        <v>3</v>
      </c>
      <c r="V16" s="20">
        <f t="shared" si="8"/>
        <v>293</v>
      </c>
      <c r="W16" s="19">
        <f t="shared" si="8"/>
        <v>24</v>
      </c>
      <c r="X16" s="20">
        <f t="shared" si="8"/>
        <v>1315.1399999999999</v>
      </c>
    </row>
    <row r="17" spans="1:13" x14ac:dyDescent="0.25">
      <c r="A17" s="14" t="s">
        <v>45</v>
      </c>
      <c r="B17" s="14" t="s">
        <v>1702</v>
      </c>
      <c r="C17" s="14" t="s">
        <v>1703</v>
      </c>
      <c r="D17" s="14" t="s">
        <v>60</v>
      </c>
      <c r="E17" s="14">
        <v>0</v>
      </c>
      <c r="F17" s="14">
        <v>0</v>
      </c>
      <c r="G17" s="14">
        <v>0</v>
      </c>
      <c r="H17" s="14">
        <v>0</v>
      </c>
      <c r="I17" s="14">
        <v>0</v>
      </c>
      <c r="J17" s="17">
        <v>0</v>
      </c>
      <c r="K17" s="14">
        <v>1</v>
      </c>
      <c r="L17" s="17">
        <v>0</v>
      </c>
      <c r="M17" s="14" t="s">
        <v>86</v>
      </c>
    </row>
    <row r="18" spans="1:13" x14ac:dyDescent="0.25">
      <c r="A18" s="14" t="s">
        <v>61</v>
      </c>
      <c r="B18" s="14" t="s">
        <v>1704</v>
      </c>
      <c r="C18" s="14" t="s">
        <v>1705</v>
      </c>
      <c r="D18" s="14" t="s">
        <v>42</v>
      </c>
      <c r="E18" s="14">
        <v>1</v>
      </c>
      <c r="F18" s="14">
        <v>0</v>
      </c>
      <c r="G18" s="14">
        <v>0</v>
      </c>
      <c r="H18" s="14">
        <v>0</v>
      </c>
      <c r="I18" s="14">
        <v>0</v>
      </c>
      <c r="J18" s="17">
        <v>0</v>
      </c>
      <c r="K18" s="14">
        <v>1</v>
      </c>
      <c r="L18" s="17">
        <v>113.47</v>
      </c>
      <c r="M18" s="14" t="s">
        <v>86</v>
      </c>
    </row>
    <row r="19" spans="1:13" x14ac:dyDescent="0.25">
      <c r="A19" s="14" t="s">
        <v>47</v>
      </c>
      <c r="B19" s="14" t="s">
        <v>1706</v>
      </c>
      <c r="C19" s="14" t="s">
        <v>1707</v>
      </c>
      <c r="D19" s="14" t="s">
        <v>65</v>
      </c>
      <c r="E19" s="14">
        <v>0</v>
      </c>
      <c r="F19" s="14">
        <v>1</v>
      </c>
      <c r="G19" s="14">
        <v>0</v>
      </c>
      <c r="H19" s="14">
        <v>0</v>
      </c>
      <c r="I19" s="14">
        <v>0</v>
      </c>
      <c r="J19" s="17">
        <v>0</v>
      </c>
      <c r="K19" s="14">
        <v>1</v>
      </c>
      <c r="L19" s="17">
        <v>23.65</v>
      </c>
      <c r="M19" s="14" t="s">
        <v>86</v>
      </c>
    </row>
    <row r="20" spans="1:13" x14ac:dyDescent="0.25">
      <c r="A20" s="14" t="s">
        <v>41</v>
      </c>
      <c r="B20" s="14" t="s">
        <v>1708</v>
      </c>
      <c r="C20" s="14" t="s">
        <v>1709</v>
      </c>
      <c r="D20" s="14" t="s">
        <v>46</v>
      </c>
      <c r="E20" s="14">
        <v>1</v>
      </c>
      <c r="F20" s="14">
        <v>0</v>
      </c>
      <c r="G20" s="14">
        <v>0</v>
      </c>
      <c r="H20" s="14">
        <v>0</v>
      </c>
      <c r="I20" s="14">
        <v>0</v>
      </c>
      <c r="J20" s="17">
        <v>0</v>
      </c>
      <c r="K20" s="14">
        <v>1</v>
      </c>
      <c r="L20" s="17">
        <v>55.63</v>
      </c>
      <c r="M20" s="14" t="s">
        <v>86</v>
      </c>
    </row>
    <row r="21" spans="1:13" x14ac:dyDescent="0.25">
      <c r="A21" s="14" t="s">
        <v>41</v>
      </c>
      <c r="B21" s="14" t="s">
        <v>1710</v>
      </c>
      <c r="C21" s="14" t="s">
        <v>1711</v>
      </c>
      <c r="D21" s="14" t="s">
        <v>56</v>
      </c>
      <c r="E21" s="14">
        <v>0</v>
      </c>
      <c r="F21" s="14">
        <v>1</v>
      </c>
      <c r="G21" s="14">
        <v>0</v>
      </c>
      <c r="H21" s="14">
        <v>0</v>
      </c>
      <c r="I21" s="14">
        <v>0</v>
      </c>
      <c r="J21" s="17">
        <v>0</v>
      </c>
      <c r="K21" s="14">
        <v>1</v>
      </c>
      <c r="L21" s="17">
        <v>0</v>
      </c>
      <c r="M21" s="14" t="s">
        <v>86</v>
      </c>
    </row>
    <row r="22" spans="1:13" x14ac:dyDescent="0.25">
      <c r="A22" s="14" t="s">
        <v>43</v>
      </c>
      <c r="B22" s="14" t="s">
        <v>1712</v>
      </c>
      <c r="C22" s="14" t="s">
        <v>1713</v>
      </c>
      <c r="D22" s="14" t="s">
        <v>58</v>
      </c>
      <c r="E22" s="14">
        <v>0</v>
      </c>
      <c r="F22" s="14">
        <v>0</v>
      </c>
      <c r="G22" s="14">
        <v>0</v>
      </c>
      <c r="H22" s="14">
        <v>0</v>
      </c>
      <c r="I22" s="14">
        <v>0</v>
      </c>
      <c r="J22" s="17">
        <v>0</v>
      </c>
      <c r="K22" s="14">
        <v>1</v>
      </c>
      <c r="L22" s="17">
        <v>86.16</v>
      </c>
      <c r="M22" s="14" t="s">
        <v>86</v>
      </c>
    </row>
    <row r="23" spans="1:13" x14ac:dyDescent="0.25">
      <c r="A23" s="14" t="s">
        <v>49</v>
      </c>
      <c r="B23" s="14" t="s">
        <v>1714</v>
      </c>
      <c r="C23" s="14" t="s">
        <v>1715</v>
      </c>
      <c r="D23" s="14" t="s">
        <v>60</v>
      </c>
      <c r="E23" s="14">
        <v>0</v>
      </c>
      <c r="F23" s="14">
        <v>1</v>
      </c>
      <c r="G23" s="14">
        <v>0</v>
      </c>
      <c r="H23" s="14">
        <v>0</v>
      </c>
      <c r="I23" s="14">
        <v>0</v>
      </c>
      <c r="J23" s="17">
        <v>33</v>
      </c>
      <c r="K23" s="14">
        <v>1</v>
      </c>
      <c r="L23" s="17">
        <v>0</v>
      </c>
      <c r="M23" s="14" t="s">
        <v>86</v>
      </c>
    </row>
    <row r="24" spans="1:13" x14ac:dyDescent="0.25">
      <c r="A24" s="14" t="s">
        <v>43</v>
      </c>
      <c r="B24" s="14" t="s">
        <v>1716</v>
      </c>
      <c r="C24" s="14" t="s">
        <v>1717</v>
      </c>
      <c r="D24" s="14" t="s">
        <v>52</v>
      </c>
      <c r="E24" s="14">
        <v>1</v>
      </c>
      <c r="F24" s="14">
        <v>0</v>
      </c>
      <c r="G24" s="14">
        <v>0</v>
      </c>
      <c r="H24" s="14">
        <v>0</v>
      </c>
      <c r="I24" s="14">
        <v>0</v>
      </c>
      <c r="J24" s="17">
        <v>0</v>
      </c>
      <c r="K24" s="14">
        <v>1</v>
      </c>
      <c r="L24" s="17">
        <v>0</v>
      </c>
      <c r="M24" s="14" t="s">
        <v>86</v>
      </c>
    </row>
    <row r="25" spans="1:13" x14ac:dyDescent="0.25">
      <c r="A25" s="14" t="s">
        <v>55</v>
      </c>
      <c r="B25" s="14" t="s">
        <v>1718</v>
      </c>
      <c r="C25" s="14" t="s">
        <v>1719</v>
      </c>
      <c r="D25" s="14" t="s">
        <v>70</v>
      </c>
      <c r="E25" s="14">
        <v>1</v>
      </c>
      <c r="F25" s="14">
        <v>0</v>
      </c>
      <c r="G25" s="14">
        <v>0</v>
      </c>
      <c r="H25" s="14">
        <v>0</v>
      </c>
      <c r="I25" s="14">
        <v>0</v>
      </c>
      <c r="J25" s="17">
        <v>0</v>
      </c>
      <c r="K25" s="14">
        <v>1</v>
      </c>
      <c r="L25" s="17">
        <v>2.4</v>
      </c>
      <c r="M25" s="14" t="s">
        <v>86</v>
      </c>
    </row>
    <row r="26" spans="1:13" x14ac:dyDescent="0.25">
      <c r="A26" s="14" t="s">
        <v>49</v>
      </c>
      <c r="B26" s="14" t="s">
        <v>1720</v>
      </c>
      <c r="C26" s="14" t="s">
        <v>1721</v>
      </c>
      <c r="D26" s="14" t="s">
        <v>69</v>
      </c>
      <c r="E26" s="14">
        <v>1</v>
      </c>
      <c r="F26" s="14">
        <v>0</v>
      </c>
      <c r="G26" s="14">
        <v>0</v>
      </c>
      <c r="H26" s="14">
        <v>0</v>
      </c>
      <c r="I26" s="14">
        <v>0</v>
      </c>
      <c r="J26" s="17">
        <v>18</v>
      </c>
      <c r="K26" s="14">
        <v>1</v>
      </c>
      <c r="L26" s="17">
        <v>37.590000000000003</v>
      </c>
      <c r="M26" s="14" t="s">
        <v>86</v>
      </c>
    </row>
    <row r="27" spans="1:13" x14ac:dyDescent="0.25">
      <c r="A27" s="14" t="s">
        <v>49</v>
      </c>
      <c r="B27" s="14" t="s">
        <v>1722</v>
      </c>
      <c r="C27" s="14" t="s">
        <v>1723</v>
      </c>
      <c r="D27" s="14" t="s">
        <v>40</v>
      </c>
      <c r="E27" s="14">
        <v>0</v>
      </c>
      <c r="F27" s="14">
        <v>1</v>
      </c>
      <c r="G27" s="14">
        <v>0</v>
      </c>
      <c r="H27" s="14">
        <v>0</v>
      </c>
      <c r="I27" s="14">
        <v>0</v>
      </c>
      <c r="J27" s="17">
        <v>0</v>
      </c>
      <c r="K27" s="14">
        <v>1</v>
      </c>
      <c r="L27" s="17">
        <v>0</v>
      </c>
      <c r="M27" s="14" t="s">
        <v>86</v>
      </c>
    </row>
    <row r="28" spans="1:13" x14ac:dyDescent="0.25">
      <c r="A28" s="14" t="s">
        <v>45</v>
      </c>
      <c r="B28" s="14" t="s">
        <v>1724</v>
      </c>
      <c r="C28" s="14" t="s">
        <v>1725</v>
      </c>
      <c r="D28" s="14" t="s">
        <v>40</v>
      </c>
      <c r="E28" s="14">
        <v>1</v>
      </c>
      <c r="F28" s="14">
        <v>0</v>
      </c>
      <c r="G28" s="14">
        <v>0</v>
      </c>
      <c r="H28" s="14">
        <v>0</v>
      </c>
      <c r="I28" s="14">
        <v>0</v>
      </c>
      <c r="J28" s="17">
        <v>0</v>
      </c>
      <c r="K28" s="14">
        <v>1</v>
      </c>
      <c r="L28" s="17">
        <v>27.16</v>
      </c>
      <c r="M28" s="14" t="s">
        <v>86</v>
      </c>
    </row>
    <row r="29" spans="1:13" x14ac:dyDescent="0.25">
      <c r="A29" s="14" t="s">
        <v>47</v>
      </c>
      <c r="B29" s="14" t="s">
        <v>1726</v>
      </c>
      <c r="C29" s="14" t="s">
        <v>1727</v>
      </c>
      <c r="D29" s="14" t="s">
        <v>76</v>
      </c>
      <c r="E29" s="14">
        <v>0</v>
      </c>
      <c r="F29" s="14">
        <v>1</v>
      </c>
      <c r="G29" s="14">
        <v>0</v>
      </c>
      <c r="H29" s="14">
        <v>0</v>
      </c>
      <c r="I29" s="14">
        <v>0</v>
      </c>
      <c r="J29" s="17">
        <v>0</v>
      </c>
      <c r="K29" s="14">
        <v>0</v>
      </c>
      <c r="L29" s="17">
        <v>0</v>
      </c>
      <c r="M29" s="14" t="s">
        <v>86</v>
      </c>
    </row>
    <row r="30" spans="1:13" x14ac:dyDescent="0.25">
      <c r="A30" s="14" t="s">
        <v>61</v>
      </c>
      <c r="B30" s="14" t="s">
        <v>1728</v>
      </c>
      <c r="C30" s="14" t="s">
        <v>1729</v>
      </c>
      <c r="D30" s="14" t="s">
        <v>67</v>
      </c>
      <c r="E30" s="14">
        <v>1</v>
      </c>
      <c r="F30" s="14">
        <v>0</v>
      </c>
      <c r="G30" s="14">
        <v>0</v>
      </c>
      <c r="H30" s="14">
        <v>0</v>
      </c>
      <c r="I30" s="14">
        <v>0</v>
      </c>
      <c r="J30" s="17">
        <v>33</v>
      </c>
      <c r="K30" s="14">
        <v>1</v>
      </c>
      <c r="L30" s="17">
        <v>0</v>
      </c>
      <c r="M30" s="14" t="s">
        <v>86</v>
      </c>
    </row>
    <row r="31" spans="1:13" x14ac:dyDescent="0.25">
      <c r="A31" s="14" t="s">
        <v>61</v>
      </c>
      <c r="B31" s="14" t="s">
        <v>1730</v>
      </c>
      <c r="C31" s="14" t="s">
        <v>1731</v>
      </c>
      <c r="D31" s="14" t="s">
        <v>65</v>
      </c>
      <c r="E31" s="14">
        <v>1</v>
      </c>
      <c r="F31" s="14">
        <v>0</v>
      </c>
      <c r="G31" s="14">
        <v>0</v>
      </c>
      <c r="H31" s="14">
        <v>0</v>
      </c>
      <c r="I31" s="14">
        <v>0</v>
      </c>
      <c r="J31" s="17">
        <v>16</v>
      </c>
      <c r="K31" s="14">
        <v>1</v>
      </c>
      <c r="L31" s="17">
        <v>153.07</v>
      </c>
      <c r="M31" s="14" t="s">
        <v>86</v>
      </c>
    </row>
    <row r="32" spans="1:13" x14ac:dyDescent="0.25">
      <c r="A32" s="14" t="s">
        <v>45</v>
      </c>
      <c r="B32" s="14" t="s">
        <v>1732</v>
      </c>
      <c r="C32" s="14" t="s">
        <v>1733</v>
      </c>
      <c r="D32" s="14" t="s">
        <v>60</v>
      </c>
      <c r="E32" s="14">
        <v>1</v>
      </c>
      <c r="F32" s="14">
        <v>0</v>
      </c>
      <c r="G32" s="14">
        <v>0</v>
      </c>
      <c r="H32" s="14">
        <v>0</v>
      </c>
      <c r="I32" s="14">
        <v>0</v>
      </c>
      <c r="J32" s="17">
        <v>33</v>
      </c>
      <c r="K32" s="14">
        <v>1</v>
      </c>
      <c r="L32" s="17">
        <v>33.78</v>
      </c>
      <c r="M32" s="14" t="s">
        <v>86</v>
      </c>
    </row>
    <row r="33" spans="1:13" x14ac:dyDescent="0.25">
      <c r="A33" s="14" t="s">
        <v>45</v>
      </c>
      <c r="B33" s="14" t="s">
        <v>1734</v>
      </c>
      <c r="C33" s="14" t="s">
        <v>1735</v>
      </c>
      <c r="D33" s="14" t="s">
        <v>72</v>
      </c>
      <c r="E33" s="14">
        <v>0</v>
      </c>
      <c r="F33" s="14">
        <v>0</v>
      </c>
      <c r="G33" s="14">
        <v>0</v>
      </c>
      <c r="H33" s="14">
        <v>0</v>
      </c>
      <c r="I33" s="14">
        <v>1</v>
      </c>
      <c r="J33" s="17">
        <v>18</v>
      </c>
      <c r="K33" s="14">
        <v>0</v>
      </c>
      <c r="L33" s="17">
        <v>0</v>
      </c>
      <c r="M33" s="14" t="s">
        <v>86</v>
      </c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7"/>
      <c r="K34" s="14"/>
      <c r="L34" s="17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7"/>
      <c r="K35" s="14"/>
      <c r="L35" s="17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7"/>
      <c r="K36" s="14"/>
      <c r="L36" s="17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7"/>
      <c r="K37" s="14"/>
      <c r="L37" s="17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7"/>
      <c r="K38" s="14"/>
      <c r="L38" s="17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7"/>
      <c r="K39" s="14"/>
      <c r="L39" s="17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7"/>
      <c r="K40" s="14"/>
      <c r="L40" s="17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7"/>
      <c r="K41" s="14"/>
      <c r="L41" s="17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7"/>
      <c r="K42" s="14"/>
      <c r="L42" s="17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7"/>
      <c r="K43" s="14"/>
      <c r="L43" s="17"/>
      <c r="M43" s="14"/>
    </row>
  </sheetData>
  <mergeCells count="2">
    <mergeCell ref="A2:M2"/>
    <mergeCell ref="A1:M1"/>
  </mergeCells>
  <dataValidations count="1">
    <dataValidation type="list" allowBlank="1" sqref="M4:M43" xr:uid="{00000000-0002-0000-22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2200-000000000000}">
          <x14:formula1>
            <xm:f>Setup!$A$5:$A$16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2200-000001000000}">
          <x14:formula1>
            <xm:f>Setup!$C$5:$C$30</xm:f>
          </x14:formula1>
          <xm:sqref>D4:D43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4" t="s">
        <v>1736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</row>
    <row r="2" spans="1:24" ht="21.95" customHeight="1" x14ac:dyDescent="0.25">
      <c r="A2" s="43" t="s">
        <v>19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</row>
    <row r="3" spans="1:24" x14ac:dyDescent="0.25">
      <c r="A3" s="12" t="s">
        <v>79</v>
      </c>
      <c r="B3" s="12" t="s">
        <v>80</v>
      </c>
      <c r="C3" s="12" t="s">
        <v>81</v>
      </c>
      <c r="D3" s="12" t="s">
        <v>82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83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43</v>
      </c>
      <c r="B4" s="14" t="s">
        <v>1737</v>
      </c>
      <c r="C4" s="14" t="s">
        <v>1738</v>
      </c>
      <c r="D4" s="14" t="s">
        <v>70</v>
      </c>
      <c r="E4" s="14">
        <v>1</v>
      </c>
      <c r="F4" s="14">
        <v>0</v>
      </c>
      <c r="G4" s="14">
        <v>0</v>
      </c>
      <c r="H4" s="14">
        <v>0</v>
      </c>
      <c r="I4" s="14">
        <v>0</v>
      </c>
      <c r="J4" s="17">
        <v>0</v>
      </c>
      <c r="K4" s="14">
        <v>1</v>
      </c>
      <c r="L4" s="17">
        <v>0</v>
      </c>
      <c r="M4" s="14" t="s">
        <v>86</v>
      </c>
      <c r="P4" s="14" t="str">
        <f>Setup!$A$5</f>
        <v>Expert 01</v>
      </c>
      <c r="Q4" s="14">
        <f t="shared" ref="Q4:Q15" si="0">SUMIF($A$4:$A$43,$P4,E$4:E$43)</f>
        <v>2</v>
      </c>
      <c r="R4" s="14">
        <f t="shared" ref="R4:R15" si="1">SUMIF($A$4:$A$43,$P4,F$4:F$43)</f>
        <v>1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7">
        <f t="shared" ref="V4:V15" si="5">SUMIF($A$4:$A$43,$P4,J$4:J$43)</f>
        <v>15</v>
      </c>
      <c r="W4" s="14">
        <f t="shared" ref="W4:W15" si="6">SUMIF($A$4:$A$43,$P4,K$4:K$43)</f>
        <v>3</v>
      </c>
      <c r="X4" s="17">
        <f t="shared" ref="X4:X15" si="7">SUMIF($A$4:$A$43,$P4,L$4:L$43)</f>
        <v>172.75</v>
      </c>
    </row>
    <row r="5" spans="1:24" x14ac:dyDescent="0.25">
      <c r="A5" s="14" t="s">
        <v>43</v>
      </c>
      <c r="B5" s="14" t="s">
        <v>1739</v>
      </c>
      <c r="C5" s="14" t="s">
        <v>1740</v>
      </c>
      <c r="D5" s="14" t="s">
        <v>72</v>
      </c>
      <c r="E5" s="14">
        <v>0</v>
      </c>
      <c r="F5" s="14">
        <v>0</v>
      </c>
      <c r="G5" s="14">
        <v>1</v>
      </c>
      <c r="H5" s="14">
        <v>0</v>
      </c>
      <c r="I5" s="14">
        <v>1</v>
      </c>
      <c r="J5" s="17">
        <v>15</v>
      </c>
      <c r="K5" s="14">
        <v>0</v>
      </c>
      <c r="L5" s="17">
        <v>0</v>
      </c>
      <c r="M5" s="14" t="s">
        <v>86</v>
      </c>
      <c r="P5" s="14" t="str">
        <f>Setup!$A$6</f>
        <v>Expert 02</v>
      </c>
      <c r="Q5" s="14">
        <f t="shared" si="0"/>
        <v>0</v>
      </c>
      <c r="R5" s="14">
        <f t="shared" si="1"/>
        <v>0</v>
      </c>
      <c r="S5" s="14">
        <f t="shared" si="2"/>
        <v>0</v>
      </c>
      <c r="T5" s="14">
        <f t="shared" si="3"/>
        <v>0</v>
      </c>
      <c r="U5" s="14">
        <f t="shared" si="4"/>
        <v>0</v>
      </c>
      <c r="V5" s="17">
        <f t="shared" si="5"/>
        <v>33</v>
      </c>
      <c r="W5" s="14">
        <f t="shared" si="6"/>
        <v>1</v>
      </c>
      <c r="X5" s="17">
        <f t="shared" si="7"/>
        <v>0</v>
      </c>
    </row>
    <row r="6" spans="1:24" x14ac:dyDescent="0.25">
      <c r="A6" s="14" t="s">
        <v>41</v>
      </c>
      <c r="B6" s="14" t="s">
        <v>1741</v>
      </c>
      <c r="C6" s="14" t="s">
        <v>1742</v>
      </c>
      <c r="D6" s="14" t="s">
        <v>71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7">
        <v>33</v>
      </c>
      <c r="K6" s="14">
        <v>1</v>
      </c>
      <c r="L6" s="17">
        <v>0</v>
      </c>
      <c r="M6" s="14" t="s">
        <v>86</v>
      </c>
      <c r="P6" s="14" t="str">
        <f>Setup!$A$7</f>
        <v>Expert 03</v>
      </c>
      <c r="Q6" s="14">
        <f t="shared" si="0"/>
        <v>1</v>
      </c>
      <c r="R6" s="14">
        <f t="shared" si="1"/>
        <v>0</v>
      </c>
      <c r="S6" s="14">
        <f t="shared" si="2"/>
        <v>1</v>
      </c>
      <c r="T6" s="14">
        <f t="shared" si="3"/>
        <v>0</v>
      </c>
      <c r="U6" s="14">
        <f t="shared" si="4"/>
        <v>1</v>
      </c>
      <c r="V6" s="17">
        <f t="shared" si="5"/>
        <v>15</v>
      </c>
      <c r="W6" s="14">
        <f t="shared" si="6"/>
        <v>1</v>
      </c>
      <c r="X6" s="17">
        <f t="shared" si="7"/>
        <v>0</v>
      </c>
    </row>
    <row r="7" spans="1:24" x14ac:dyDescent="0.25">
      <c r="A7" s="14" t="s">
        <v>39</v>
      </c>
      <c r="B7" s="14" t="s">
        <v>1743</v>
      </c>
      <c r="C7" s="14" t="s">
        <v>1744</v>
      </c>
      <c r="D7" s="14" t="s">
        <v>60</v>
      </c>
      <c r="E7" s="14">
        <v>1</v>
      </c>
      <c r="F7" s="14">
        <v>0</v>
      </c>
      <c r="G7" s="14">
        <v>0</v>
      </c>
      <c r="H7" s="14">
        <v>0</v>
      </c>
      <c r="I7" s="14">
        <v>0</v>
      </c>
      <c r="J7" s="17">
        <v>15</v>
      </c>
      <c r="K7" s="14">
        <v>1</v>
      </c>
      <c r="L7" s="17">
        <v>51.17</v>
      </c>
      <c r="M7" s="14" t="s">
        <v>86</v>
      </c>
      <c r="P7" s="14" t="str">
        <f>Setup!$A$8</f>
        <v>Expert 04</v>
      </c>
      <c r="Q7" s="14">
        <f t="shared" si="0"/>
        <v>2</v>
      </c>
      <c r="R7" s="14">
        <f t="shared" si="1"/>
        <v>0</v>
      </c>
      <c r="S7" s="14">
        <f t="shared" si="2"/>
        <v>0</v>
      </c>
      <c r="T7" s="14">
        <f t="shared" si="3"/>
        <v>0</v>
      </c>
      <c r="U7" s="14">
        <f t="shared" si="4"/>
        <v>0</v>
      </c>
      <c r="V7" s="17">
        <f t="shared" si="5"/>
        <v>16</v>
      </c>
      <c r="W7" s="14">
        <f t="shared" si="6"/>
        <v>1</v>
      </c>
      <c r="X7" s="17">
        <f t="shared" si="7"/>
        <v>178.49</v>
      </c>
    </row>
    <row r="8" spans="1:24" x14ac:dyDescent="0.25">
      <c r="A8" s="14" t="s">
        <v>47</v>
      </c>
      <c r="B8" s="14" t="s">
        <v>1745</v>
      </c>
      <c r="C8" s="14" t="s">
        <v>1746</v>
      </c>
      <c r="D8" s="14" t="s">
        <v>64</v>
      </c>
      <c r="E8" s="14">
        <v>0</v>
      </c>
      <c r="F8" s="14">
        <v>1</v>
      </c>
      <c r="G8" s="14">
        <v>0</v>
      </c>
      <c r="H8" s="14">
        <v>0</v>
      </c>
      <c r="I8" s="14">
        <v>0</v>
      </c>
      <c r="J8" s="17">
        <v>0</v>
      </c>
      <c r="K8" s="14">
        <v>1</v>
      </c>
      <c r="L8" s="17">
        <v>106.16</v>
      </c>
      <c r="M8" s="14" t="s">
        <v>86</v>
      </c>
      <c r="P8" s="14" t="str">
        <f>Setup!$A$9</f>
        <v>Expert 05</v>
      </c>
      <c r="Q8" s="14">
        <f t="shared" si="0"/>
        <v>1</v>
      </c>
      <c r="R8" s="14">
        <f t="shared" si="1"/>
        <v>1</v>
      </c>
      <c r="S8" s="14">
        <f t="shared" si="2"/>
        <v>0</v>
      </c>
      <c r="T8" s="14">
        <f t="shared" si="3"/>
        <v>0</v>
      </c>
      <c r="U8" s="14">
        <f t="shared" si="4"/>
        <v>0</v>
      </c>
      <c r="V8" s="17">
        <f t="shared" si="5"/>
        <v>51</v>
      </c>
      <c r="W8" s="14">
        <f t="shared" si="6"/>
        <v>2</v>
      </c>
      <c r="X8" s="17">
        <f t="shared" si="7"/>
        <v>197.68</v>
      </c>
    </row>
    <row r="9" spans="1:24" x14ac:dyDescent="0.25">
      <c r="A9" s="14" t="s">
        <v>55</v>
      </c>
      <c r="B9" s="14" t="s">
        <v>1747</v>
      </c>
      <c r="C9" s="14" t="s">
        <v>1748</v>
      </c>
      <c r="D9" s="14" t="s">
        <v>48</v>
      </c>
      <c r="E9" s="14">
        <v>1</v>
      </c>
      <c r="F9" s="14">
        <v>0</v>
      </c>
      <c r="G9" s="14">
        <v>0</v>
      </c>
      <c r="H9" s="14">
        <v>0</v>
      </c>
      <c r="I9" s="14">
        <v>0</v>
      </c>
      <c r="J9" s="17">
        <v>18</v>
      </c>
      <c r="K9" s="14">
        <v>1</v>
      </c>
      <c r="L9" s="17">
        <v>83.21</v>
      </c>
      <c r="M9" s="14" t="s">
        <v>86</v>
      </c>
      <c r="P9" s="14" t="str">
        <f>Setup!$A$10</f>
        <v>Expert 06</v>
      </c>
      <c r="Q9" s="14">
        <f t="shared" si="0"/>
        <v>1</v>
      </c>
      <c r="R9" s="14">
        <f t="shared" si="1"/>
        <v>0</v>
      </c>
      <c r="S9" s="14">
        <f t="shared" si="2"/>
        <v>0</v>
      </c>
      <c r="T9" s="14">
        <f t="shared" si="3"/>
        <v>0</v>
      </c>
      <c r="U9" s="14">
        <f t="shared" si="4"/>
        <v>0</v>
      </c>
      <c r="V9" s="17">
        <f t="shared" si="5"/>
        <v>0</v>
      </c>
      <c r="W9" s="14">
        <f t="shared" si="6"/>
        <v>1</v>
      </c>
      <c r="X9" s="17">
        <f t="shared" si="7"/>
        <v>0</v>
      </c>
    </row>
    <row r="10" spans="1:24" x14ac:dyDescent="0.25">
      <c r="A10" s="14" t="s">
        <v>55</v>
      </c>
      <c r="B10" s="14" t="s">
        <v>1749</v>
      </c>
      <c r="C10" s="14" t="s">
        <v>1750</v>
      </c>
      <c r="D10" s="14" t="s">
        <v>67</v>
      </c>
      <c r="E10" s="14">
        <v>1</v>
      </c>
      <c r="F10" s="14">
        <v>0</v>
      </c>
      <c r="G10" s="14">
        <v>0</v>
      </c>
      <c r="H10" s="14">
        <v>0</v>
      </c>
      <c r="I10" s="14">
        <v>0</v>
      </c>
      <c r="J10" s="17">
        <v>0</v>
      </c>
      <c r="K10" s="14">
        <v>1</v>
      </c>
      <c r="L10" s="17">
        <v>0</v>
      </c>
      <c r="M10" s="14" t="s">
        <v>86</v>
      </c>
      <c r="P10" s="14" t="str">
        <f>Setup!$A$11</f>
        <v>Expert 07</v>
      </c>
      <c r="Q10" s="14">
        <f t="shared" si="0"/>
        <v>1</v>
      </c>
      <c r="R10" s="14">
        <f t="shared" si="1"/>
        <v>0</v>
      </c>
      <c r="S10" s="14">
        <f t="shared" si="2"/>
        <v>0</v>
      </c>
      <c r="T10" s="14">
        <f t="shared" si="3"/>
        <v>0</v>
      </c>
      <c r="U10" s="14">
        <f t="shared" si="4"/>
        <v>0</v>
      </c>
      <c r="V10" s="17">
        <f t="shared" si="5"/>
        <v>24</v>
      </c>
      <c r="W10" s="14">
        <f t="shared" si="6"/>
        <v>0</v>
      </c>
      <c r="X10" s="17">
        <f t="shared" si="7"/>
        <v>0</v>
      </c>
    </row>
    <row r="11" spans="1:24" x14ac:dyDescent="0.25">
      <c r="A11" s="14" t="s">
        <v>57</v>
      </c>
      <c r="B11" s="14" t="s">
        <v>1751</v>
      </c>
      <c r="C11" s="14" t="s">
        <v>1752</v>
      </c>
      <c r="D11" s="14" t="s">
        <v>63</v>
      </c>
      <c r="E11" s="14">
        <v>1</v>
      </c>
      <c r="F11" s="14">
        <v>0</v>
      </c>
      <c r="G11" s="14">
        <v>1</v>
      </c>
      <c r="H11" s="14">
        <v>0</v>
      </c>
      <c r="I11" s="14">
        <v>0</v>
      </c>
      <c r="J11" s="17">
        <v>0</v>
      </c>
      <c r="K11" s="14">
        <v>1</v>
      </c>
      <c r="L11" s="17">
        <v>0</v>
      </c>
      <c r="M11" s="14" t="s">
        <v>86</v>
      </c>
      <c r="P11" s="14" t="str">
        <f>Setup!$A$12</f>
        <v>Expert 08</v>
      </c>
      <c r="Q11" s="14">
        <f t="shared" si="0"/>
        <v>0</v>
      </c>
      <c r="R11" s="14">
        <f t="shared" si="1"/>
        <v>0</v>
      </c>
      <c r="S11" s="14">
        <f t="shared" si="2"/>
        <v>0</v>
      </c>
      <c r="T11" s="14">
        <f t="shared" si="3"/>
        <v>0</v>
      </c>
      <c r="U11" s="14">
        <f t="shared" si="4"/>
        <v>1</v>
      </c>
      <c r="V11" s="17">
        <f t="shared" si="5"/>
        <v>0</v>
      </c>
      <c r="W11" s="14">
        <f t="shared" si="6"/>
        <v>0</v>
      </c>
      <c r="X11" s="17">
        <f t="shared" si="7"/>
        <v>0</v>
      </c>
    </row>
    <row r="12" spans="1:24" x14ac:dyDescent="0.25">
      <c r="A12" s="14" t="s">
        <v>61</v>
      </c>
      <c r="B12" s="14" t="s">
        <v>1753</v>
      </c>
      <c r="C12" s="14" t="s">
        <v>1754</v>
      </c>
      <c r="D12" s="14" t="s">
        <v>76</v>
      </c>
      <c r="E12" s="14">
        <v>0</v>
      </c>
      <c r="F12" s="14">
        <v>0</v>
      </c>
      <c r="G12" s="14">
        <v>0</v>
      </c>
      <c r="H12" s="14">
        <v>0</v>
      </c>
      <c r="I12" s="14">
        <v>0</v>
      </c>
      <c r="J12" s="17">
        <v>16</v>
      </c>
      <c r="K12" s="14">
        <v>0</v>
      </c>
      <c r="L12" s="17">
        <v>0</v>
      </c>
      <c r="M12" s="14" t="s">
        <v>86</v>
      </c>
      <c r="P12" s="14" t="str">
        <f>Setup!$A$13</f>
        <v>Expert 09</v>
      </c>
      <c r="Q12" s="14">
        <f t="shared" si="0"/>
        <v>2</v>
      </c>
      <c r="R12" s="14">
        <f t="shared" si="1"/>
        <v>0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7">
        <f t="shared" si="5"/>
        <v>18</v>
      </c>
      <c r="W12" s="14">
        <f t="shared" si="6"/>
        <v>2</v>
      </c>
      <c r="X12" s="17">
        <f t="shared" si="7"/>
        <v>83.21</v>
      </c>
    </row>
    <row r="13" spans="1:24" x14ac:dyDescent="0.25">
      <c r="A13" s="14" t="s">
        <v>47</v>
      </c>
      <c r="B13" s="14" t="s">
        <v>1755</v>
      </c>
      <c r="C13" s="14" t="s">
        <v>1756</v>
      </c>
      <c r="D13" s="14" t="s">
        <v>76</v>
      </c>
      <c r="E13" s="14">
        <v>0</v>
      </c>
      <c r="F13" s="14">
        <v>0</v>
      </c>
      <c r="G13" s="14">
        <v>0</v>
      </c>
      <c r="H13" s="14">
        <v>0</v>
      </c>
      <c r="I13" s="14">
        <v>0</v>
      </c>
      <c r="J13" s="17">
        <v>33</v>
      </c>
      <c r="K13" s="14">
        <v>0</v>
      </c>
      <c r="L13" s="17">
        <v>0</v>
      </c>
      <c r="M13" s="14" t="s">
        <v>86</v>
      </c>
      <c r="P13" s="14" t="str">
        <f>Setup!$A$14</f>
        <v>Expert 10</v>
      </c>
      <c r="Q13" s="14">
        <f t="shared" si="0"/>
        <v>1</v>
      </c>
      <c r="R13" s="14">
        <f t="shared" si="1"/>
        <v>0</v>
      </c>
      <c r="S13" s="14">
        <f t="shared" si="2"/>
        <v>1</v>
      </c>
      <c r="T13" s="14">
        <f t="shared" si="3"/>
        <v>0</v>
      </c>
      <c r="U13" s="14">
        <f t="shared" si="4"/>
        <v>0</v>
      </c>
      <c r="V13" s="17">
        <f t="shared" si="5"/>
        <v>0</v>
      </c>
      <c r="W13" s="14">
        <f t="shared" si="6"/>
        <v>1</v>
      </c>
      <c r="X13" s="17">
        <f t="shared" si="7"/>
        <v>137</v>
      </c>
    </row>
    <row r="14" spans="1:24" x14ac:dyDescent="0.25">
      <c r="A14" s="14" t="s">
        <v>45</v>
      </c>
      <c r="B14" s="14" t="s">
        <v>1757</v>
      </c>
      <c r="C14" s="14" t="s">
        <v>1758</v>
      </c>
      <c r="D14" s="14" t="s">
        <v>52</v>
      </c>
      <c r="E14" s="14">
        <v>1</v>
      </c>
      <c r="F14" s="14">
        <v>0</v>
      </c>
      <c r="G14" s="14">
        <v>0</v>
      </c>
      <c r="H14" s="14">
        <v>0</v>
      </c>
      <c r="I14" s="14">
        <v>0</v>
      </c>
      <c r="J14" s="17">
        <v>16</v>
      </c>
      <c r="K14" s="14">
        <v>1</v>
      </c>
      <c r="L14" s="17">
        <v>0</v>
      </c>
      <c r="M14" s="14" t="s">
        <v>86</v>
      </c>
      <c r="P14" s="14" t="str">
        <f>Setup!$A$15</f>
        <v>Expert 11</v>
      </c>
      <c r="Q14" s="14">
        <f t="shared" si="0"/>
        <v>1</v>
      </c>
      <c r="R14" s="14">
        <f t="shared" si="1"/>
        <v>1</v>
      </c>
      <c r="S14" s="14">
        <f t="shared" si="2"/>
        <v>1</v>
      </c>
      <c r="T14" s="14">
        <f t="shared" si="3"/>
        <v>0</v>
      </c>
      <c r="U14" s="14">
        <f t="shared" si="4"/>
        <v>0</v>
      </c>
      <c r="V14" s="17">
        <f t="shared" si="5"/>
        <v>0</v>
      </c>
      <c r="W14" s="14">
        <f t="shared" si="6"/>
        <v>2</v>
      </c>
      <c r="X14" s="17">
        <f t="shared" si="7"/>
        <v>176.39</v>
      </c>
    </row>
    <row r="15" spans="1:24" x14ac:dyDescent="0.25">
      <c r="A15" s="14" t="s">
        <v>47</v>
      </c>
      <c r="B15" s="14" t="s">
        <v>1759</v>
      </c>
      <c r="C15" s="14" t="s">
        <v>1760</v>
      </c>
      <c r="D15" s="14" t="s">
        <v>68</v>
      </c>
      <c r="E15" s="14">
        <v>1</v>
      </c>
      <c r="F15" s="14">
        <v>0</v>
      </c>
      <c r="G15" s="14">
        <v>0</v>
      </c>
      <c r="H15" s="14">
        <v>0</v>
      </c>
      <c r="I15" s="14">
        <v>0</v>
      </c>
      <c r="J15" s="17">
        <v>18</v>
      </c>
      <c r="K15" s="14">
        <v>1</v>
      </c>
      <c r="L15" s="17">
        <v>91.52</v>
      </c>
      <c r="M15" s="14" t="s">
        <v>86</v>
      </c>
      <c r="P15" s="14" t="str">
        <f>Setup!$A$16</f>
        <v>Expert 12</v>
      </c>
      <c r="Q15" s="14">
        <f t="shared" si="0"/>
        <v>2</v>
      </c>
      <c r="R15" s="14">
        <f t="shared" si="1"/>
        <v>0</v>
      </c>
      <c r="S15" s="14">
        <f t="shared" si="2"/>
        <v>0</v>
      </c>
      <c r="T15" s="14">
        <f t="shared" si="3"/>
        <v>0</v>
      </c>
      <c r="U15" s="14">
        <f t="shared" si="4"/>
        <v>0</v>
      </c>
      <c r="V15" s="17">
        <f t="shared" si="5"/>
        <v>48</v>
      </c>
      <c r="W15" s="14">
        <f t="shared" si="6"/>
        <v>2</v>
      </c>
      <c r="X15" s="17">
        <f t="shared" si="7"/>
        <v>255.26</v>
      </c>
    </row>
    <row r="16" spans="1:24" x14ac:dyDescent="0.25">
      <c r="A16" s="14" t="s">
        <v>53</v>
      </c>
      <c r="B16" s="14" t="s">
        <v>1761</v>
      </c>
      <c r="C16" s="14" t="s">
        <v>1762</v>
      </c>
      <c r="D16" s="14" t="s">
        <v>73</v>
      </c>
      <c r="E16" s="14">
        <v>0</v>
      </c>
      <c r="F16" s="14">
        <v>0</v>
      </c>
      <c r="G16" s="14">
        <v>0</v>
      </c>
      <c r="H16" s="14">
        <v>0</v>
      </c>
      <c r="I16" s="14">
        <v>1</v>
      </c>
      <c r="J16" s="17">
        <v>0</v>
      </c>
      <c r="K16" s="14">
        <v>0</v>
      </c>
      <c r="L16" s="17">
        <v>0</v>
      </c>
      <c r="M16" s="14" t="s">
        <v>86</v>
      </c>
      <c r="P16" s="18" t="s">
        <v>111</v>
      </c>
      <c r="Q16" s="19">
        <f t="shared" ref="Q16:X16" si="8">SUM(Q4:Q15)</f>
        <v>14</v>
      </c>
      <c r="R16" s="19">
        <f t="shared" si="8"/>
        <v>3</v>
      </c>
      <c r="S16" s="19">
        <f t="shared" si="8"/>
        <v>3</v>
      </c>
      <c r="T16" s="19">
        <f t="shared" si="8"/>
        <v>0</v>
      </c>
      <c r="U16" s="19">
        <f t="shared" si="8"/>
        <v>2</v>
      </c>
      <c r="V16" s="20">
        <f t="shared" si="8"/>
        <v>220</v>
      </c>
      <c r="W16" s="19">
        <f t="shared" si="8"/>
        <v>16</v>
      </c>
      <c r="X16" s="20">
        <f t="shared" si="8"/>
        <v>1200.7800000000002</v>
      </c>
    </row>
    <row r="17" spans="1:13" x14ac:dyDescent="0.25">
      <c r="A17" s="14" t="s">
        <v>45</v>
      </c>
      <c r="B17" s="14" t="s">
        <v>1763</v>
      </c>
      <c r="C17" s="14" t="s">
        <v>1764</v>
      </c>
      <c r="D17" s="14" t="s">
        <v>74</v>
      </c>
      <c r="E17" s="14">
        <v>1</v>
      </c>
      <c r="F17" s="14">
        <v>0</v>
      </c>
      <c r="G17" s="14">
        <v>0</v>
      </c>
      <c r="H17" s="14">
        <v>0</v>
      </c>
      <c r="I17" s="14">
        <v>0</v>
      </c>
      <c r="J17" s="17">
        <v>0</v>
      </c>
      <c r="K17" s="14">
        <v>0</v>
      </c>
      <c r="L17" s="17">
        <v>178.49</v>
      </c>
      <c r="M17" s="14" t="s">
        <v>212</v>
      </c>
    </row>
    <row r="18" spans="1:13" x14ac:dyDescent="0.25">
      <c r="A18" s="14" t="s">
        <v>61</v>
      </c>
      <c r="B18" s="14" t="s">
        <v>1765</v>
      </c>
      <c r="C18" s="14" t="s">
        <v>1766</v>
      </c>
      <c r="D18" s="14" t="s">
        <v>75</v>
      </c>
      <c r="E18" s="14">
        <v>0</v>
      </c>
      <c r="F18" s="14">
        <v>0</v>
      </c>
      <c r="G18" s="14">
        <v>0</v>
      </c>
      <c r="H18" s="14">
        <v>0</v>
      </c>
      <c r="I18" s="14">
        <v>0</v>
      </c>
      <c r="J18" s="17">
        <v>0</v>
      </c>
      <c r="K18" s="14">
        <v>0</v>
      </c>
      <c r="L18" s="17">
        <v>0</v>
      </c>
      <c r="M18" s="14" t="s">
        <v>86</v>
      </c>
    </row>
    <row r="19" spans="1:13" x14ac:dyDescent="0.25">
      <c r="A19" s="14" t="s">
        <v>57</v>
      </c>
      <c r="B19" s="14" t="s">
        <v>1767</v>
      </c>
      <c r="C19" s="14" t="s">
        <v>1768</v>
      </c>
      <c r="D19" s="14" t="s">
        <v>76</v>
      </c>
      <c r="E19" s="14">
        <v>0</v>
      </c>
      <c r="F19" s="14">
        <v>0</v>
      </c>
      <c r="G19" s="14">
        <v>0</v>
      </c>
      <c r="H19" s="14">
        <v>0</v>
      </c>
      <c r="I19" s="14">
        <v>0</v>
      </c>
      <c r="J19" s="17">
        <v>0</v>
      </c>
      <c r="K19" s="14">
        <v>0</v>
      </c>
      <c r="L19" s="17">
        <v>137</v>
      </c>
      <c r="M19" s="14" t="s">
        <v>86</v>
      </c>
    </row>
    <row r="20" spans="1:13" x14ac:dyDescent="0.25">
      <c r="A20" s="14" t="s">
        <v>61</v>
      </c>
      <c r="B20" s="14" t="s">
        <v>1769</v>
      </c>
      <c r="C20" s="14" t="s">
        <v>1770</v>
      </c>
      <c r="D20" s="14" t="s">
        <v>52</v>
      </c>
      <c r="E20" s="14">
        <v>1</v>
      </c>
      <c r="F20" s="14">
        <v>0</v>
      </c>
      <c r="G20" s="14">
        <v>0</v>
      </c>
      <c r="H20" s="14">
        <v>0</v>
      </c>
      <c r="I20" s="14">
        <v>0</v>
      </c>
      <c r="J20" s="17">
        <v>16</v>
      </c>
      <c r="K20" s="14">
        <v>1</v>
      </c>
      <c r="L20" s="17">
        <v>87.53</v>
      </c>
      <c r="M20" s="14" t="s">
        <v>86</v>
      </c>
    </row>
    <row r="21" spans="1:13" x14ac:dyDescent="0.25">
      <c r="A21" s="14" t="s">
        <v>61</v>
      </c>
      <c r="B21" s="14" t="s">
        <v>1771</v>
      </c>
      <c r="C21" s="14" t="s">
        <v>1772</v>
      </c>
      <c r="D21" s="14" t="s">
        <v>48</v>
      </c>
      <c r="E21" s="14">
        <v>1</v>
      </c>
      <c r="F21" s="14">
        <v>0</v>
      </c>
      <c r="G21" s="14">
        <v>0</v>
      </c>
      <c r="H21" s="14">
        <v>0</v>
      </c>
      <c r="I21" s="14">
        <v>0</v>
      </c>
      <c r="J21" s="17">
        <v>16</v>
      </c>
      <c r="K21" s="14">
        <v>1</v>
      </c>
      <c r="L21" s="17">
        <v>167.73</v>
      </c>
      <c r="M21" s="14" t="s">
        <v>86</v>
      </c>
    </row>
    <row r="22" spans="1:13" x14ac:dyDescent="0.25">
      <c r="A22" s="14" t="s">
        <v>49</v>
      </c>
      <c r="B22" s="14" t="s">
        <v>1773</v>
      </c>
      <c r="C22" s="14" t="s">
        <v>1774</v>
      </c>
      <c r="D22" s="14" t="s">
        <v>64</v>
      </c>
      <c r="E22" s="14">
        <v>1</v>
      </c>
      <c r="F22" s="14">
        <v>0</v>
      </c>
      <c r="G22" s="14">
        <v>0</v>
      </c>
      <c r="H22" s="14">
        <v>0</v>
      </c>
      <c r="I22" s="14">
        <v>0</v>
      </c>
      <c r="J22" s="17">
        <v>0</v>
      </c>
      <c r="K22" s="14">
        <v>1</v>
      </c>
      <c r="L22" s="17">
        <v>0</v>
      </c>
      <c r="M22" s="14" t="s">
        <v>86</v>
      </c>
    </row>
    <row r="23" spans="1:13" x14ac:dyDescent="0.25">
      <c r="A23" s="14" t="s">
        <v>39</v>
      </c>
      <c r="B23" s="14" t="s">
        <v>1775</v>
      </c>
      <c r="C23" s="14" t="s">
        <v>1776</v>
      </c>
      <c r="D23" s="14" t="s">
        <v>54</v>
      </c>
      <c r="E23" s="14">
        <v>1</v>
      </c>
      <c r="F23" s="14">
        <v>0</v>
      </c>
      <c r="G23" s="14">
        <v>0</v>
      </c>
      <c r="H23" s="14">
        <v>0</v>
      </c>
      <c r="I23" s="14">
        <v>0</v>
      </c>
      <c r="J23" s="17">
        <v>0</v>
      </c>
      <c r="K23" s="14">
        <v>1</v>
      </c>
      <c r="L23" s="17">
        <v>0</v>
      </c>
      <c r="M23" s="14" t="s">
        <v>86</v>
      </c>
    </row>
    <row r="24" spans="1:13" x14ac:dyDescent="0.25">
      <c r="A24" s="14" t="s">
        <v>51</v>
      </c>
      <c r="B24" s="14" t="s">
        <v>1777</v>
      </c>
      <c r="C24" s="14" t="s">
        <v>1778</v>
      </c>
      <c r="D24" s="14" t="s">
        <v>74</v>
      </c>
      <c r="E24" s="14">
        <v>1</v>
      </c>
      <c r="F24" s="14">
        <v>0</v>
      </c>
      <c r="G24" s="14">
        <v>0</v>
      </c>
      <c r="H24" s="14">
        <v>0</v>
      </c>
      <c r="I24" s="14">
        <v>0</v>
      </c>
      <c r="J24" s="17">
        <v>24</v>
      </c>
      <c r="K24" s="14">
        <v>0</v>
      </c>
      <c r="L24" s="17">
        <v>0</v>
      </c>
      <c r="M24" s="14" t="s">
        <v>86</v>
      </c>
    </row>
    <row r="25" spans="1:13" x14ac:dyDescent="0.25">
      <c r="A25" s="14" t="s">
        <v>39</v>
      </c>
      <c r="B25" s="14" t="s">
        <v>1779</v>
      </c>
      <c r="C25" s="14" t="s">
        <v>1780</v>
      </c>
      <c r="D25" s="14" t="s">
        <v>56</v>
      </c>
      <c r="E25" s="14">
        <v>0</v>
      </c>
      <c r="F25" s="14">
        <v>1</v>
      </c>
      <c r="G25" s="14">
        <v>0</v>
      </c>
      <c r="H25" s="14">
        <v>0</v>
      </c>
      <c r="I25" s="14">
        <v>0</v>
      </c>
      <c r="J25" s="17">
        <v>0</v>
      </c>
      <c r="K25" s="14">
        <v>1</v>
      </c>
      <c r="L25" s="17">
        <v>121.58</v>
      </c>
      <c r="M25" s="14" t="s">
        <v>86</v>
      </c>
    </row>
    <row r="26" spans="1:13" x14ac:dyDescent="0.25">
      <c r="A26" s="14" t="s">
        <v>59</v>
      </c>
      <c r="B26" s="14" t="s">
        <v>1781</v>
      </c>
      <c r="C26" s="14" t="s">
        <v>1782</v>
      </c>
      <c r="D26" s="14" t="s">
        <v>65</v>
      </c>
      <c r="E26" s="14">
        <v>0</v>
      </c>
      <c r="F26" s="14">
        <v>1</v>
      </c>
      <c r="G26" s="14">
        <v>0</v>
      </c>
      <c r="H26" s="14">
        <v>0</v>
      </c>
      <c r="I26" s="14">
        <v>0</v>
      </c>
      <c r="J26" s="17">
        <v>0</v>
      </c>
      <c r="K26" s="14">
        <v>1</v>
      </c>
      <c r="L26" s="17">
        <v>176.39</v>
      </c>
      <c r="M26" s="14" t="s">
        <v>86</v>
      </c>
    </row>
    <row r="27" spans="1:13" x14ac:dyDescent="0.25">
      <c r="A27" s="14" t="s">
        <v>59</v>
      </c>
      <c r="B27" s="14" t="s">
        <v>1783</v>
      </c>
      <c r="C27" s="14" t="s">
        <v>1784</v>
      </c>
      <c r="D27" s="14" t="s">
        <v>66</v>
      </c>
      <c r="E27" s="14">
        <v>1</v>
      </c>
      <c r="F27" s="14">
        <v>0</v>
      </c>
      <c r="G27" s="14">
        <v>1</v>
      </c>
      <c r="H27" s="14">
        <v>0</v>
      </c>
      <c r="I27" s="14">
        <v>0</v>
      </c>
      <c r="J27" s="17">
        <v>0</v>
      </c>
      <c r="K27" s="14">
        <v>1</v>
      </c>
      <c r="L27" s="17">
        <v>0</v>
      </c>
      <c r="M27" s="14" t="s">
        <v>86</v>
      </c>
    </row>
    <row r="28" spans="1:13" x14ac:dyDescent="0.25">
      <c r="A28" s="14"/>
      <c r="B28" s="14"/>
      <c r="C28" s="14"/>
      <c r="D28" s="14"/>
      <c r="E28" s="14"/>
      <c r="F28" s="14"/>
      <c r="G28" s="14"/>
      <c r="H28" s="14"/>
      <c r="I28" s="14"/>
      <c r="J28" s="17"/>
      <c r="K28" s="14"/>
      <c r="L28" s="17"/>
      <c r="M28" s="14"/>
    </row>
    <row r="29" spans="1:13" x14ac:dyDescent="0.25">
      <c r="A29" s="14"/>
      <c r="B29" s="14"/>
      <c r="C29" s="14"/>
      <c r="D29" s="14"/>
      <c r="E29" s="14"/>
      <c r="F29" s="14"/>
      <c r="G29" s="14"/>
      <c r="H29" s="14"/>
      <c r="I29" s="14"/>
      <c r="J29" s="17"/>
      <c r="K29" s="14"/>
      <c r="L29" s="17"/>
      <c r="M29" s="14"/>
    </row>
    <row r="30" spans="1:13" x14ac:dyDescent="0.25">
      <c r="A30" s="14"/>
      <c r="B30" s="14"/>
      <c r="C30" s="14"/>
      <c r="D30" s="14"/>
      <c r="E30" s="14"/>
      <c r="F30" s="14"/>
      <c r="G30" s="14"/>
      <c r="H30" s="14"/>
      <c r="I30" s="14"/>
      <c r="J30" s="17"/>
      <c r="K30" s="14"/>
      <c r="L30" s="17"/>
      <c r="M30" s="14"/>
    </row>
    <row r="31" spans="1:13" x14ac:dyDescent="0.25">
      <c r="A31" s="14"/>
      <c r="B31" s="14"/>
      <c r="C31" s="14"/>
      <c r="D31" s="14"/>
      <c r="E31" s="14"/>
      <c r="F31" s="14"/>
      <c r="G31" s="14"/>
      <c r="H31" s="14"/>
      <c r="I31" s="14"/>
      <c r="J31" s="17"/>
      <c r="K31" s="14"/>
      <c r="L31" s="17"/>
      <c r="M31" s="14"/>
    </row>
    <row r="32" spans="1:13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7"/>
      <c r="K32" s="14"/>
      <c r="L32" s="17"/>
      <c r="M32" s="14"/>
    </row>
    <row r="33" spans="1:13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7"/>
      <c r="K33" s="14"/>
      <c r="L33" s="17"/>
      <c r="M33" s="14"/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7"/>
      <c r="K34" s="14"/>
      <c r="L34" s="17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7"/>
      <c r="K35" s="14"/>
      <c r="L35" s="17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7"/>
      <c r="K36" s="14"/>
      <c r="L36" s="17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7"/>
      <c r="K37" s="14"/>
      <c r="L37" s="17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7"/>
      <c r="K38" s="14"/>
      <c r="L38" s="17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7"/>
      <c r="K39" s="14"/>
      <c r="L39" s="17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7"/>
      <c r="K40" s="14"/>
      <c r="L40" s="17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7"/>
      <c r="K41" s="14"/>
      <c r="L41" s="17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7"/>
      <c r="K42" s="14"/>
      <c r="L42" s="17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7"/>
      <c r="K43" s="14"/>
      <c r="L43" s="17"/>
      <c r="M43" s="14"/>
    </row>
  </sheetData>
  <mergeCells count="2">
    <mergeCell ref="A2:M2"/>
    <mergeCell ref="A1:M1"/>
  </mergeCells>
  <dataValidations count="1">
    <dataValidation type="list" allowBlank="1" sqref="M4:M43" xr:uid="{00000000-0002-0000-23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2300-000000000000}">
          <x14:formula1>
            <xm:f>Setup!$A$5:$A$16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2300-000001000000}">
          <x14:formula1>
            <xm:f>Setup!$C$5:$C$30</xm:f>
          </x14:formula1>
          <xm:sqref>D4:D43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36</vt:i4>
      </vt:variant>
    </vt:vector>
  </HeadingPairs>
  <TitlesOfParts>
    <vt:vector size="36" baseType="lpstr">
      <vt:lpstr>Dashboard</vt:lpstr>
      <vt:lpstr>Team Leaderboard</vt:lpstr>
      <vt:lpstr>Daily Trend</vt:lpstr>
      <vt:lpstr>Store Total</vt:lpstr>
      <vt:lpstr>Setup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jeremy flores</cp:lastModifiedBy>
  <dcterms:created xsi:type="dcterms:W3CDTF">2026-08-17T14:37:40Z</dcterms:created>
  <dcterms:modified xsi:type="dcterms:W3CDTF">2026-08-17T14:38:38Z</dcterms:modified>
</cp:coreProperties>
</file>